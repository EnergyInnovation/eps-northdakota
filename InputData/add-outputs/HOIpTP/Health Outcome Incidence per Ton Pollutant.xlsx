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add-outputs\HOIpTP\"/>
    </mc:Choice>
  </mc:AlternateContent>
  <xr:revisionPtr revIDLastSave="0" documentId="8_{9B126DBB-5AB2-48B4-BF60-826AA11B062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Q3" i="19"/>
  <c r="J3" i="19"/>
  <c r="F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R17" i="18"/>
  <c r="Q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D15" i="18"/>
  <c r="B15" i="18"/>
  <c r="C15" i="18" s="1"/>
  <c r="AA14" i="18"/>
  <c r="Y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V8" i="18"/>
  <c r="U8" i="18"/>
  <c r="Q8" i="18"/>
  <c r="F8" i="18"/>
  <c r="B8" i="18"/>
  <c r="X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J3" i="18"/>
  <c r="B3" i="18"/>
  <c r="B2" i="18"/>
  <c r="U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X13" i="17"/>
  <c r="S13" i="17"/>
  <c r="R13" i="17"/>
  <c r="C13" i="17"/>
  <c r="B13" i="17"/>
  <c r="W13" i="17" s="1"/>
  <c r="T12" i="17"/>
  <c r="R12" i="17"/>
  <c r="P12" i="17"/>
  <c r="O12" i="17"/>
  <c r="M12" i="17"/>
  <c r="H12" i="17"/>
  <c r="G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B7" i="17"/>
  <c r="M6" i="17"/>
  <c r="G6" i="17"/>
  <c r="E6" i="17"/>
  <c r="C6" i="17"/>
  <c r="B6" i="17"/>
  <c r="Q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V17" i="16"/>
  <c r="U17" i="16"/>
  <c r="R17" i="16"/>
  <c r="H17" i="16"/>
  <c r="G17" i="16"/>
  <c r="B17" i="16"/>
  <c r="J17" i="16" s="1"/>
  <c r="B16" i="16"/>
  <c r="AA15" i="16"/>
  <c r="B15" i="16"/>
  <c r="Y15" i="16" s="1"/>
  <c r="G14" i="16"/>
  <c r="C14" i="16"/>
  <c r="B14" i="16"/>
  <c r="AB14" i="16" s="1"/>
  <c r="X13" i="16"/>
  <c r="W13" i="16"/>
  <c r="J13" i="16"/>
  <c r="B13" i="16"/>
  <c r="D13" i="16" s="1"/>
  <c r="Y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R7" i="16"/>
  <c r="F7" i="16"/>
  <c r="B7" i="16"/>
  <c r="W6" i="16"/>
  <c r="V6" i="16"/>
  <c r="T6" i="16"/>
  <c r="S6" i="16"/>
  <c r="N6" i="16"/>
  <c r="M6" i="16"/>
  <c r="L6" i="16"/>
  <c r="J6" i="16"/>
  <c r="I6" i="16"/>
  <c r="H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Z3" i="16"/>
  <c r="X3" i="16"/>
  <c r="W3" i="16"/>
  <c r="O3" i="16"/>
  <c r="C3" i="16"/>
  <c r="B3" i="16"/>
  <c r="AA3" i="16" s="1"/>
  <c r="P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V15" i="15"/>
  <c r="U15" i="15"/>
  <c r="T15" i="15"/>
  <c r="S15" i="15"/>
  <c r="K15" i="15"/>
  <c r="I15" i="15"/>
  <c r="G15" i="15"/>
  <c r="E15" i="15"/>
  <c r="C15" i="15"/>
  <c r="B15" i="15"/>
  <c r="AA15" i="15" s="1"/>
  <c r="AB14" i="15"/>
  <c r="N14" i="15"/>
  <c r="M14" i="15"/>
  <c r="E14" i="15"/>
  <c r="B14" i="15"/>
  <c r="O14" i="15" s="1"/>
  <c r="F13" i="15"/>
  <c r="B13" i="15"/>
  <c r="X12" i="15"/>
  <c r="V12" i="15"/>
  <c r="S12" i="15"/>
  <c r="R12" i="15"/>
  <c r="Q12" i="15"/>
  <c r="K12" i="15"/>
  <c r="G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Y8" i="15"/>
  <c r="X8" i="15"/>
  <c r="R8" i="15"/>
  <c r="N8" i="15"/>
  <c r="L8" i="15"/>
  <c r="K8" i="15"/>
  <c r="J8" i="15"/>
  <c r="H8" i="15"/>
  <c r="G8" i="15"/>
  <c r="F8" i="15"/>
  <c r="E8" i="15"/>
  <c r="C8" i="15"/>
  <c r="B8" i="15"/>
  <c r="D8" i="15" s="1"/>
  <c r="AB7" i="15"/>
  <c r="AA7" i="15"/>
  <c r="Z7" i="15"/>
  <c r="W7" i="15"/>
  <c r="V7" i="15"/>
  <c r="S7" i="15"/>
  <c r="Q7" i="15"/>
  <c r="O7" i="15"/>
  <c r="N7" i="15"/>
  <c r="M7" i="15"/>
  <c r="L7" i="15"/>
  <c r="K7" i="15"/>
  <c r="J7" i="15"/>
  <c r="I7" i="15"/>
  <c r="G7" i="15"/>
  <c r="F7" i="15"/>
  <c r="E7" i="15"/>
  <c r="D7" i="15"/>
  <c r="C7" i="15"/>
  <c r="B7" i="15"/>
  <c r="X7" i="15" s="1"/>
  <c r="AA6" i="15"/>
  <c r="V6" i="15"/>
  <c r="T6" i="15"/>
  <c r="R6" i="15"/>
  <c r="B6" i="15"/>
  <c r="AB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N3" i="15"/>
  <c r="M3" i="15"/>
  <c r="L3" i="15"/>
  <c r="K3" i="15"/>
  <c r="J3" i="15"/>
  <c r="I3" i="15"/>
  <c r="G3" i="15"/>
  <c r="B3" i="15"/>
  <c r="AA3" i="15" s="1"/>
  <c r="AB2" i="15"/>
  <c r="Z2" i="15"/>
  <c r="Y2" i="15"/>
  <c r="S2" i="15"/>
  <c r="Q2" i="15"/>
  <c r="O2" i="15"/>
  <c r="N2" i="15"/>
  <c r="M2" i="15"/>
  <c r="L2" i="15"/>
  <c r="K2" i="15"/>
  <c r="J2" i="15"/>
  <c r="I2" i="15"/>
  <c r="G2" i="15"/>
  <c r="E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B15" i="14"/>
  <c r="P15" i="14" s="1"/>
  <c r="AB14" i="14"/>
  <c r="S14" i="14"/>
  <c r="B14" i="14"/>
  <c r="Y14" i="14" s="1"/>
  <c r="X13" i="14"/>
  <c r="S13" i="14"/>
  <c r="Q13" i="14"/>
  <c r="K13" i="14"/>
  <c r="G13" i="14"/>
  <c r="E13" i="14"/>
  <c r="B13" i="14"/>
  <c r="AB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B7" i="14"/>
  <c r="Z6" i="14"/>
  <c r="X6" i="14"/>
  <c r="W6" i="14"/>
  <c r="S6" i="14"/>
  <c r="Q6" i="14"/>
  <c r="P6" i="14"/>
  <c r="O6" i="14"/>
  <c r="H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N3" i="14"/>
  <c r="L3" i="14"/>
  <c r="K3" i="14"/>
  <c r="G3" i="14"/>
  <c r="E3" i="14"/>
  <c r="B3" i="14"/>
  <c r="AB2" i="14"/>
  <c r="AA2" i="14"/>
  <c r="Z2" i="14"/>
  <c r="X2" i="14"/>
  <c r="U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B15" i="13"/>
  <c r="Z15" i="13" s="1"/>
  <c r="AA14" i="13"/>
  <c r="Y14" i="13"/>
  <c r="W14" i="13"/>
  <c r="V14" i="13"/>
  <c r="T14" i="13"/>
  <c r="Q14" i="13"/>
  <c r="O14" i="13"/>
  <c r="N14" i="13"/>
  <c r="M14" i="13"/>
  <c r="L14" i="13"/>
  <c r="K14" i="13"/>
  <c r="J14" i="13"/>
  <c r="H14" i="13"/>
  <c r="F14" i="13"/>
  <c r="E14" i="13"/>
  <c r="B14" i="13"/>
  <c r="U14" i="13" s="1"/>
  <c r="V13" i="13"/>
  <c r="U13" i="13"/>
  <c r="T13" i="13"/>
  <c r="S13" i="13"/>
  <c r="B13" i="13"/>
  <c r="Z13" i="13" s="1"/>
  <c r="V12" i="13"/>
  <c r="M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R8" i="13"/>
  <c r="K8" i="13"/>
  <c r="J8" i="13"/>
  <c r="I8" i="13"/>
  <c r="G8" i="13"/>
  <c r="F8" i="13"/>
  <c r="E8" i="13"/>
  <c r="B8" i="13"/>
  <c r="AA8" i="13" s="1"/>
  <c r="S7" i="13"/>
  <c r="R7" i="13"/>
  <c r="N7" i="13"/>
  <c r="M7" i="13"/>
  <c r="B7" i="13"/>
  <c r="AB7" i="13" s="1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P3" i="13"/>
  <c r="N3" i="13"/>
  <c r="J3" i="13"/>
  <c r="I3" i="13"/>
  <c r="D3" i="13"/>
  <c r="C3" i="13"/>
  <c r="B3" i="13"/>
  <c r="U2" i="13"/>
  <c r="R2" i="13"/>
  <c r="Q2" i="13"/>
  <c r="P2" i="13"/>
  <c r="B2" i="13"/>
  <c r="C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G17" i="12"/>
  <c r="B17" i="12"/>
  <c r="O17" i="12" s="1"/>
  <c r="AB16" i="12"/>
  <c r="AA16" i="12"/>
  <c r="Z16" i="12"/>
  <c r="J16" i="12"/>
  <c r="C16" i="12"/>
  <c r="B16" i="12"/>
  <c r="AA15" i="12"/>
  <c r="Z15" i="12"/>
  <c r="W15" i="12"/>
  <c r="T15" i="12"/>
  <c r="Q15" i="12"/>
  <c r="P15" i="12"/>
  <c r="N15" i="12"/>
  <c r="L15" i="12"/>
  <c r="I15" i="12"/>
  <c r="H15" i="12"/>
  <c r="E15" i="12"/>
  <c r="C15" i="12"/>
  <c r="B15" i="12"/>
  <c r="Y14" i="12"/>
  <c r="W14" i="12"/>
  <c r="V14" i="12"/>
  <c r="R14" i="12"/>
  <c r="Q14" i="12"/>
  <c r="L14" i="12"/>
  <c r="K14" i="12"/>
  <c r="B14" i="12"/>
  <c r="B13" i="12"/>
  <c r="B12" i="12"/>
  <c r="AA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H8" i="12" s="1"/>
  <c r="AA7" i="12"/>
  <c r="Z7" i="12"/>
  <c r="W7" i="12"/>
  <c r="V7" i="12"/>
  <c r="K7" i="12"/>
  <c r="I7" i="12"/>
  <c r="E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M3" i="12"/>
  <c r="L3" i="12"/>
  <c r="K3" i="12"/>
  <c r="J3" i="12"/>
  <c r="I3" i="12"/>
  <c r="G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AB17" i="11" s="1"/>
  <c r="AB16" i="11"/>
  <c r="Y16" i="11"/>
  <c r="W16" i="11"/>
  <c r="V16" i="11"/>
  <c r="D16" i="11"/>
  <c r="B16" i="11"/>
  <c r="AA16" i="11" s="1"/>
  <c r="W15" i="11"/>
  <c r="B15" i="11"/>
  <c r="R15" i="11" s="1"/>
  <c r="AB14" i="11"/>
  <c r="W14" i="11"/>
  <c r="U14" i="11"/>
  <c r="R14" i="11"/>
  <c r="Q14" i="11"/>
  <c r="P14" i="11"/>
  <c r="O14" i="11"/>
  <c r="N14" i="11"/>
  <c r="M14" i="11"/>
  <c r="K14" i="11"/>
  <c r="J14" i="11"/>
  <c r="E14" i="11"/>
  <c r="C14" i="11"/>
  <c r="B14" i="11"/>
  <c r="AA14" i="11" s="1"/>
  <c r="AB13" i="11"/>
  <c r="AA13" i="11"/>
  <c r="X13" i="11"/>
  <c r="U13" i="11"/>
  <c r="M13" i="11"/>
  <c r="L13" i="11"/>
  <c r="B13" i="11"/>
  <c r="AB12" i="11"/>
  <c r="Y12" i="11"/>
  <c r="U12" i="11"/>
  <c r="T12" i="11"/>
  <c r="P12" i="11"/>
  <c r="O12" i="11"/>
  <c r="K12" i="11"/>
  <c r="I12" i="11"/>
  <c r="F12" i="11"/>
  <c r="E12" i="11"/>
  <c r="C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S8" i="11"/>
  <c r="R8" i="11"/>
  <c r="P8" i="11"/>
  <c r="N8" i="11"/>
  <c r="K8" i="11"/>
  <c r="J8" i="11"/>
  <c r="I8" i="11"/>
  <c r="E8" i="11"/>
  <c r="D8" i="11"/>
  <c r="C8" i="11"/>
  <c r="B8" i="11"/>
  <c r="AB8" i="11" s="1"/>
  <c r="AB7" i="11"/>
  <c r="B7" i="11"/>
  <c r="G7" i="11" s="1"/>
  <c r="X6" i="11"/>
  <c r="U6" i="11"/>
  <c r="T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S3" i="11"/>
  <c r="R3" i="11"/>
  <c r="Q3" i="11"/>
  <c r="M3" i="11"/>
  <c r="B3" i="11"/>
  <c r="C3" i="11" s="1"/>
  <c r="N2" i="11"/>
  <c r="I2" i="11"/>
  <c r="G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Z15" i="10"/>
  <c r="Y15" i="10"/>
  <c r="W15" i="10"/>
  <c r="V15" i="10"/>
  <c r="U15" i="10"/>
  <c r="T15" i="10"/>
  <c r="R15" i="10"/>
  <c r="Q15" i="10"/>
  <c r="P15" i="10"/>
  <c r="O15" i="10"/>
  <c r="N15" i="10"/>
  <c r="M15" i="10"/>
  <c r="L15" i="10"/>
  <c r="K15" i="10"/>
  <c r="I15" i="10"/>
  <c r="H15" i="10"/>
  <c r="G15" i="10"/>
  <c r="F15" i="10"/>
  <c r="E15" i="10"/>
  <c r="D15" i="10"/>
  <c r="C15" i="10"/>
  <c r="B15" i="10"/>
  <c r="X15" i="10" s="1"/>
  <c r="AB14" i="10"/>
  <c r="B14" i="10"/>
  <c r="K14" i="10" s="1"/>
  <c r="AA13" i="10"/>
  <c r="P13" i="10"/>
  <c r="M13" i="10"/>
  <c r="H13" i="10"/>
  <c r="F13" i="10"/>
  <c r="D13" i="10"/>
  <c r="B13" i="10"/>
  <c r="Z13" i="10" s="1"/>
  <c r="AA12" i="10"/>
  <c r="Z12" i="10"/>
  <c r="G12" i="10"/>
  <c r="B12" i="10"/>
  <c r="AB12" i="10" s="1"/>
  <c r="C11" i="10"/>
  <c r="B11" i="10"/>
  <c r="B10" i="10"/>
  <c r="B9" i="10"/>
  <c r="B8" i="10"/>
  <c r="G8" i="10" s="1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Y2" i="10"/>
  <c r="V2" i="10"/>
  <c r="U2" i="10"/>
  <c r="N2" i="10"/>
  <c r="L2" i="10"/>
  <c r="K2" i="10"/>
  <c r="J2" i="10"/>
  <c r="H2" i="10"/>
  <c r="G2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R17" i="9"/>
  <c r="Q17" i="9"/>
  <c r="P17" i="9"/>
  <c r="O17" i="9"/>
  <c r="B17" i="9"/>
  <c r="X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M15" i="9"/>
  <c r="K15" i="9"/>
  <c r="B15" i="9"/>
  <c r="AA15" i="9" s="1"/>
  <c r="Y14" i="9"/>
  <c r="U14" i="9"/>
  <c r="T14" i="9"/>
  <c r="S14" i="9"/>
  <c r="R14" i="9"/>
  <c r="Q14" i="9"/>
  <c r="P14" i="9"/>
  <c r="L14" i="9"/>
  <c r="J14" i="9"/>
  <c r="H14" i="9"/>
  <c r="E14" i="9"/>
  <c r="C14" i="9"/>
  <c r="B14" i="9"/>
  <c r="AB14" i="9" s="1"/>
  <c r="B13" i="9"/>
  <c r="D13" i="9" s="1"/>
  <c r="Z12" i="9"/>
  <c r="X12" i="9"/>
  <c r="S12" i="9"/>
  <c r="J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Q8" i="9"/>
  <c r="O8" i="9"/>
  <c r="N8" i="9"/>
  <c r="L8" i="9"/>
  <c r="K8" i="9"/>
  <c r="I8" i="9"/>
  <c r="F8" i="9"/>
  <c r="E8" i="9"/>
  <c r="B8" i="9"/>
  <c r="AB7" i="9"/>
  <c r="AA7" i="9"/>
  <c r="X7" i="9"/>
  <c r="V7" i="9"/>
  <c r="U7" i="9"/>
  <c r="S7" i="9"/>
  <c r="M7" i="9"/>
  <c r="J7" i="9"/>
  <c r="I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A3" i="9"/>
  <c r="Y3" i="9"/>
  <c r="S3" i="9"/>
  <c r="G3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N15" i="8"/>
  <c r="M15" i="8"/>
  <c r="K15" i="8"/>
  <c r="I15" i="8"/>
  <c r="H15" i="8"/>
  <c r="G15" i="8"/>
  <c r="B15" i="8"/>
  <c r="E15" i="8" s="1"/>
  <c r="Y14" i="8"/>
  <c r="U14" i="8"/>
  <c r="I14" i="8"/>
  <c r="H14" i="8"/>
  <c r="G14" i="8"/>
  <c r="F14" i="8"/>
  <c r="B14" i="8"/>
  <c r="D14" i="8" s="1"/>
  <c r="AA13" i="8"/>
  <c r="X13" i="8"/>
  <c r="V13" i="8"/>
  <c r="U13" i="8"/>
  <c r="S13" i="8"/>
  <c r="P13" i="8"/>
  <c r="N13" i="8"/>
  <c r="K13" i="8"/>
  <c r="J13" i="8"/>
  <c r="I13" i="8"/>
  <c r="H13" i="8"/>
  <c r="G13" i="8"/>
  <c r="F13" i="8"/>
  <c r="B13" i="8"/>
  <c r="AB13" i="8" s="1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M8" i="8"/>
  <c r="L8" i="8"/>
  <c r="B8" i="8"/>
  <c r="H8" i="8" s="1"/>
  <c r="W7" i="8"/>
  <c r="Q7" i="8"/>
  <c r="K7" i="8"/>
  <c r="B7" i="8"/>
  <c r="G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M3" i="8"/>
  <c r="L3" i="8"/>
  <c r="K3" i="8"/>
  <c r="I3" i="8"/>
  <c r="B3" i="8"/>
  <c r="AB3" i="8" s="1"/>
  <c r="AA2" i="8"/>
  <c r="Z2" i="8"/>
  <c r="W2" i="8"/>
  <c r="V2" i="8"/>
  <c r="U2" i="8"/>
  <c r="T2" i="8"/>
  <c r="S2" i="8"/>
  <c r="R2" i="8"/>
  <c r="Q2" i="8"/>
  <c r="P2" i="8"/>
  <c r="N2" i="8"/>
  <c r="M2" i="8"/>
  <c r="L2" i="8"/>
  <c r="K2" i="8"/>
  <c r="I2" i="8"/>
  <c r="H2" i="8"/>
  <c r="G2" i="8"/>
  <c r="F2" i="8"/>
  <c r="D2" i="8"/>
  <c r="C2" i="8"/>
  <c r="B2" i="8"/>
  <c r="O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K17" i="7"/>
  <c r="J17" i="7"/>
  <c r="I17" i="7"/>
  <c r="H17" i="7"/>
  <c r="B17" i="7"/>
  <c r="Z17" i="7" s="1"/>
  <c r="N16" i="7"/>
  <c r="M16" i="7"/>
  <c r="L16" i="7"/>
  <c r="J16" i="7"/>
  <c r="H16" i="7"/>
  <c r="G16" i="7"/>
  <c r="B16" i="7"/>
  <c r="AA16" i="7" s="1"/>
  <c r="Z15" i="7"/>
  <c r="T15" i="7"/>
  <c r="S15" i="7"/>
  <c r="R15" i="7"/>
  <c r="Q15" i="7"/>
  <c r="K15" i="7"/>
  <c r="H15" i="7"/>
  <c r="E15" i="7"/>
  <c r="B15" i="7"/>
  <c r="Y15" i="7" s="1"/>
  <c r="AB14" i="7"/>
  <c r="X14" i="7"/>
  <c r="U14" i="7"/>
  <c r="T14" i="7"/>
  <c r="R14" i="7"/>
  <c r="O14" i="7"/>
  <c r="J14" i="7"/>
  <c r="F14" i="7"/>
  <c r="B14" i="7"/>
  <c r="AA14" i="7" s="1"/>
  <c r="AB13" i="7"/>
  <c r="AA13" i="7"/>
  <c r="X13" i="7"/>
  <c r="W13" i="7"/>
  <c r="V13" i="7"/>
  <c r="S13" i="7"/>
  <c r="R13" i="7"/>
  <c r="Q13" i="7"/>
  <c r="N13" i="7"/>
  <c r="M13" i="7"/>
  <c r="K13" i="7"/>
  <c r="J13" i="7"/>
  <c r="F13" i="7"/>
  <c r="E13" i="7"/>
  <c r="B13" i="7"/>
  <c r="T13" i="7" s="1"/>
  <c r="AB12" i="7"/>
  <c r="Y12" i="7"/>
  <c r="W12" i="7"/>
  <c r="V12" i="7"/>
  <c r="R12" i="7"/>
  <c r="P12" i="7"/>
  <c r="M12" i="7"/>
  <c r="K12" i="7"/>
  <c r="J12" i="7"/>
  <c r="H12" i="7"/>
  <c r="G12" i="7"/>
  <c r="F12" i="7"/>
  <c r="B12" i="7"/>
  <c r="L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B8" i="7"/>
  <c r="R8" i="7" s="1"/>
  <c r="B7" i="7"/>
  <c r="U7" i="7" s="1"/>
  <c r="W6" i="7"/>
  <c r="U6" i="7"/>
  <c r="S6" i="7"/>
  <c r="Q6" i="7"/>
  <c r="P6" i="7"/>
  <c r="O6" i="7"/>
  <c r="K6" i="7"/>
  <c r="I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P3" i="7"/>
  <c r="O3" i="7"/>
  <c r="N3" i="7"/>
  <c r="M3" i="7"/>
  <c r="L3" i="7"/>
  <c r="K3" i="7"/>
  <c r="J3" i="7"/>
  <c r="H3" i="7"/>
  <c r="G3" i="7"/>
  <c r="B3" i="7"/>
  <c r="Z2" i="7"/>
  <c r="S2" i="7"/>
  <c r="R2" i="7"/>
  <c r="Q2" i="7"/>
  <c r="P2" i="7"/>
  <c r="N2" i="7"/>
  <c r="M2" i="7"/>
  <c r="L2" i="7"/>
  <c r="K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S17" i="6"/>
  <c r="P17" i="6"/>
  <c r="L17" i="6"/>
  <c r="F17" i="6"/>
  <c r="B17" i="6"/>
  <c r="E16" i="6"/>
  <c r="D16" i="6"/>
  <c r="C16" i="6"/>
  <c r="B16" i="6"/>
  <c r="Y15" i="6"/>
  <c r="V15" i="6"/>
  <c r="U15" i="6"/>
  <c r="S15" i="6"/>
  <c r="R15" i="6"/>
  <c r="P15" i="6"/>
  <c r="N15" i="6"/>
  <c r="M15" i="6"/>
  <c r="J15" i="6"/>
  <c r="I15" i="6"/>
  <c r="H15" i="6"/>
  <c r="G15" i="6"/>
  <c r="F15" i="6"/>
  <c r="E15" i="6"/>
  <c r="B15" i="6"/>
  <c r="W15" i="6" s="1"/>
  <c r="AB14" i="6"/>
  <c r="X14" i="6"/>
  <c r="R14" i="6"/>
  <c r="N14" i="6"/>
  <c r="J14" i="6"/>
  <c r="I14" i="6"/>
  <c r="H14" i="6"/>
  <c r="F14" i="6"/>
  <c r="E14" i="6"/>
  <c r="B14" i="6"/>
  <c r="AA14" i="6" s="1"/>
  <c r="Y13" i="6"/>
  <c r="S13" i="6"/>
  <c r="O13" i="6"/>
  <c r="I13" i="6"/>
  <c r="B13" i="6"/>
  <c r="W12" i="6"/>
  <c r="V12" i="6"/>
  <c r="U12" i="6"/>
  <c r="B12" i="6"/>
  <c r="Y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D8" i="6"/>
  <c r="C8" i="6"/>
  <c r="B8" i="6"/>
  <c r="AB8" i="6" s="1"/>
  <c r="B7" i="6"/>
  <c r="J7" i="6" s="1"/>
  <c r="AA6" i="6"/>
  <c r="M6" i="6"/>
  <c r="J6" i="6"/>
  <c r="B6" i="6"/>
  <c r="N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P3" i="6"/>
  <c r="O3" i="6"/>
  <c r="M3" i="6"/>
  <c r="L3" i="6"/>
  <c r="B3" i="6"/>
  <c r="K3" i="6" s="1"/>
  <c r="AB2" i="6"/>
  <c r="Z2" i="6"/>
  <c r="T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T17" i="5"/>
  <c r="S17" i="5"/>
  <c r="R17" i="5"/>
  <c r="B17" i="5"/>
  <c r="K17" i="5" s="1"/>
  <c r="B16" i="5"/>
  <c r="AA15" i="5"/>
  <c r="W15" i="5"/>
  <c r="V15" i="5"/>
  <c r="S15" i="5"/>
  <c r="R15" i="5"/>
  <c r="Q15" i="5"/>
  <c r="P15" i="5"/>
  <c r="O15" i="5"/>
  <c r="N15" i="5"/>
  <c r="I15" i="5"/>
  <c r="G15" i="5"/>
  <c r="F15" i="5"/>
  <c r="C15" i="5"/>
  <c r="B15" i="5"/>
  <c r="Y15" i="5" s="1"/>
  <c r="B14" i="5"/>
  <c r="D14" i="5" s="1"/>
  <c r="Z13" i="5"/>
  <c r="Y13" i="5"/>
  <c r="X13" i="5"/>
  <c r="I13" i="5"/>
  <c r="F13" i="5"/>
  <c r="B13" i="5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U7" i="5"/>
  <c r="N7" i="5"/>
  <c r="I7" i="5"/>
  <c r="B7" i="5"/>
  <c r="D7" i="5" s="1"/>
  <c r="B6" i="5"/>
  <c r="X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B3" i="5"/>
  <c r="D2" i="5"/>
  <c r="B2" i="5"/>
  <c r="F2" i="5" s="1"/>
  <c r="B2" i="1"/>
  <c r="AB8" i="7" l="1"/>
  <c r="C8" i="10"/>
  <c r="C8" i="7"/>
  <c r="F6" i="8"/>
  <c r="F15" i="13"/>
  <c r="X12" i="8"/>
  <c r="U12" i="8"/>
  <c r="S12" i="8"/>
  <c r="D15" i="14"/>
  <c r="O14" i="5"/>
  <c r="AB12" i="6"/>
  <c r="N17" i="6"/>
  <c r="J17" i="6"/>
  <c r="AB17" i="6"/>
  <c r="F7" i="7"/>
  <c r="E8" i="7"/>
  <c r="V14" i="7"/>
  <c r="U15" i="7"/>
  <c r="L17" i="7"/>
  <c r="N3" i="8"/>
  <c r="P6" i="8"/>
  <c r="C12" i="8"/>
  <c r="J14" i="8"/>
  <c r="Q13" i="9"/>
  <c r="S17" i="9"/>
  <c r="K8" i="10"/>
  <c r="G14" i="10"/>
  <c r="U3" i="11"/>
  <c r="D7" i="11"/>
  <c r="O17" i="11"/>
  <c r="F8" i="12"/>
  <c r="V2" i="13"/>
  <c r="U7" i="13"/>
  <c r="AB12" i="13"/>
  <c r="U12" i="13"/>
  <c r="S12" i="13"/>
  <c r="H12" i="13"/>
  <c r="D12" i="13"/>
  <c r="X13" i="13"/>
  <c r="H15" i="13"/>
  <c r="F15" i="14"/>
  <c r="Z2" i="18"/>
  <c r="C13" i="9"/>
  <c r="J17" i="11"/>
  <c r="V14" i="5"/>
  <c r="W17" i="5"/>
  <c r="S3" i="6"/>
  <c r="M17" i="7"/>
  <c r="S13" i="9"/>
  <c r="T17" i="9"/>
  <c r="Z8" i="10"/>
  <c r="P17" i="11"/>
  <c r="G8" i="12"/>
  <c r="X2" i="13"/>
  <c r="W7" i="13"/>
  <c r="I15" i="13"/>
  <c r="I15" i="14"/>
  <c r="P13" i="15"/>
  <c r="N13" i="15"/>
  <c r="J13" i="15"/>
  <c r="H13" i="15"/>
  <c r="D13" i="15"/>
  <c r="AA13" i="15"/>
  <c r="Z13" i="15"/>
  <c r="V13" i="15"/>
  <c r="S13" i="15"/>
  <c r="Z3" i="18"/>
  <c r="E3" i="18"/>
  <c r="D3" i="18"/>
  <c r="Y3" i="18"/>
  <c r="W3" i="18"/>
  <c r="V3" i="18"/>
  <c r="S3" i="18"/>
  <c r="R3" i="18"/>
  <c r="Q3" i="18"/>
  <c r="N3" i="18"/>
  <c r="M3" i="18"/>
  <c r="K3" i="18"/>
  <c r="D2" i="18"/>
  <c r="C17" i="13"/>
  <c r="D8" i="7"/>
  <c r="E14" i="10"/>
  <c r="V17" i="5"/>
  <c r="Q3" i="6"/>
  <c r="AB13" i="6"/>
  <c r="Q13" i="6"/>
  <c r="K14" i="6"/>
  <c r="C17" i="6"/>
  <c r="H7" i="7"/>
  <c r="F8" i="7"/>
  <c r="V15" i="7"/>
  <c r="O3" i="8"/>
  <c r="H14" i="10"/>
  <c r="W14" i="5"/>
  <c r="T15" i="5"/>
  <c r="X17" i="5"/>
  <c r="U3" i="6"/>
  <c r="G13" i="6"/>
  <c r="L14" i="6"/>
  <c r="K15" i="6"/>
  <c r="D17" i="6"/>
  <c r="Y14" i="7"/>
  <c r="W15" i="7"/>
  <c r="Q17" i="7"/>
  <c r="P3" i="8"/>
  <c r="E12" i="8"/>
  <c r="L13" i="8"/>
  <c r="M14" i="8"/>
  <c r="P15" i="8"/>
  <c r="W8" i="9"/>
  <c r="Y8" i="9"/>
  <c r="T8" i="9"/>
  <c r="R8" i="9"/>
  <c r="W13" i="9"/>
  <c r="V14" i="9"/>
  <c r="U17" i="9"/>
  <c r="J14" i="10"/>
  <c r="F7" i="11"/>
  <c r="Y13" i="11"/>
  <c r="V13" i="11"/>
  <c r="J13" i="11"/>
  <c r="Z2" i="13"/>
  <c r="Z7" i="13"/>
  <c r="J12" i="13"/>
  <c r="J15" i="13"/>
  <c r="J15" i="14"/>
  <c r="C13" i="15"/>
  <c r="AB2" i="16"/>
  <c r="AA2" i="16"/>
  <c r="Y2" i="16"/>
  <c r="W2" i="16"/>
  <c r="U2" i="16"/>
  <c r="Q2" i="16"/>
  <c r="K2" i="16"/>
  <c r="H3" i="18"/>
  <c r="C8" i="12"/>
  <c r="V8" i="12"/>
  <c r="R8" i="12"/>
  <c r="P8" i="12"/>
  <c r="M13" i="9"/>
  <c r="I8" i="10"/>
  <c r="D8" i="12"/>
  <c r="Y7" i="8"/>
  <c r="U7" i="8"/>
  <c r="D12" i="8"/>
  <c r="K14" i="8"/>
  <c r="Y3" i="11"/>
  <c r="E7" i="11"/>
  <c r="AA6" i="7"/>
  <c r="H6" i="7"/>
  <c r="I7" i="7"/>
  <c r="H8" i="7"/>
  <c r="N12" i="7"/>
  <c r="Y14" i="5"/>
  <c r="U15" i="5"/>
  <c r="Y17" i="5"/>
  <c r="V3" i="6"/>
  <c r="H13" i="6"/>
  <c r="M14" i="6"/>
  <c r="L15" i="6"/>
  <c r="E17" i="6"/>
  <c r="Y2" i="7"/>
  <c r="I2" i="7"/>
  <c r="F6" i="7"/>
  <c r="K7" i="7"/>
  <c r="I8" i="7"/>
  <c r="O12" i="7"/>
  <c r="S17" i="7"/>
  <c r="Q3" i="8"/>
  <c r="J7" i="8"/>
  <c r="H12" i="8"/>
  <c r="M13" i="8"/>
  <c r="O14" i="8"/>
  <c r="U15" i="8"/>
  <c r="C8" i="9"/>
  <c r="X13" i="9"/>
  <c r="W14" i="9"/>
  <c r="W17" i="9"/>
  <c r="K13" i="11"/>
  <c r="I8" i="12"/>
  <c r="X15" i="12"/>
  <c r="M15" i="12"/>
  <c r="K15" i="12"/>
  <c r="AB15" i="12"/>
  <c r="D15" i="12"/>
  <c r="Y15" i="12"/>
  <c r="V15" i="12"/>
  <c r="AA3" i="13"/>
  <c r="V3" i="13"/>
  <c r="M3" i="13"/>
  <c r="K3" i="13"/>
  <c r="L12" i="13"/>
  <c r="K15" i="13"/>
  <c r="L15" i="14"/>
  <c r="T3" i="15"/>
  <c r="E13" i="15"/>
  <c r="D2" i="16"/>
  <c r="I3" i="18"/>
  <c r="W2" i="18"/>
  <c r="Y2" i="18"/>
  <c r="X2" i="18"/>
  <c r="V2" i="18"/>
  <c r="S2" i="18"/>
  <c r="R2" i="18"/>
  <c r="P2" i="18"/>
  <c r="O2" i="18"/>
  <c r="N2" i="18"/>
  <c r="M2" i="18"/>
  <c r="L2" i="18"/>
  <c r="J2" i="18"/>
  <c r="G2" i="18"/>
  <c r="F2" i="18"/>
  <c r="X14" i="10"/>
  <c r="I14" i="10"/>
  <c r="F14" i="10"/>
  <c r="AA14" i="10"/>
  <c r="D14" i="10"/>
  <c r="U17" i="5"/>
  <c r="E7" i="7"/>
  <c r="O6" i="8"/>
  <c r="Q7" i="11"/>
  <c r="AA7" i="11"/>
  <c r="C7" i="11"/>
  <c r="S7" i="11"/>
  <c r="O7" i="11"/>
  <c r="M7" i="11"/>
  <c r="G15" i="13"/>
  <c r="L14" i="10"/>
  <c r="AB6" i="13"/>
  <c r="Z6" i="13"/>
  <c r="M6" i="13"/>
  <c r="J6" i="13"/>
  <c r="L15" i="13"/>
  <c r="Z7" i="14"/>
  <c r="W7" i="14"/>
  <c r="S7" i="14"/>
  <c r="K7" i="14"/>
  <c r="J7" i="14"/>
  <c r="H7" i="14"/>
  <c r="E7" i="14"/>
  <c r="M15" i="14"/>
  <c r="W7" i="17"/>
  <c r="V7" i="17"/>
  <c r="S7" i="17"/>
  <c r="R7" i="17"/>
  <c r="P7" i="17"/>
  <c r="J7" i="17"/>
  <c r="H7" i="17"/>
  <c r="G7" i="17"/>
  <c r="F7" i="17"/>
  <c r="E7" i="17"/>
  <c r="D7" i="17"/>
  <c r="E17" i="13"/>
  <c r="Z14" i="5"/>
  <c r="T17" i="7"/>
  <c r="R3" i="8"/>
  <c r="K13" i="6"/>
  <c r="O14" i="6"/>
  <c r="G17" i="6"/>
  <c r="M7" i="7"/>
  <c r="K8" i="7"/>
  <c r="S3" i="8"/>
  <c r="M7" i="8"/>
  <c r="O12" i="8"/>
  <c r="Z13" i="9"/>
  <c r="Z14" i="9"/>
  <c r="M14" i="10"/>
  <c r="I7" i="11"/>
  <c r="F6" i="12"/>
  <c r="M8" i="12"/>
  <c r="G6" i="13"/>
  <c r="O12" i="13"/>
  <c r="N15" i="13"/>
  <c r="I3" i="14"/>
  <c r="F3" i="14"/>
  <c r="Y3" i="14"/>
  <c r="X3" i="14"/>
  <c r="V3" i="14"/>
  <c r="T3" i="14"/>
  <c r="C7" i="14"/>
  <c r="N15" i="14"/>
  <c r="Z3" i="15"/>
  <c r="G13" i="15"/>
  <c r="T2" i="16"/>
  <c r="K7" i="17"/>
  <c r="P3" i="18"/>
  <c r="C17" i="11"/>
  <c r="W3" i="6"/>
  <c r="N12" i="8"/>
  <c r="P14" i="8"/>
  <c r="H7" i="11"/>
  <c r="J8" i="12"/>
  <c r="X3" i="6"/>
  <c r="X15" i="7"/>
  <c r="P15" i="7"/>
  <c r="N15" i="7"/>
  <c r="AA15" i="7"/>
  <c r="U17" i="7"/>
  <c r="R14" i="8"/>
  <c r="AB14" i="5"/>
  <c r="Y3" i="6"/>
  <c r="E6" i="6"/>
  <c r="M13" i="6"/>
  <c r="P14" i="6"/>
  <c r="O15" i="6"/>
  <c r="H17" i="6"/>
  <c r="N6" i="7"/>
  <c r="N7" i="7"/>
  <c r="L8" i="7"/>
  <c r="S12" i="7"/>
  <c r="C15" i="7"/>
  <c r="AB15" i="7"/>
  <c r="V17" i="7"/>
  <c r="V3" i="8"/>
  <c r="O7" i="8"/>
  <c r="Q12" i="8"/>
  <c r="R13" i="8"/>
  <c r="S14" i="8"/>
  <c r="C3" i="9"/>
  <c r="Y7" i="9"/>
  <c r="W7" i="9"/>
  <c r="T7" i="9"/>
  <c r="R7" i="9"/>
  <c r="G8" i="9"/>
  <c r="Y12" i="9"/>
  <c r="U12" i="9"/>
  <c r="O12" i="9"/>
  <c r="AA13" i="9"/>
  <c r="N14" i="10"/>
  <c r="J7" i="11"/>
  <c r="Q13" i="11"/>
  <c r="X14" i="11"/>
  <c r="Q8" i="12"/>
  <c r="F15" i="12"/>
  <c r="E3" i="13"/>
  <c r="H6" i="13"/>
  <c r="R12" i="13"/>
  <c r="P15" i="13"/>
  <c r="C3" i="14"/>
  <c r="D7" i="14"/>
  <c r="I13" i="15"/>
  <c r="X2" i="16"/>
  <c r="O7" i="17"/>
  <c r="D15" i="13"/>
  <c r="X15" i="14"/>
  <c r="Q15" i="14"/>
  <c r="O15" i="14"/>
  <c r="K15" i="14"/>
  <c r="H15" i="14"/>
  <c r="G15" i="14"/>
  <c r="AB15" i="14"/>
  <c r="E15" i="14"/>
  <c r="Z15" i="14"/>
  <c r="C15" i="14"/>
  <c r="K2" i="18"/>
  <c r="L7" i="7"/>
  <c r="J8" i="7"/>
  <c r="Y13" i="9"/>
  <c r="AA14" i="5"/>
  <c r="X15" i="5"/>
  <c r="J15" i="5"/>
  <c r="Z15" i="5"/>
  <c r="AA3" i="6"/>
  <c r="I6" i="6"/>
  <c r="N13" i="6"/>
  <c r="Q14" i="6"/>
  <c r="K17" i="6"/>
  <c r="O7" i="7"/>
  <c r="M8" i="7"/>
  <c r="T12" i="7"/>
  <c r="D15" i="7"/>
  <c r="W3" i="8"/>
  <c r="P7" i="8"/>
  <c r="R12" i="8"/>
  <c r="T14" i="8"/>
  <c r="F3" i="9"/>
  <c r="X14" i="9"/>
  <c r="I14" i="9"/>
  <c r="F14" i="9"/>
  <c r="AA14" i="9"/>
  <c r="D14" i="9"/>
  <c r="O14" i="10"/>
  <c r="K7" i="11"/>
  <c r="R13" i="11"/>
  <c r="AB7" i="12"/>
  <c r="S7" i="12"/>
  <c r="J7" i="12"/>
  <c r="G7" i="12"/>
  <c r="S8" i="12"/>
  <c r="G15" i="12"/>
  <c r="F3" i="13"/>
  <c r="K6" i="13"/>
  <c r="T12" i="13"/>
  <c r="S15" i="13"/>
  <c r="D3" i="14"/>
  <c r="G7" i="14"/>
  <c r="R15" i="14"/>
  <c r="K13" i="15"/>
  <c r="T7" i="17"/>
  <c r="AA7" i="19"/>
  <c r="U7" i="19"/>
  <c r="R7" i="19"/>
  <c r="M7" i="19"/>
  <c r="L7" i="19"/>
  <c r="H7" i="19"/>
  <c r="G7" i="19"/>
  <c r="F7" i="19"/>
  <c r="C7" i="19"/>
  <c r="C14" i="10"/>
  <c r="T12" i="8"/>
  <c r="AA6" i="11"/>
  <c r="P6" i="11"/>
  <c r="K6" i="11"/>
  <c r="I6" i="11"/>
  <c r="L7" i="11"/>
  <c r="T15" i="13"/>
  <c r="I7" i="14"/>
  <c r="S15" i="14"/>
  <c r="G6" i="15"/>
  <c r="K6" i="15"/>
  <c r="I6" i="15"/>
  <c r="X6" i="15"/>
  <c r="W6" i="15"/>
  <c r="U6" i="15"/>
  <c r="S6" i="15"/>
  <c r="L13" i="15"/>
  <c r="Z7" i="16"/>
  <c r="V7" i="16"/>
  <c r="U7" i="16"/>
  <c r="T7" i="16"/>
  <c r="P7" i="16"/>
  <c r="O7" i="16"/>
  <c r="M7" i="16"/>
  <c r="J7" i="16"/>
  <c r="I7" i="16"/>
  <c r="G7" i="16"/>
  <c r="E7" i="16"/>
  <c r="U7" i="17"/>
  <c r="X12" i="6"/>
  <c r="K12" i="6"/>
  <c r="Z3" i="8"/>
  <c r="P14" i="10"/>
  <c r="U8" i="12"/>
  <c r="AB13" i="5"/>
  <c r="K13" i="5"/>
  <c r="M17" i="6"/>
  <c r="Z14" i="7"/>
  <c r="S14" i="7"/>
  <c r="Q14" i="7"/>
  <c r="F15" i="7"/>
  <c r="V14" i="8"/>
  <c r="K3" i="9"/>
  <c r="C6" i="11"/>
  <c r="W8" i="12"/>
  <c r="P6" i="13"/>
  <c r="W12" i="13"/>
  <c r="V15" i="13"/>
  <c r="L7" i="14"/>
  <c r="T15" i="14"/>
  <c r="D6" i="15"/>
  <c r="U12" i="15"/>
  <c r="P12" i="15"/>
  <c r="L12" i="15"/>
  <c r="J12" i="15"/>
  <c r="D12" i="15"/>
  <c r="AA12" i="15"/>
  <c r="Z12" i="15"/>
  <c r="W12" i="15"/>
  <c r="T12" i="15"/>
  <c r="M13" i="15"/>
  <c r="C7" i="16"/>
  <c r="X7" i="17"/>
  <c r="D7" i="7"/>
  <c r="P7" i="7"/>
  <c r="N8" i="7"/>
  <c r="S2" i="13"/>
  <c r="AB2" i="13"/>
  <c r="Y2" i="13"/>
  <c r="O2" i="13"/>
  <c r="L2" i="13"/>
  <c r="I2" i="13"/>
  <c r="O6" i="13"/>
  <c r="E6" i="5"/>
  <c r="D15" i="5"/>
  <c r="AB15" i="5"/>
  <c r="K6" i="6"/>
  <c r="D12" i="6"/>
  <c r="P13" i="6"/>
  <c r="T14" i="6"/>
  <c r="Q7" i="7"/>
  <c r="P8" i="7"/>
  <c r="AA3" i="8"/>
  <c r="S7" i="8"/>
  <c r="V12" i="8"/>
  <c r="Q14" i="10"/>
  <c r="N7" i="11"/>
  <c r="I6" i="5"/>
  <c r="D13" i="5"/>
  <c r="E15" i="5"/>
  <c r="C2" i="6"/>
  <c r="AA2" i="6"/>
  <c r="L6" i="6"/>
  <c r="J12" i="6"/>
  <c r="R13" i="6"/>
  <c r="W14" i="6"/>
  <c r="T15" i="6"/>
  <c r="O17" i="6"/>
  <c r="O2" i="7"/>
  <c r="R6" i="7"/>
  <c r="R7" i="7"/>
  <c r="Q8" i="7"/>
  <c r="X12" i="7"/>
  <c r="D14" i="7"/>
  <c r="G15" i="7"/>
  <c r="T7" i="8"/>
  <c r="W12" i="8"/>
  <c r="W13" i="8"/>
  <c r="W14" i="8"/>
  <c r="O3" i="9"/>
  <c r="G7" i="9"/>
  <c r="M8" i="9"/>
  <c r="H12" i="9"/>
  <c r="G14" i="9"/>
  <c r="R14" i="10"/>
  <c r="E6" i="11"/>
  <c r="P7" i="11"/>
  <c r="J12" i="11"/>
  <c r="G12" i="11"/>
  <c r="Z12" i="11"/>
  <c r="X12" i="11"/>
  <c r="Z13" i="11"/>
  <c r="F7" i="12"/>
  <c r="X8" i="12"/>
  <c r="J15" i="12"/>
  <c r="D2" i="13"/>
  <c r="L3" i="13"/>
  <c r="AA6" i="13"/>
  <c r="X12" i="13"/>
  <c r="W15" i="13"/>
  <c r="J3" i="14"/>
  <c r="M7" i="14"/>
  <c r="U15" i="14"/>
  <c r="E6" i="15"/>
  <c r="C12" i="15"/>
  <c r="O13" i="15"/>
  <c r="D7" i="16"/>
  <c r="Y7" i="17"/>
  <c r="Q8" i="10"/>
  <c r="AB8" i="10"/>
  <c r="N8" i="10"/>
  <c r="S14" i="10"/>
  <c r="W13" i="13"/>
  <c r="Y13" i="13"/>
  <c r="Q13" i="13"/>
  <c r="P13" i="13"/>
  <c r="N13" i="13"/>
  <c r="K13" i="13"/>
  <c r="Y15" i="13"/>
  <c r="N7" i="14"/>
  <c r="V15" i="14"/>
  <c r="J6" i="15"/>
  <c r="Q13" i="15"/>
  <c r="AB12" i="16"/>
  <c r="W12" i="16"/>
  <c r="K12" i="16"/>
  <c r="I12" i="16"/>
  <c r="Z7" i="17"/>
  <c r="Z17" i="9"/>
  <c r="AA17" i="9"/>
  <c r="Y8" i="12"/>
  <c r="Y7" i="13"/>
  <c r="I7" i="13"/>
  <c r="G7" i="13"/>
  <c r="AA7" i="13"/>
  <c r="X7" i="13"/>
  <c r="O6" i="6"/>
  <c r="N12" i="6"/>
  <c r="T13" i="6"/>
  <c r="Y14" i="6"/>
  <c r="Q17" i="6"/>
  <c r="Z7" i="8"/>
  <c r="Z14" i="8"/>
  <c r="E17" i="9"/>
  <c r="T14" i="10"/>
  <c r="H6" i="11"/>
  <c r="T7" i="11"/>
  <c r="Z8" i="12"/>
  <c r="C12" i="12"/>
  <c r="F2" i="13"/>
  <c r="C7" i="13"/>
  <c r="F13" i="13"/>
  <c r="U6" i="14"/>
  <c r="T6" i="14"/>
  <c r="R6" i="14"/>
  <c r="K6" i="14"/>
  <c r="J6" i="14"/>
  <c r="G6" i="14"/>
  <c r="E6" i="14"/>
  <c r="O7" i="14"/>
  <c r="W15" i="14"/>
  <c r="L6" i="15"/>
  <c r="H12" i="15"/>
  <c r="R13" i="15"/>
  <c r="H7" i="16"/>
  <c r="C12" i="16"/>
  <c r="Z2" i="17"/>
  <c r="W2" i="17"/>
  <c r="L2" i="17"/>
  <c r="J2" i="17"/>
  <c r="I2" i="17"/>
  <c r="G2" i="17"/>
  <c r="F2" i="17"/>
  <c r="G7" i="7"/>
  <c r="J7" i="7"/>
  <c r="X15" i="13"/>
  <c r="E15" i="13"/>
  <c r="AA15" i="13"/>
  <c r="C15" i="13"/>
  <c r="R15" i="13"/>
  <c r="Q15" i="13"/>
  <c r="O15" i="13"/>
  <c r="M15" i="13"/>
  <c r="J6" i="5"/>
  <c r="P3" i="11"/>
  <c r="K3" i="11"/>
  <c r="I3" i="11"/>
  <c r="G6" i="11"/>
  <c r="R7" i="11"/>
  <c r="E2" i="13"/>
  <c r="K6" i="5"/>
  <c r="G13" i="5"/>
  <c r="D17" i="5"/>
  <c r="T8" i="7"/>
  <c r="H14" i="7"/>
  <c r="I15" i="7"/>
  <c r="Z12" i="8"/>
  <c r="C2" i="5"/>
  <c r="M6" i="5"/>
  <c r="H13" i="5"/>
  <c r="H15" i="5"/>
  <c r="J17" i="5"/>
  <c r="P6" i="6"/>
  <c r="O12" i="6"/>
  <c r="V13" i="6"/>
  <c r="R17" i="6"/>
  <c r="V6" i="7"/>
  <c r="V7" i="7"/>
  <c r="U8" i="7"/>
  <c r="Z13" i="7"/>
  <c r="O13" i="7"/>
  <c r="I14" i="7"/>
  <c r="J15" i="7"/>
  <c r="AA12" i="8"/>
  <c r="AA14" i="8"/>
  <c r="Z3" i="9"/>
  <c r="L7" i="9"/>
  <c r="P8" i="9"/>
  <c r="W12" i="9"/>
  <c r="K14" i="9"/>
  <c r="F17" i="9"/>
  <c r="U14" i="10"/>
  <c r="D3" i="11"/>
  <c r="J6" i="11"/>
  <c r="U7" i="11"/>
  <c r="S14" i="11"/>
  <c r="V14" i="11"/>
  <c r="T14" i="11"/>
  <c r="L14" i="11"/>
  <c r="I14" i="11"/>
  <c r="G14" i="11"/>
  <c r="P7" i="12"/>
  <c r="AA8" i="12"/>
  <c r="H12" i="12"/>
  <c r="O15" i="12"/>
  <c r="G2" i="13"/>
  <c r="W3" i="13"/>
  <c r="D7" i="13"/>
  <c r="G13" i="13"/>
  <c r="AB15" i="13"/>
  <c r="M3" i="14"/>
  <c r="F6" i="14"/>
  <c r="P7" i="14"/>
  <c r="Y15" i="14"/>
  <c r="M6" i="15"/>
  <c r="I12" i="15"/>
  <c r="T13" i="15"/>
  <c r="L7" i="16"/>
  <c r="X12" i="16"/>
  <c r="E6" i="8"/>
  <c r="J3" i="8"/>
  <c r="G3" i="8"/>
  <c r="C3" i="8"/>
  <c r="AB12" i="8"/>
  <c r="V14" i="10"/>
  <c r="E7" i="13"/>
  <c r="R7" i="14"/>
  <c r="AA15" i="14"/>
  <c r="N6" i="15"/>
  <c r="W13" i="15"/>
  <c r="X8" i="7"/>
  <c r="G8" i="7"/>
  <c r="S7" i="7"/>
  <c r="U14" i="6"/>
  <c r="S14" i="6"/>
  <c r="W14" i="10"/>
  <c r="J2" i="13"/>
  <c r="F7" i="13"/>
  <c r="M13" i="13"/>
  <c r="P3" i="14"/>
  <c r="L6" i="14"/>
  <c r="V7" i="14"/>
  <c r="P3" i="15"/>
  <c r="F3" i="15"/>
  <c r="D3" i="15"/>
  <c r="Y3" i="15"/>
  <c r="X3" i="15"/>
  <c r="U3" i="15"/>
  <c r="Q3" i="15"/>
  <c r="O6" i="15"/>
  <c r="M12" i="15"/>
  <c r="AB13" i="15"/>
  <c r="S7" i="16"/>
  <c r="AB7" i="7"/>
  <c r="R6" i="5"/>
  <c r="L17" i="5"/>
  <c r="P12" i="6"/>
  <c r="AB17" i="7"/>
  <c r="E17" i="7"/>
  <c r="C17" i="7"/>
  <c r="G17" i="9"/>
  <c r="E3" i="11"/>
  <c r="Z12" i="12"/>
  <c r="H2" i="13"/>
  <c r="E2" i="5"/>
  <c r="W6" i="5"/>
  <c r="J13" i="5"/>
  <c r="O17" i="5"/>
  <c r="C3" i="6"/>
  <c r="AB6" i="6"/>
  <c r="R12" i="6"/>
  <c r="X15" i="6"/>
  <c r="Q15" i="6"/>
  <c r="Z15" i="6"/>
  <c r="T17" i="6"/>
  <c r="X6" i="7"/>
  <c r="Y7" i="7"/>
  <c r="W8" i="7"/>
  <c r="L14" i="7"/>
  <c r="L15" i="7"/>
  <c r="D17" i="7"/>
  <c r="D3" i="8"/>
  <c r="T13" i="8"/>
  <c r="Q13" i="8"/>
  <c r="O13" i="8"/>
  <c r="C14" i="8"/>
  <c r="N7" i="9"/>
  <c r="AB12" i="12"/>
  <c r="M13" i="5"/>
  <c r="L15" i="5"/>
  <c r="P17" i="5"/>
  <c r="F3" i="6"/>
  <c r="X3" i="7"/>
  <c r="S3" i="7"/>
  <c r="Z6" i="7"/>
  <c r="Z7" i="7"/>
  <c r="Y8" i="7"/>
  <c r="C12" i="7"/>
  <c r="H13" i="7"/>
  <c r="M14" i="7"/>
  <c r="M15" i="7"/>
  <c r="F17" i="7"/>
  <c r="E3" i="8"/>
  <c r="Q8" i="8"/>
  <c r="C13" i="8"/>
  <c r="P7" i="9"/>
  <c r="U8" i="9"/>
  <c r="AA12" i="9"/>
  <c r="N14" i="9"/>
  <c r="K17" i="9"/>
  <c r="W2" i="10"/>
  <c r="X2" i="10"/>
  <c r="P2" i="10"/>
  <c r="M2" i="10"/>
  <c r="Y13" i="10"/>
  <c r="Y14" i="10"/>
  <c r="J3" i="11"/>
  <c r="Q6" i="11"/>
  <c r="X7" i="11"/>
  <c r="L12" i="11"/>
  <c r="F14" i="11"/>
  <c r="X7" i="12"/>
  <c r="R15" i="12"/>
  <c r="M2" i="13"/>
  <c r="H7" i="13"/>
  <c r="O13" i="13"/>
  <c r="S3" i="14"/>
  <c r="M6" i="14"/>
  <c r="X7" i="14"/>
  <c r="C3" i="15"/>
  <c r="P6" i="15"/>
  <c r="N12" i="15"/>
  <c r="X7" i="16"/>
  <c r="X12" i="17"/>
  <c r="J12" i="17"/>
  <c r="I12" i="17"/>
  <c r="F12" i="17"/>
  <c r="E12" i="17"/>
  <c r="D12" i="17"/>
  <c r="AB12" i="17"/>
  <c r="Z12" i="17"/>
  <c r="Y12" i="17"/>
  <c r="W12" i="17"/>
  <c r="V12" i="17"/>
  <c r="U12" i="17"/>
  <c r="S12" i="17"/>
  <c r="Q12" i="17"/>
  <c r="C7" i="7"/>
  <c r="D17" i="11"/>
  <c r="AB6" i="5"/>
  <c r="Z6" i="5"/>
  <c r="L12" i="6"/>
  <c r="Y12" i="8"/>
  <c r="W7" i="7"/>
  <c r="V8" i="7"/>
  <c r="X14" i="8"/>
  <c r="Q14" i="8"/>
  <c r="N14" i="8"/>
  <c r="L14" i="8"/>
  <c r="AB14" i="8"/>
  <c r="L6" i="11"/>
  <c r="V7" i="11"/>
  <c r="H13" i="13"/>
  <c r="K15" i="5"/>
  <c r="Z15" i="8"/>
  <c r="O15" i="8"/>
  <c r="L15" i="8"/>
  <c r="J15" i="8"/>
  <c r="S8" i="9"/>
  <c r="M14" i="9"/>
  <c r="J17" i="9"/>
  <c r="H3" i="11"/>
  <c r="O6" i="11"/>
  <c r="W7" i="11"/>
  <c r="S12" i="6"/>
  <c r="C14" i="6"/>
  <c r="C15" i="6"/>
  <c r="AA15" i="6"/>
  <c r="U17" i="6"/>
  <c r="W3" i="5"/>
  <c r="L3" i="5"/>
  <c r="R13" i="5"/>
  <c r="M15" i="5"/>
  <c r="Q17" i="5"/>
  <c r="T12" i="6"/>
  <c r="D14" i="6"/>
  <c r="D15" i="6"/>
  <c r="AB15" i="6"/>
  <c r="V17" i="6"/>
  <c r="F3" i="7"/>
  <c r="AB6" i="7"/>
  <c r="AA7" i="7"/>
  <c r="Z8" i="7"/>
  <c r="E12" i="7"/>
  <c r="I13" i="7"/>
  <c r="N14" i="7"/>
  <c r="O15" i="7"/>
  <c r="G17" i="7"/>
  <c r="H3" i="8"/>
  <c r="R8" i="8"/>
  <c r="E13" i="8"/>
  <c r="E14" i="8"/>
  <c r="F15" i="8"/>
  <c r="Q7" i="9"/>
  <c r="X8" i="9"/>
  <c r="AB12" i="9"/>
  <c r="O14" i="9"/>
  <c r="M17" i="9"/>
  <c r="C2" i="10"/>
  <c r="Z14" i="10"/>
  <c r="L3" i="11"/>
  <c r="R6" i="11"/>
  <c r="Z7" i="11"/>
  <c r="M12" i="11"/>
  <c r="H14" i="11"/>
  <c r="Y7" i="12"/>
  <c r="AB14" i="12"/>
  <c r="X14" i="12"/>
  <c r="S15" i="12"/>
  <c r="N2" i="13"/>
  <c r="L7" i="13"/>
  <c r="R13" i="13"/>
  <c r="U3" i="14"/>
  <c r="N6" i="14"/>
  <c r="Y7" i="14"/>
  <c r="R14" i="14"/>
  <c r="E3" i="15"/>
  <c r="Q6" i="15"/>
  <c r="O12" i="15"/>
  <c r="Y7" i="16"/>
  <c r="C12" i="17"/>
  <c r="X17" i="18"/>
  <c r="U17" i="18"/>
  <c r="T17" i="18"/>
  <c r="S17" i="18"/>
  <c r="P17" i="18"/>
  <c r="O17" i="18"/>
  <c r="N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AB8" i="18"/>
  <c r="Y12" i="18"/>
  <c r="E15" i="18"/>
  <c r="H2" i="19"/>
  <c r="K3" i="19"/>
  <c r="N6" i="19"/>
  <c r="M8" i="19"/>
  <c r="C12" i="19"/>
  <c r="K13" i="19"/>
  <c r="T14" i="19"/>
  <c r="O8" i="11"/>
  <c r="P2" i="15"/>
  <c r="P7" i="15"/>
  <c r="M8" i="15"/>
  <c r="Z17" i="16"/>
  <c r="L6" i="17"/>
  <c r="C8" i="18"/>
  <c r="Z12" i="18"/>
  <c r="J15" i="18"/>
  <c r="M2" i="19"/>
  <c r="M3" i="19"/>
  <c r="O6" i="19"/>
  <c r="N8" i="19"/>
  <c r="E12" i="19"/>
  <c r="L13" i="19"/>
  <c r="U14" i="19"/>
  <c r="D8" i="18"/>
  <c r="K15" i="18"/>
  <c r="N2" i="19"/>
  <c r="N3" i="19"/>
  <c r="R6" i="19"/>
  <c r="O8" i="19"/>
  <c r="F12" i="19"/>
  <c r="M13" i="19"/>
  <c r="V14" i="19"/>
  <c r="AA15" i="10"/>
  <c r="Q8" i="11"/>
  <c r="P14" i="13"/>
  <c r="V2" i="14"/>
  <c r="R2" i="15"/>
  <c r="R7" i="15"/>
  <c r="O8" i="15"/>
  <c r="X15" i="15"/>
  <c r="F14" i="16"/>
  <c r="C15" i="17"/>
  <c r="E8" i="18"/>
  <c r="M15" i="18"/>
  <c r="O2" i="19"/>
  <c r="P3" i="19"/>
  <c r="W6" i="19"/>
  <c r="P8" i="19"/>
  <c r="G12" i="19"/>
  <c r="O13" i="19"/>
  <c r="AB14" i="19"/>
  <c r="R14" i="13"/>
  <c r="Y2" i="14"/>
  <c r="U2" i="15"/>
  <c r="T7" i="15"/>
  <c r="T8" i="15"/>
  <c r="F6" i="16"/>
  <c r="J14" i="16"/>
  <c r="H8" i="17"/>
  <c r="H15" i="17"/>
  <c r="L17" i="17"/>
  <c r="I6" i="18"/>
  <c r="G8" i="18"/>
  <c r="H13" i="18"/>
  <c r="S15" i="18"/>
  <c r="R2" i="19"/>
  <c r="R3" i="19"/>
  <c r="R8" i="19"/>
  <c r="I12" i="19"/>
  <c r="Q13" i="19"/>
  <c r="C15" i="19"/>
  <c r="T8" i="11"/>
  <c r="D8" i="13"/>
  <c r="S14" i="13"/>
  <c r="V2" i="15"/>
  <c r="U7" i="15"/>
  <c r="W8" i="15"/>
  <c r="G6" i="16"/>
  <c r="Y14" i="16"/>
  <c r="J8" i="17"/>
  <c r="I15" i="17"/>
  <c r="M17" i="17"/>
  <c r="J6" i="18"/>
  <c r="J8" i="18"/>
  <c r="P13" i="18"/>
  <c r="W15" i="18"/>
  <c r="S2" i="19"/>
  <c r="S3" i="19"/>
  <c r="S8" i="19"/>
  <c r="J12" i="19"/>
  <c r="T13" i="19"/>
  <c r="E15" i="19"/>
  <c r="N8" i="17"/>
  <c r="N15" i="17"/>
  <c r="O17" i="17"/>
  <c r="K6" i="18"/>
  <c r="K8" i="18"/>
  <c r="X15" i="18"/>
  <c r="U2" i="19"/>
  <c r="T3" i="19"/>
  <c r="T8" i="19"/>
  <c r="L12" i="19"/>
  <c r="V13" i="19"/>
  <c r="F15" i="19"/>
  <c r="K15" i="16"/>
  <c r="M8" i="18"/>
  <c r="Y15" i="18"/>
  <c r="V2" i="19"/>
  <c r="U3" i="19"/>
  <c r="V8" i="19"/>
  <c r="P12" i="19"/>
  <c r="W13" i="19"/>
  <c r="G15" i="19"/>
  <c r="AA2" i="15"/>
  <c r="Y7" i="15"/>
  <c r="Z8" i="15"/>
  <c r="D14" i="15"/>
  <c r="X15" i="16"/>
  <c r="N8" i="18"/>
  <c r="H14" i="18"/>
  <c r="Z15" i="18"/>
  <c r="V3" i="19"/>
  <c r="Q12" i="19"/>
  <c r="Y13" i="19"/>
  <c r="J15" i="19"/>
  <c r="K6" i="16"/>
  <c r="Q8" i="17"/>
  <c r="U17" i="17"/>
  <c r="Q6" i="18"/>
  <c r="O8" i="18"/>
  <c r="L14" i="18"/>
  <c r="AA15" i="18"/>
  <c r="X2" i="19"/>
  <c r="W3" i="19"/>
  <c r="Y8" i="19"/>
  <c r="R12" i="19"/>
  <c r="Z13" i="19"/>
  <c r="L15" i="19"/>
  <c r="C17" i="19"/>
  <c r="W17" i="17"/>
  <c r="W6" i="18"/>
  <c r="P8" i="18"/>
  <c r="Q14" i="18"/>
  <c r="AB15" i="18"/>
  <c r="Z2" i="19"/>
  <c r="Y3" i="19"/>
  <c r="Z8" i="19"/>
  <c r="T12" i="19"/>
  <c r="AA13" i="19"/>
  <c r="M15" i="19"/>
  <c r="E17" i="19"/>
  <c r="U12" i="19"/>
  <c r="O15" i="19"/>
  <c r="F17" i="19"/>
  <c r="Q8" i="13"/>
  <c r="N13" i="14"/>
  <c r="F2" i="15"/>
  <c r="R3" i="16"/>
  <c r="D13" i="17"/>
  <c r="R8" i="18"/>
  <c r="U14" i="18"/>
  <c r="AA3" i="19"/>
  <c r="AB8" i="19"/>
  <c r="V12" i="19"/>
  <c r="F14" i="19"/>
  <c r="P15" i="19"/>
  <c r="G17" i="19"/>
  <c r="S3" i="16"/>
  <c r="O6" i="16"/>
  <c r="C17" i="16"/>
  <c r="U8" i="17"/>
  <c r="N13" i="17"/>
  <c r="Z17" i="17"/>
  <c r="S8" i="18"/>
  <c r="V14" i="18"/>
  <c r="C3" i="19"/>
  <c r="AB3" i="19"/>
  <c r="C8" i="19"/>
  <c r="Y12" i="19"/>
  <c r="G14" i="19"/>
  <c r="Q15" i="19"/>
  <c r="M17" i="19"/>
  <c r="T8" i="13"/>
  <c r="R13" i="14"/>
  <c r="H2" i="15"/>
  <c r="H7" i="15"/>
  <c r="L17" i="15"/>
  <c r="T3" i="16"/>
  <c r="Q6" i="16"/>
  <c r="D17" i="16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AA8" i="17"/>
  <c r="U13" i="17"/>
  <c r="W8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<sst xmlns="http://schemas.openxmlformats.org/spreadsheetml/2006/main" count="3113" uniqueCount="587">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</sst>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136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ND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1.3953539303556276E-3</v>
      </c>
      <c r="C2" s="7">
        <f>$B2 * IFERROR(VLOOKUP("transport|PM25|Premature mortality", US_national_yearly!$D:$AM, 11, FALSE) / VLOOKUP("transport|PM25|Premature mortality", US_national_yearly!$D:$AM, 10, FALSE), 1)</f>
        <v>1.4126532611932472E-3</v>
      </c>
      <c r="D2" s="7">
        <f>$B2 * IFERROR(VLOOKUP("transport|PM25|Premature mortality", US_national_yearly!$D:$AM, 12, FALSE) / VLOOKUP("transport|PM25|Premature mortality", US_national_yearly!$D:$AM, 10, FALSE), 1)</f>
        <v>1.4299525920308663E-3</v>
      </c>
      <c r="E2" s="7">
        <f>$B2 * IFERROR(VLOOKUP("transport|PM25|Premature mortality", US_national_yearly!$D:$AM, 13, FALSE) / VLOOKUP("transport|PM25|Premature mortality", US_national_yearly!$D:$AM, 10, FALSE), 1)</f>
        <v>1.4472519228684855E-3</v>
      </c>
      <c r="F2" s="7">
        <f>$B2 * IFERROR(VLOOKUP("transport|PM25|Premature mortality", US_national_yearly!$D:$AM, 14, FALSE) / VLOOKUP("transport|PM25|Premature mortality", US_national_yearly!$D:$AM, 10, FALSE), 1)</f>
        <v>1.4645512537061047E-3</v>
      </c>
      <c r="G2" s="7">
        <f>$B2 * IFERROR(VLOOKUP("transport|PM25|Premature mortality", US_national_yearly!$D:$AM, 15, FALSE) / VLOOKUP("transport|PM25|Premature mortality", US_national_yearly!$D:$AM, 10, FALSE), 1)</f>
        <v>1.4982415700439033E-3</v>
      </c>
      <c r="H2" s="7">
        <f>$B2 * IFERROR(VLOOKUP("transport|PM25|Premature mortality", US_national_yearly!$D:$AM, 16, FALSE) / VLOOKUP("transport|PM25|Premature mortality", US_national_yearly!$D:$AM, 10, FALSE), 1)</f>
        <v>1.5319318863817022E-3</v>
      </c>
      <c r="I2" s="7">
        <f>$B2 * IFERROR(VLOOKUP("transport|PM25|Premature mortality", US_national_yearly!$D:$AM, 17, FALSE) / VLOOKUP("transport|PM25|Premature mortality", US_national_yearly!$D:$AM, 10, FALSE), 1)</f>
        <v>1.5540611043507973E-3</v>
      </c>
      <c r="J2" s="7">
        <f>$B2 * IFERROR(VLOOKUP("transport|PM25|Premature mortality", US_national_yearly!$D:$AM, 18, FALSE) / VLOOKUP("transport|PM25|Premature mortality", US_national_yearly!$D:$AM, 10, FALSE), 1)</f>
        <v>1.5761903223198931E-3</v>
      </c>
      <c r="K2" s="7">
        <f>$B2 * IFERROR(VLOOKUP("transport|PM25|Premature mortality", US_national_yearly!$D:$AM, 19, FALSE) / VLOOKUP("transport|PM25|Premature mortality", US_national_yearly!$D:$AM, 10, FALSE), 1)</f>
        <v>1.5983195402889886E-3</v>
      </c>
      <c r="L2" s="7">
        <f>$B2 * IFERROR(VLOOKUP("transport|PM25|Premature mortality", US_national_yearly!$D:$AM, 20, FALSE) / VLOOKUP("transport|PM25|Premature mortality", US_national_yearly!$D:$AM, 10, FALSE), 1)</f>
        <v>1.6204487582580844E-3</v>
      </c>
      <c r="M2" s="7">
        <f>$B2 * IFERROR(VLOOKUP("transport|PM25|Premature mortality", US_national_yearly!$D:$AM, 21, FALSE) / VLOOKUP("transport|PM25|Premature mortality", US_national_yearly!$D:$AM, 10, FALSE), 1)</f>
        <v>1.6425779762271799E-3</v>
      </c>
      <c r="N2" s="7">
        <f>$B2 * IFERROR(VLOOKUP("transport|PM25|Premature mortality", US_national_yearly!$D:$AM, 22, FALSE) / VLOOKUP("transport|PM25|Premature mortality", US_national_yearly!$D:$AM, 10, FALSE), 1)</f>
        <v>1.6597599055873621E-3</v>
      </c>
      <c r="O2" s="7">
        <f>$B2 * IFERROR(VLOOKUP("transport|PM25|Premature mortality", US_national_yearly!$D:$AM, 23, FALSE) / VLOOKUP("transport|PM25|Premature mortality", US_national_yearly!$D:$AM, 10, FALSE), 1)</f>
        <v>1.6769418349475442E-3</v>
      </c>
      <c r="P2" s="7">
        <f>$B2 * IFERROR(VLOOKUP("transport|PM25|Premature mortality", US_national_yearly!$D:$AM, 24, FALSE) / VLOOKUP("transport|PM25|Premature mortality", US_national_yearly!$D:$AM, 10, FALSE), 1)</f>
        <v>1.6941237643077266E-3</v>
      </c>
      <c r="Q2" s="7">
        <f>$B2 * IFERROR(VLOOKUP("transport|PM25|Premature mortality", US_national_yearly!$D:$AM, 25, FALSE) / VLOOKUP("transport|PM25|Premature mortality", US_national_yearly!$D:$AM, 10, FALSE), 1)</f>
        <v>1.7113056936679087E-3</v>
      </c>
      <c r="R2" s="7">
        <f>$B2 * IFERROR(VLOOKUP("transport|PM25|Premature mortality", US_national_yearly!$D:$AM, 26, FALSE) / VLOOKUP("transport|PM25|Premature mortality", US_national_yearly!$D:$AM, 10, FALSE), 1)</f>
        <v>1.728487623028091E-3</v>
      </c>
      <c r="S2" s="7">
        <f>$B2 * IFERROR(VLOOKUP("transport|PM25|Premature mortality", US_national_yearly!$D:$AM, 27, FALSE) / VLOOKUP("transport|PM25|Premature mortality", US_national_yearly!$D:$AM, 10, FALSE), 1)</f>
        <v>1.7375900987109793E-3</v>
      </c>
      <c r="T2" s="7">
        <f>$B2 * IFERROR(VLOOKUP("transport|PM25|Premature mortality", US_national_yearly!$D:$AM, 28, FALSE) / VLOOKUP("transport|PM25|Premature mortality", US_national_yearly!$D:$AM, 10, FALSE), 1)</f>
        <v>1.7466925743938673E-3</v>
      </c>
      <c r="U2" s="7">
        <f>$B2 * IFERROR(VLOOKUP("transport|PM25|Premature mortality", US_national_yearly!$D:$AM, 29, FALSE) / VLOOKUP("transport|PM25|Premature mortality", US_national_yearly!$D:$AM, 10, FALSE), 1)</f>
        <v>1.7557950500767551E-3</v>
      </c>
      <c r="V2" s="7">
        <f>$B2 * IFERROR(VLOOKUP("transport|PM25|Premature mortality", US_national_yearly!$D:$AM, 30, FALSE) / VLOOKUP("transport|PM25|Premature mortality", US_national_yearly!$D:$AM, 10, FALSE), 1)</f>
        <v>1.7648975257596429E-3</v>
      </c>
      <c r="W2" s="7">
        <f>$B2 * IFERROR(VLOOKUP("transport|PM25|Premature mortality", US_national_yearly!$D:$AM, 31, FALSE) / VLOOKUP("transport|PM25|Premature mortality", US_national_yearly!$D:$AM, 10, FALSE), 1)</f>
        <v>1.774000001442531E-3</v>
      </c>
      <c r="X2" s="7">
        <f>$B2 * IFERROR(VLOOKUP("transport|PM25|Premature mortality", US_national_yearly!$D:$AM, 32, FALSE) / VLOOKUP("transport|PM25|Premature mortality", US_national_yearly!$D:$AM, 10, FALSE), 1)</f>
        <v>1.7755916397282111E-3</v>
      </c>
      <c r="Y2" s="7">
        <f>$B2 * IFERROR(VLOOKUP("transport|PM25|Premature mortality", US_national_yearly!$D:$AM, 33, FALSE) / VLOOKUP("transport|PM25|Premature mortality", US_national_yearly!$D:$AM, 10, FALSE), 1)</f>
        <v>1.7771832780138915E-3</v>
      </c>
      <c r="Z2" s="7">
        <f>$B2 * IFERROR(VLOOKUP("transport|PM25|Premature mortality", US_national_yearly!$D:$AM, 34, FALSE) / VLOOKUP("transport|PM25|Premature mortality", US_national_yearly!$D:$AM, 10, FALSE), 1)</f>
        <v>1.7787749162995717E-3</v>
      </c>
      <c r="AA2" s="7">
        <f>$B2 * IFERROR(VLOOKUP("transport|PM25|Premature mortality", US_national_yearly!$D:$AM, 35, FALSE) / VLOOKUP("transport|PM25|Premature mortality", US_national_yearly!$D:$AM, 10, FALSE), 1)</f>
        <v>1.7803665545852521E-3</v>
      </c>
      <c r="AB2" s="7">
        <f>$B2 * IFERROR(VLOOKUP("transport|PM25|Premature mortality", US_national_yearly!$D:$AM, 36, FALSE) / VLOOKUP("transport|PM25|Premature mortality", US_national_yearly!$D:$AM, 10, FALSE), 1)</f>
        <v>1.7819581928709323E-3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3.9248588787885043E-6</v>
      </c>
      <c r="C3" s="7">
        <f>$B3 * IFERROR(VLOOKUP("transport|PM25|Infant mortality", US_national_yearly!$D:$AM, 11, FALSE) / VLOOKUP("transport|PM25|Infant mortality", US_national_yearly!$D:$AM, 10, FALSE), 1)</f>
        <v>3.8906376908247236E-6</v>
      </c>
      <c r="D3" s="7">
        <f>$B3 * IFERROR(VLOOKUP("transport|PM25|Infant mortality", US_national_yearly!$D:$AM, 12, FALSE) / VLOOKUP("transport|PM25|Infant mortality", US_national_yearly!$D:$AM, 10, FALSE), 1)</f>
        <v>3.8564165028609421E-6</v>
      </c>
      <c r="E3" s="7">
        <f>$B3 * IFERROR(VLOOKUP("transport|PM25|Infant mortality", US_national_yearly!$D:$AM, 13, FALSE) / VLOOKUP("transport|PM25|Infant mortality", US_national_yearly!$D:$AM, 10, FALSE), 1)</f>
        <v>3.8221953148971614E-6</v>
      </c>
      <c r="F3" s="7">
        <f>$B3 * IFERROR(VLOOKUP("transport|PM25|Infant mortality", US_national_yearly!$D:$AM, 14, FALSE) / VLOOKUP("transport|PM25|Infant mortality", US_national_yearly!$D:$AM, 10, FALSE), 1)</f>
        <v>3.7879741269333794E-6</v>
      </c>
      <c r="G3" s="7">
        <f>$B3 * IFERROR(VLOOKUP("transport|PM25|Infant mortality", US_national_yearly!$D:$AM, 15, FALSE) / VLOOKUP("transport|PM25|Infant mortality", US_national_yearly!$D:$AM, 10, FALSE), 1)</f>
        <v>2.5192054205563424E-6</v>
      </c>
      <c r="H3" s="7">
        <f>$B3 * IFERROR(VLOOKUP("transport|PM25|Infant mortality", US_national_yearly!$D:$AM, 16, FALSE) / VLOOKUP("transport|PM25|Infant mortality", US_national_yearly!$D:$AM, 10, FALSE), 1)</f>
        <v>1.2504367141793045E-6</v>
      </c>
      <c r="I3" s="7">
        <f>$B3 * IFERROR(VLOOKUP("transport|PM25|Infant mortality", US_national_yearly!$D:$AM, 17, FALSE) / VLOOKUP("transport|PM25|Infant mortality", US_national_yearly!$D:$AM, 10, FALSE), 1)</f>
        <v>1.2422630447148957E-6</v>
      </c>
      <c r="J3" s="7">
        <f>$B3 * IFERROR(VLOOKUP("transport|PM25|Infant mortality", US_national_yearly!$D:$AM, 18, FALSE) / VLOOKUP("transport|PM25|Infant mortality", US_national_yearly!$D:$AM, 10, FALSE), 1)</f>
        <v>1.2340893752504868E-6</v>
      </c>
      <c r="K3" s="7">
        <f>$B3 * IFERROR(VLOOKUP("transport|PM25|Infant mortality", US_national_yearly!$D:$AM, 19, FALSE) / VLOOKUP("transport|PM25|Infant mortality", US_national_yearly!$D:$AM, 10, FALSE), 1)</f>
        <v>1.2259157057860778E-6</v>
      </c>
      <c r="L3" s="7">
        <f>$B3 * IFERROR(VLOOKUP("transport|PM25|Infant mortality", US_national_yearly!$D:$AM, 20, FALSE) / VLOOKUP("transport|PM25|Infant mortality", US_national_yearly!$D:$AM, 10, FALSE), 1)</f>
        <v>1.2177420363216688E-6</v>
      </c>
      <c r="M3" s="7">
        <f>$B3 * IFERROR(VLOOKUP("transport|PM25|Infant mortality", US_national_yearly!$D:$AM, 21, FALSE) / VLOOKUP("transport|PM25|Infant mortality", US_national_yearly!$D:$AM, 10, FALSE), 1)</f>
        <v>1.2095683668572601E-6</v>
      </c>
      <c r="N3" s="7">
        <f>$B3 * IFERROR(VLOOKUP("transport|PM25|Infant mortality", US_national_yearly!$D:$AM, 22, FALSE) / VLOOKUP("transport|PM25|Infant mortality", US_national_yearly!$D:$AM, 10, FALSE), 1)</f>
        <v>1.2044343975200236E-6</v>
      </c>
      <c r="O3" s="7">
        <f>$B3 * IFERROR(VLOOKUP("transport|PM25|Infant mortality", US_national_yearly!$D:$AM, 23, FALSE) / VLOOKUP("transport|PM25|Infant mortality", US_national_yearly!$D:$AM, 10, FALSE), 1)</f>
        <v>1.1993004281827873E-6</v>
      </c>
      <c r="P3" s="7">
        <f>$B3 * IFERROR(VLOOKUP("transport|PM25|Infant mortality", US_national_yearly!$D:$AM, 24, FALSE) / VLOOKUP("transport|PM25|Infant mortality", US_national_yearly!$D:$AM, 10, FALSE), 1)</f>
        <v>1.1941664588455507E-6</v>
      </c>
      <c r="Q3" s="7">
        <f>$B3 * IFERROR(VLOOKUP("transport|PM25|Infant mortality", US_national_yearly!$D:$AM, 25, FALSE) / VLOOKUP("transport|PM25|Infant mortality", US_national_yearly!$D:$AM, 10, FALSE), 1)</f>
        <v>1.1890324895083146E-6</v>
      </c>
      <c r="R3" s="7">
        <f>$B3 * IFERROR(VLOOKUP("transport|PM25|Infant mortality", US_national_yearly!$D:$AM, 26, FALSE) / VLOOKUP("transport|PM25|Infant mortality", US_national_yearly!$D:$AM, 10, FALSE), 1)</f>
        <v>1.1838985201710781E-6</v>
      </c>
      <c r="S3" s="7">
        <f>$B3 * IFERROR(VLOOKUP("transport|PM25|Infant mortality", US_national_yearly!$D:$AM, 27, FALSE) / VLOOKUP("transport|PM25|Infant mortality", US_national_yearly!$D:$AM, 10, FALSE), 1)</f>
        <v>1.1774989224200024E-6</v>
      </c>
      <c r="T3" s="7">
        <f>$B3 * IFERROR(VLOOKUP("transport|PM25|Infant mortality", US_national_yearly!$D:$AM, 28, FALSE) / VLOOKUP("transport|PM25|Infant mortality", US_national_yearly!$D:$AM, 10, FALSE), 1)</f>
        <v>1.1710993246689267E-6</v>
      </c>
      <c r="U3" s="7">
        <f>$B3 * IFERROR(VLOOKUP("transport|PM25|Infant mortality", US_national_yearly!$D:$AM, 29, FALSE) / VLOOKUP("transport|PM25|Infant mortality", US_national_yearly!$D:$AM, 10, FALSE), 1)</f>
        <v>1.1646997269178509E-6</v>
      </c>
      <c r="V3" s="7">
        <f>$B3 * IFERROR(VLOOKUP("transport|PM25|Infant mortality", US_national_yearly!$D:$AM, 30, FALSE) / VLOOKUP("transport|PM25|Infant mortality", US_national_yearly!$D:$AM, 10, FALSE), 1)</f>
        <v>1.1583001291667754E-6</v>
      </c>
      <c r="W3" s="7">
        <f>$B3 * IFERROR(VLOOKUP("transport|PM25|Infant mortality", US_national_yearly!$D:$AM, 31, FALSE) / VLOOKUP("transport|PM25|Infant mortality", US_national_yearly!$D:$AM, 10, FALSE), 1)</f>
        <v>1.1519005314156997E-6</v>
      </c>
      <c r="X3" s="7">
        <f>$B3 * IFERROR(VLOOKUP("transport|PM25|Infant mortality", US_national_yearly!$D:$AM, 32, FALSE) / VLOOKUP("transport|PM25|Infant mortality", US_national_yearly!$D:$AM, 10, FALSE), 1)</f>
        <v>1.1450009606949883E-6</v>
      </c>
      <c r="Y3" s="7">
        <f>$B3 * IFERROR(VLOOKUP("transport|PM25|Infant mortality", US_national_yearly!$D:$AM, 33, FALSE) / VLOOKUP("transport|PM25|Infant mortality", US_national_yearly!$D:$AM, 10, FALSE), 1)</f>
        <v>1.1381013899742766E-6</v>
      </c>
      <c r="Z3" s="7">
        <f>$B3 * IFERROR(VLOOKUP("transport|PM25|Infant mortality", US_national_yearly!$D:$AM, 34, FALSE) / VLOOKUP("transport|PM25|Infant mortality", US_national_yearly!$D:$AM, 10, FALSE), 1)</f>
        <v>1.1312018192535652E-6</v>
      </c>
      <c r="AA3" s="7">
        <f>$B3 * IFERROR(VLOOKUP("transport|PM25|Infant mortality", US_national_yearly!$D:$AM, 35, FALSE) / VLOOKUP("transport|PM25|Infant mortality", US_national_yearly!$D:$AM, 10, FALSE), 1)</f>
        <v>1.1243022485328537E-6</v>
      </c>
      <c r="AB3" s="7">
        <f>$B3 * IFERROR(VLOOKUP("transport|PM25|Infant mortality", US_national_yearly!$D:$AM, 36, FALSE) / VLOOKUP("transport|PM25|Infant mortality", US_national_yearly!$D:$AM, 10, FALSE), 1)</f>
        <v>1.1174026778121423E-6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4.0869255885180441E-3</v>
      </c>
      <c r="C6" s="7">
        <f>$B6 * IFERROR(VLOOKUP("transport|PM25|Asthma symptoms cough", US_national_yearly!$D:$AM, 11, FALSE) / VLOOKUP("transport|PM25|Asthma symptoms cough", US_national_yearly!$D:$AM, 10, FALSE), 1)</f>
        <v>4.0869255885180441E-3</v>
      </c>
      <c r="D6" s="7">
        <f>$B6 * IFERROR(VLOOKUP("transport|PM25|Asthma symptoms cough", US_national_yearly!$D:$AM, 12, FALSE) / VLOOKUP("transport|PM25|Asthma symptoms cough", US_national_yearly!$D:$AM, 10, FALSE), 1)</f>
        <v>4.0869255885180441E-3</v>
      </c>
      <c r="E6" s="7">
        <f>$B6 * IFERROR(VLOOKUP("transport|PM25|Asthma symptoms cough", US_national_yearly!$D:$AM, 13, FALSE) / VLOOKUP("transport|PM25|Asthma symptoms cough", US_national_yearly!$D:$AM, 10, FALSE), 1)</f>
        <v>4.0869255885180441E-3</v>
      </c>
      <c r="F6" s="7">
        <f>$B6 * IFERROR(VLOOKUP("transport|PM25|Asthma symptoms cough", US_national_yearly!$D:$AM, 14, FALSE) / VLOOKUP("transport|PM25|Asthma symptoms cough", US_national_yearly!$D:$AM, 10, FALSE), 1)</f>
        <v>4.0869255885180441E-3</v>
      </c>
      <c r="G6" s="7">
        <f>$B6 * IFERROR(VLOOKUP("transport|PM25|Asthma symptoms cough", US_national_yearly!$D:$AM, 15, FALSE) / VLOOKUP("transport|PM25|Asthma symptoms cough", US_national_yearly!$D:$AM, 10, FALSE), 1)</f>
        <v>4.0869255885180441E-3</v>
      </c>
      <c r="H6" s="7">
        <f>$B6 * IFERROR(VLOOKUP("transport|PM25|Asthma symptoms cough", US_national_yearly!$D:$AM, 16, FALSE) / VLOOKUP("transport|PM25|Asthma symptoms cough", US_national_yearly!$D:$AM, 10, FALSE), 1)</f>
        <v>4.0869255885180441E-3</v>
      </c>
      <c r="I6" s="7">
        <f>$B6 * IFERROR(VLOOKUP("transport|PM25|Asthma symptoms cough", US_national_yearly!$D:$AM, 17, FALSE) / VLOOKUP("transport|PM25|Asthma symptoms cough", US_national_yearly!$D:$AM, 10, FALSE), 1)</f>
        <v>4.0869255885180441E-3</v>
      </c>
      <c r="J6" s="7">
        <f>$B6 * IFERROR(VLOOKUP("transport|PM25|Asthma symptoms cough", US_national_yearly!$D:$AM, 18, FALSE) / VLOOKUP("transport|PM25|Asthma symptoms cough", US_national_yearly!$D:$AM, 10, FALSE), 1)</f>
        <v>4.0869255885180441E-3</v>
      </c>
      <c r="K6" s="7">
        <f>$B6 * IFERROR(VLOOKUP("transport|PM25|Asthma symptoms cough", US_national_yearly!$D:$AM, 19, FALSE) / VLOOKUP("transport|PM25|Asthma symptoms cough", US_national_yearly!$D:$AM, 10, FALSE), 1)</f>
        <v>4.0869255885180441E-3</v>
      </c>
      <c r="L6" s="7">
        <f>$B6 * IFERROR(VLOOKUP("transport|PM25|Asthma symptoms cough", US_national_yearly!$D:$AM, 20, FALSE) / VLOOKUP("transport|PM25|Asthma symptoms cough", US_national_yearly!$D:$AM, 10, FALSE), 1)</f>
        <v>4.0869255885180441E-3</v>
      </c>
      <c r="M6" s="7">
        <f>$B6 * IFERROR(VLOOKUP("transport|PM25|Asthma symptoms cough", US_national_yearly!$D:$AM, 21, FALSE) / VLOOKUP("transport|PM25|Asthma symptoms cough", US_national_yearly!$D:$AM, 10, FALSE), 1)</f>
        <v>4.0869255885180441E-3</v>
      </c>
      <c r="N6" s="7">
        <f>$B6 * IFERROR(VLOOKUP("transport|PM25|Asthma symptoms cough", US_national_yearly!$D:$AM, 22, FALSE) / VLOOKUP("transport|PM25|Asthma symptoms cough", US_national_yearly!$D:$AM, 10, FALSE), 1)</f>
        <v>4.0869255885180441E-3</v>
      </c>
      <c r="O6" s="7">
        <f>$B6 * IFERROR(VLOOKUP("transport|PM25|Asthma symptoms cough", US_national_yearly!$D:$AM, 23, FALSE) / VLOOKUP("transport|PM25|Asthma symptoms cough", US_national_yearly!$D:$AM, 10, FALSE), 1)</f>
        <v>4.0869255885180441E-3</v>
      </c>
      <c r="P6" s="7">
        <f>$B6 * IFERROR(VLOOKUP("transport|PM25|Asthma symptoms cough", US_national_yearly!$D:$AM, 24, FALSE) / VLOOKUP("transport|PM25|Asthma symptoms cough", US_national_yearly!$D:$AM, 10, FALSE), 1)</f>
        <v>4.0869255885180441E-3</v>
      </c>
      <c r="Q6" s="7">
        <f>$B6 * IFERROR(VLOOKUP("transport|PM25|Asthma symptoms cough", US_national_yearly!$D:$AM, 25, FALSE) / VLOOKUP("transport|PM25|Asthma symptoms cough", US_national_yearly!$D:$AM, 10, FALSE), 1)</f>
        <v>4.0869255885180441E-3</v>
      </c>
      <c r="R6" s="7">
        <f>$B6 * IFERROR(VLOOKUP("transport|PM25|Asthma symptoms cough", US_national_yearly!$D:$AM, 26, FALSE) / VLOOKUP("transport|PM25|Asthma symptoms cough", US_national_yearly!$D:$AM, 10, FALSE), 1)</f>
        <v>4.0869255885180441E-3</v>
      </c>
      <c r="S6" s="7">
        <f>$B6 * IFERROR(VLOOKUP("transport|PM25|Asthma symptoms cough", US_national_yearly!$D:$AM, 27, FALSE) / VLOOKUP("transport|PM25|Asthma symptoms cough", US_national_yearly!$D:$AM, 10, FALSE), 1)</f>
        <v>4.0869255885180441E-3</v>
      </c>
      <c r="T6" s="7">
        <f>$B6 * IFERROR(VLOOKUP("transport|PM25|Asthma symptoms cough", US_national_yearly!$D:$AM, 28, FALSE) / VLOOKUP("transport|PM25|Asthma symptoms cough", US_national_yearly!$D:$AM, 10, FALSE), 1)</f>
        <v>4.0869255885180441E-3</v>
      </c>
      <c r="U6" s="7">
        <f>$B6 * IFERROR(VLOOKUP("transport|PM25|Asthma symptoms cough", US_national_yearly!$D:$AM, 29, FALSE) / VLOOKUP("transport|PM25|Asthma symptoms cough", US_national_yearly!$D:$AM, 10, FALSE), 1)</f>
        <v>4.0869255885180441E-3</v>
      </c>
      <c r="V6" s="7">
        <f>$B6 * IFERROR(VLOOKUP("transport|PM25|Asthma symptoms cough", US_national_yearly!$D:$AM, 30, FALSE) / VLOOKUP("transport|PM25|Asthma symptoms cough", US_national_yearly!$D:$AM, 10, FALSE), 1)</f>
        <v>4.0869255885180441E-3</v>
      </c>
      <c r="W6" s="7">
        <f>$B6 * IFERROR(VLOOKUP("transport|PM25|Asthma symptoms cough", US_national_yearly!$D:$AM, 31, FALSE) / VLOOKUP("transport|PM25|Asthma symptoms cough", US_national_yearly!$D:$AM, 10, FALSE), 1)</f>
        <v>4.0869255885180441E-3</v>
      </c>
      <c r="X6" s="7">
        <f>$B6 * IFERROR(VLOOKUP("transport|PM25|Asthma symptoms cough", US_national_yearly!$D:$AM, 32, FALSE) / VLOOKUP("transport|PM25|Asthma symptoms cough", US_national_yearly!$D:$AM, 10, FALSE), 1)</f>
        <v>4.0869255885180441E-3</v>
      </c>
      <c r="Y6" s="7">
        <f>$B6 * IFERROR(VLOOKUP("transport|PM25|Asthma symptoms cough", US_national_yearly!$D:$AM, 33, FALSE) / VLOOKUP("transport|PM25|Asthma symptoms cough", US_national_yearly!$D:$AM, 10, FALSE), 1)</f>
        <v>4.0869255885180441E-3</v>
      </c>
      <c r="Z6" s="7">
        <f>$B6 * IFERROR(VLOOKUP("transport|PM25|Asthma symptoms cough", US_national_yearly!$D:$AM, 34, FALSE) / VLOOKUP("transport|PM25|Asthma symptoms cough", US_national_yearly!$D:$AM, 10, FALSE), 1)</f>
        <v>4.0869255885180441E-3</v>
      </c>
      <c r="AA6" s="7">
        <f>$B6 * IFERROR(VLOOKUP("transport|PM25|Asthma symptoms cough", US_national_yearly!$D:$AM, 35, FALSE) / VLOOKUP("transport|PM25|Asthma symptoms cough", US_national_yearly!$D:$AM, 10, FALSE), 1)</f>
        <v>4.0869255885180441E-3</v>
      </c>
      <c r="AB6" s="7">
        <f>$B6 * IFERROR(VLOOKUP("transport|PM25|Asthma symptoms cough", US_national_yearly!$D:$AM, 36, FALSE) / VLOOKUP("transport|PM25|Asthma symptoms cough", US_national_yearly!$D:$AM, 10, FALSE), 1)</f>
        <v>4.0869255885180441E-3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5.5036136635204869E-3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5.5036136635204869E-3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5.5036136635204869E-3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5.5036136635204869E-3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5.5036136635204869E-3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5.5036136635204869E-3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5.5036136635204869E-3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5.5036136635204869E-3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5.5036136635204869E-3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5.5036136635204869E-3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5.5036136635204869E-3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5.5036136635204869E-3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5.5036136635204869E-3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5.5036136635204869E-3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5.5036136635204869E-3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5.5036136635204869E-3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5.5036136635204869E-3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5.5036136635204869E-3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5.5036136635204869E-3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5.5036136635204869E-3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5.5036136635204869E-3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5.5036136635204869E-3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5.5036136635204869E-3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5.5036136635204869E-3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5.5036136635204869E-3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5.5036136635204869E-3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5.5036136635204869E-3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8.4086769433904026E-3</v>
      </c>
      <c r="C8" s="7">
        <f>$B8 * IFERROR(VLOOKUP("transport|PM25|Asthma symptoms wheeze", US_national_yearly!$D:$AM, 11, FALSE) / VLOOKUP("transport|PM25|Asthma symptoms wheeze", US_national_yearly!$D:$AM, 10, FALSE), 1)</f>
        <v>8.4086769433904026E-3</v>
      </c>
      <c r="D8" s="7">
        <f>$B8 * IFERROR(VLOOKUP("transport|PM25|Asthma symptoms wheeze", US_national_yearly!$D:$AM, 12, FALSE) / VLOOKUP("transport|PM25|Asthma symptoms wheeze", US_national_yearly!$D:$AM, 10, FALSE), 1)</f>
        <v>8.4086769433904026E-3</v>
      </c>
      <c r="E8" s="7">
        <f>$B8 * IFERROR(VLOOKUP("transport|PM25|Asthma symptoms wheeze", US_national_yearly!$D:$AM, 13, FALSE) / VLOOKUP("transport|PM25|Asthma symptoms wheeze", US_national_yearly!$D:$AM, 10, FALSE), 1)</f>
        <v>8.4086769433904026E-3</v>
      </c>
      <c r="F8" s="7">
        <f>$B8 * IFERROR(VLOOKUP("transport|PM25|Asthma symptoms wheeze", US_national_yearly!$D:$AM, 14, FALSE) / VLOOKUP("transport|PM25|Asthma symptoms wheeze", US_national_yearly!$D:$AM, 10, FALSE), 1)</f>
        <v>8.4086769433904026E-3</v>
      </c>
      <c r="G8" s="7">
        <f>$B8 * IFERROR(VLOOKUP("transport|PM25|Asthma symptoms wheeze", US_national_yearly!$D:$AM, 15, FALSE) / VLOOKUP("transport|PM25|Asthma symptoms wheeze", US_national_yearly!$D:$AM, 10, FALSE), 1)</f>
        <v>8.4086769433904026E-3</v>
      </c>
      <c r="H8" s="7">
        <f>$B8 * IFERROR(VLOOKUP("transport|PM25|Asthma symptoms wheeze", US_national_yearly!$D:$AM, 16, FALSE) / VLOOKUP("transport|PM25|Asthma symptoms wheeze", US_national_yearly!$D:$AM, 10, FALSE), 1)</f>
        <v>8.4086769433904026E-3</v>
      </c>
      <c r="I8" s="7">
        <f>$B8 * IFERROR(VLOOKUP("transport|PM25|Asthma symptoms wheeze", US_national_yearly!$D:$AM, 17, FALSE) / VLOOKUP("transport|PM25|Asthma symptoms wheeze", US_national_yearly!$D:$AM, 10, FALSE), 1)</f>
        <v>8.4086769433904026E-3</v>
      </c>
      <c r="J8" s="7">
        <f>$B8 * IFERROR(VLOOKUP("transport|PM25|Asthma symptoms wheeze", US_national_yearly!$D:$AM, 18, FALSE) / VLOOKUP("transport|PM25|Asthma symptoms wheeze", US_national_yearly!$D:$AM, 10, FALSE), 1)</f>
        <v>8.4086769433904026E-3</v>
      </c>
      <c r="K8" s="7">
        <f>$B8 * IFERROR(VLOOKUP("transport|PM25|Asthma symptoms wheeze", US_national_yearly!$D:$AM, 19, FALSE) / VLOOKUP("transport|PM25|Asthma symptoms wheeze", US_national_yearly!$D:$AM, 10, FALSE), 1)</f>
        <v>8.4086769433904026E-3</v>
      </c>
      <c r="L8" s="7">
        <f>$B8 * IFERROR(VLOOKUP("transport|PM25|Asthma symptoms wheeze", US_national_yearly!$D:$AM, 20, FALSE) / VLOOKUP("transport|PM25|Asthma symptoms wheeze", US_national_yearly!$D:$AM, 10, FALSE), 1)</f>
        <v>8.4086769433904026E-3</v>
      </c>
      <c r="M8" s="7">
        <f>$B8 * IFERROR(VLOOKUP("transport|PM25|Asthma symptoms wheeze", US_national_yearly!$D:$AM, 21, FALSE) / VLOOKUP("transport|PM25|Asthma symptoms wheeze", US_national_yearly!$D:$AM, 10, FALSE), 1)</f>
        <v>8.4086769433904026E-3</v>
      </c>
      <c r="N8" s="7">
        <f>$B8 * IFERROR(VLOOKUP("transport|PM25|Asthma symptoms wheeze", US_national_yearly!$D:$AM, 22, FALSE) / VLOOKUP("transport|PM25|Asthma symptoms wheeze", US_national_yearly!$D:$AM, 10, FALSE), 1)</f>
        <v>8.4086769433904026E-3</v>
      </c>
      <c r="O8" s="7">
        <f>$B8 * IFERROR(VLOOKUP("transport|PM25|Asthma symptoms wheeze", US_national_yearly!$D:$AM, 23, FALSE) / VLOOKUP("transport|PM25|Asthma symptoms wheeze", US_national_yearly!$D:$AM, 10, FALSE), 1)</f>
        <v>8.4086769433904026E-3</v>
      </c>
      <c r="P8" s="7">
        <f>$B8 * IFERROR(VLOOKUP("transport|PM25|Asthma symptoms wheeze", US_national_yearly!$D:$AM, 24, FALSE) / VLOOKUP("transport|PM25|Asthma symptoms wheeze", US_national_yearly!$D:$AM, 10, FALSE), 1)</f>
        <v>8.4086769433904026E-3</v>
      </c>
      <c r="Q8" s="7">
        <f>$B8 * IFERROR(VLOOKUP("transport|PM25|Asthma symptoms wheeze", US_national_yearly!$D:$AM, 25, FALSE) / VLOOKUP("transport|PM25|Asthma symptoms wheeze", US_national_yearly!$D:$AM, 10, FALSE), 1)</f>
        <v>8.4086769433904026E-3</v>
      </c>
      <c r="R8" s="7">
        <f>$B8 * IFERROR(VLOOKUP("transport|PM25|Asthma symptoms wheeze", US_national_yearly!$D:$AM, 26, FALSE) / VLOOKUP("transport|PM25|Asthma symptoms wheeze", US_national_yearly!$D:$AM, 10, FALSE), 1)</f>
        <v>8.4086769433904026E-3</v>
      </c>
      <c r="S8" s="7">
        <f>$B8 * IFERROR(VLOOKUP("transport|PM25|Asthma symptoms wheeze", US_national_yearly!$D:$AM, 27, FALSE) / VLOOKUP("transport|PM25|Asthma symptoms wheeze", US_national_yearly!$D:$AM, 10, FALSE), 1)</f>
        <v>8.4086769433904026E-3</v>
      </c>
      <c r="T8" s="7">
        <f>$B8 * IFERROR(VLOOKUP("transport|PM25|Asthma symptoms wheeze", US_national_yearly!$D:$AM, 28, FALSE) / VLOOKUP("transport|PM25|Asthma symptoms wheeze", US_national_yearly!$D:$AM, 10, FALSE), 1)</f>
        <v>8.4086769433904026E-3</v>
      </c>
      <c r="U8" s="7">
        <f>$B8 * IFERROR(VLOOKUP("transport|PM25|Asthma symptoms wheeze", US_national_yearly!$D:$AM, 29, FALSE) / VLOOKUP("transport|PM25|Asthma symptoms wheeze", US_national_yearly!$D:$AM, 10, FALSE), 1)</f>
        <v>8.4086769433904026E-3</v>
      </c>
      <c r="V8" s="7">
        <f>$B8 * IFERROR(VLOOKUP("transport|PM25|Asthma symptoms wheeze", US_national_yearly!$D:$AM, 30, FALSE) / VLOOKUP("transport|PM25|Asthma symptoms wheeze", US_national_yearly!$D:$AM, 10, FALSE), 1)</f>
        <v>8.4086769433904026E-3</v>
      </c>
      <c r="W8" s="7">
        <f>$B8 * IFERROR(VLOOKUP("transport|PM25|Asthma symptoms wheeze", US_national_yearly!$D:$AM, 31, FALSE) / VLOOKUP("transport|PM25|Asthma symptoms wheeze", US_national_yearly!$D:$AM, 10, FALSE), 1)</f>
        <v>8.4086769433904026E-3</v>
      </c>
      <c r="X8" s="7">
        <f>$B8 * IFERROR(VLOOKUP("transport|PM25|Asthma symptoms wheeze", US_national_yearly!$D:$AM, 32, FALSE) / VLOOKUP("transport|PM25|Asthma symptoms wheeze", US_national_yearly!$D:$AM, 10, FALSE), 1)</f>
        <v>8.4086769433904026E-3</v>
      </c>
      <c r="Y8" s="7">
        <f>$B8 * IFERROR(VLOOKUP("transport|PM25|Asthma symptoms wheeze", US_national_yearly!$D:$AM, 33, FALSE) / VLOOKUP("transport|PM25|Asthma symptoms wheeze", US_national_yearly!$D:$AM, 10, FALSE), 1)</f>
        <v>8.4086769433904026E-3</v>
      </c>
      <c r="Z8" s="7">
        <f>$B8 * IFERROR(VLOOKUP("transport|PM25|Asthma symptoms wheeze", US_national_yearly!$D:$AM, 34, FALSE) / VLOOKUP("transport|PM25|Asthma symptoms wheeze", US_national_yearly!$D:$AM, 10, FALSE), 1)</f>
        <v>8.4086769433904026E-3</v>
      </c>
      <c r="AA8" s="7">
        <f>$B8 * IFERROR(VLOOKUP("transport|PM25|Asthma symptoms wheeze", US_national_yearly!$D:$AM, 35, FALSE) / VLOOKUP("transport|PM25|Asthma symptoms wheeze", US_national_yearly!$D:$AM, 10, FALSE), 1)</f>
        <v>8.4086769433904026E-3</v>
      </c>
      <c r="AB8" s="7">
        <f>$B8 * IFERROR(VLOOKUP("transport|PM25|Asthma symptoms wheeze", US_national_yearly!$D:$AM, 36, FALSE) / VLOOKUP("transport|PM25|Asthma symptoms wheeze", US_national_yearly!$D:$AM, 10, FALSE), 1)</f>
        <v>8.4086769433904026E-3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9.2339522183920627E-5</v>
      </c>
      <c r="C12" s="7">
        <f>$B12 * IFERROR(VLOOKUP("transport|PM25|Respiratory hospital admissions", US_national_yearly!$D:$AM, 11, FALSE) / VLOOKUP("transport|PM25|Respiratory hospital admissions", US_national_yearly!$D:$AM, 10, FALSE), 1)</f>
        <v>9.2868775106992458E-5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9.3398028030064275E-5</v>
      </c>
      <c r="E12" s="7">
        <f>$B12 * IFERROR(VLOOKUP("transport|PM25|Respiratory hospital admissions", US_national_yearly!$D:$AM, 13, FALSE) / VLOOKUP("transport|PM25|Respiratory hospital admissions", US_national_yearly!$D:$AM, 10, FALSE), 1)</f>
        <v>9.3927280953136106E-5</v>
      </c>
      <c r="F12" s="7">
        <f>$B12 * IFERROR(VLOOKUP("transport|PM25|Respiratory hospital admissions", US_national_yearly!$D:$AM, 14, FALSE) / VLOOKUP("transport|PM25|Respiratory hospital admissions", US_national_yearly!$D:$AM, 10, FALSE), 1)</f>
        <v>9.4456533876207923E-5</v>
      </c>
      <c r="G12" s="7">
        <f>$B12 * IFERROR(VLOOKUP("transport|PM25|Respiratory hospital admissions", US_national_yearly!$D:$AM, 15, FALSE) / VLOOKUP("transport|PM25|Respiratory hospital admissions", US_national_yearly!$D:$AM, 10, FALSE), 1)</f>
        <v>9.5028149608554832E-5</v>
      </c>
      <c r="H12" s="7">
        <f>$B12 * IFERROR(VLOOKUP("transport|PM25|Respiratory hospital admissions", US_national_yearly!$D:$AM, 16, FALSE) / VLOOKUP("transport|PM25|Respiratory hospital admissions", US_national_yearly!$D:$AM, 10, FALSE), 1)</f>
        <v>9.5599765340901742E-5</v>
      </c>
      <c r="I12" s="7">
        <f>$B12 * IFERROR(VLOOKUP("transport|PM25|Respiratory hospital admissions", US_national_yearly!$D:$AM, 17, FALSE) / VLOOKUP("transport|PM25|Respiratory hospital admissions", US_national_yearly!$D:$AM, 10, FALSE), 1)</f>
        <v>9.6145922455470037E-5</v>
      </c>
      <c r="J12" s="7">
        <f>$B12 * IFERROR(VLOOKUP("transport|PM25|Respiratory hospital admissions", US_national_yearly!$D:$AM, 18, FALSE) / VLOOKUP("transport|PM25|Respiratory hospital admissions", US_national_yearly!$D:$AM, 10, FALSE), 1)</f>
        <v>9.6692079570038372E-5</v>
      </c>
      <c r="K12" s="7">
        <f>$B12 * IFERROR(VLOOKUP("transport|PM25|Respiratory hospital admissions", US_national_yearly!$D:$AM, 19, FALSE) / VLOOKUP("transport|PM25|Respiratory hospital admissions", US_national_yearly!$D:$AM, 10, FALSE), 1)</f>
        <v>9.723823668460668E-5</v>
      </c>
      <c r="L12" s="7">
        <f>$B12 * IFERROR(VLOOKUP("transport|PM25|Respiratory hospital admissions", US_national_yearly!$D:$AM, 20, FALSE) / VLOOKUP("transport|PM25|Respiratory hospital admissions", US_national_yearly!$D:$AM, 10, FALSE), 1)</f>
        <v>9.7784393799175016E-5</v>
      </c>
      <c r="M12" s="7">
        <f>$B12 * IFERROR(VLOOKUP("transport|PM25|Respiratory hospital admissions", US_national_yearly!$D:$AM, 21, FALSE) / VLOOKUP("transport|PM25|Respiratory hospital admissions", US_national_yearly!$D:$AM, 10, FALSE), 1)</f>
        <v>9.8330550913743311E-5</v>
      </c>
      <c r="N12" s="7">
        <f>$B12 * IFERROR(VLOOKUP("transport|PM25|Respiratory hospital admissions", US_national_yearly!$D:$AM, 22, FALSE) / VLOOKUP("transport|PM25|Respiratory hospital admissions", US_national_yearly!$D:$AM, 10, FALSE), 1)</f>
        <v>9.8722543812732538E-5</v>
      </c>
      <c r="O12" s="7">
        <f>$B12 * IFERROR(VLOOKUP("transport|PM25|Respiratory hospital admissions", US_national_yearly!$D:$AM, 23, FALSE) / VLOOKUP("transport|PM25|Respiratory hospital admissions", US_national_yearly!$D:$AM, 10, FALSE), 1)</f>
        <v>9.9114536711721737E-5</v>
      </c>
      <c r="P12" s="7">
        <f>$B12 * IFERROR(VLOOKUP("transport|PM25|Respiratory hospital admissions", US_national_yearly!$D:$AM, 24, FALSE) / VLOOKUP("transport|PM25|Respiratory hospital admissions", US_national_yearly!$D:$AM, 10, FALSE), 1)</f>
        <v>9.950652961071091E-5</v>
      </c>
      <c r="Q12" s="7">
        <f>$B12 * IFERROR(VLOOKUP("transport|PM25|Respiratory hospital admissions", US_national_yearly!$D:$AM, 25, FALSE) / VLOOKUP("transport|PM25|Respiratory hospital admissions", US_national_yearly!$D:$AM, 10, FALSE), 1)</f>
        <v>9.989852250970011E-5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1.0029051540868932E-4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1.0066374430059644E-4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1.0103697319250358E-4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1.0141020208441069E-4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1.0178343097631781E-4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1.0215665986822491E-4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1.0251571082321083E-4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1.0287476177819669E-4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1.0323381273318259E-4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1.0359286368816845E-4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1.0395191464315434E-4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9.6382971019708216E-4</v>
      </c>
      <c r="C13" s="7">
        <f>$B13 * IFERROR(VLOOKUP("transport|PM25|Non-fatal heart attacks", US_national_yearly!$D:$AM, 11, FALSE) / VLOOKUP("transport|PM25|Non-fatal heart attacks", US_national_yearly!$D:$AM, 10, FALSE), 1)</f>
        <v>9.9185079758383238E-4</v>
      </c>
      <c r="D13" s="7">
        <f>$B13 * IFERROR(VLOOKUP("transport|PM25|Non-fatal heart attacks", US_national_yearly!$D:$AM, 12, FALSE) / VLOOKUP("transport|PM25|Non-fatal heart attacks", US_national_yearly!$D:$AM, 10, FALSE), 1)</f>
        <v>1.0198718849705824E-3</v>
      </c>
      <c r="E13" s="7">
        <f>$B13 * IFERROR(VLOOKUP("transport|PM25|Non-fatal heart attacks", US_national_yearly!$D:$AM, 13, FALSE) / VLOOKUP("transport|PM25|Non-fatal heart attacks", US_national_yearly!$D:$AM, 10, FALSE), 1)</f>
        <v>1.0478929723573324E-3</v>
      </c>
      <c r="F13" s="7">
        <f>$B13 * IFERROR(VLOOKUP("transport|PM25|Non-fatal heart attacks", US_national_yearly!$D:$AM, 14, FALSE) / VLOOKUP("transport|PM25|Non-fatal heart attacks", US_national_yearly!$D:$AM, 10, FALSE), 1)</f>
        <v>1.0759140597440828E-3</v>
      </c>
      <c r="G13" s="7">
        <f>$B13 * IFERROR(VLOOKUP("transport|PM25|Non-fatal heart attacks", US_national_yearly!$D:$AM, 15, FALSE) / VLOOKUP("transport|PM25|Non-fatal heart attacks", US_national_yearly!$D:$AM, 10, FALSE), 1)</f>
        <v>1.1023397166085892E-3</v>
      </c>
      <c r="H13" s="7">
        <f>$B13 * IFERROR(VLOOKUP("transport|PM25|Non-fatal heart attacks", US_national_yearly!$D:$AM, 16, FALSE) / VLOOKUP("transport|PM25|Non-fatal heart attacks", US_national_yearly!$D:$AM, 10, FALSE), 1)</f>
        <v>1.1287653734730954E-3</v>
      </c>
      <c r="I13" s="7">
        <f>$B13 * IFERROR(VLOOKUP("transport|PM25|Non-fatal heart attacks", US_national_yearly!$D:$AM, 17, FALSE) / VLOOKUP("transport|PM25|Non-fatal heart attacks", US_national_yearly!$D:$AM, 10, FALSE), 1)</f>
        <v>1.150002808322561E-3</v>
      </c>
      <c r="J13" s="7">
        <f>$B13 * IFERROR(VLOOKUP("transport|PM25|Non-fatal heart attacks", US_national_yearly!$D:$AM, 18, FALSE) / VLOOKUP("transport|PM25|Non-fatal heart attacks", US_national_yearly!$D:$AM, 10, FALSE), 1)</f>
        <v>1.1712402431720264E-3</v>
      </c>
      <c r="K13" s="7">
        <f>$B13 * IFERROR(VLOOKUP("transport|PM25|Non-fatal heart attacks", US_national_yearly!$D:$AM, 19, FALSE) / VLOOKUP("transport|PM25|Non-fatal heart attacks", US_national_yearly!$D:$AM, 10, FALSE), 1)</f>
        <v>1.192477678021492E-3</v>
      </c>
      <c r="L13" s="7">
        <f>$B13 * IFERROR(VLOOKUP("transport|PM25|Non-fatal heart attacks", US_national_yearly!$D:$AM, 20, FALSE) / VLOOKUP("transport|PM25|Non-fatal heart attacks", US_national_yearly!$D:$AM, 10, FALSE), 1)</f>
        <v>1.2137151128709573E-3</v>
      </c>
      <c r="M13" s="7">
        <f>$B13 * IFERROR(VLOOKUP("transport|PM25|Non-fatal heart attacks", US_national_yearly!$D:$AM, 21, FALSE) / VLOOKUP("transport|PM25|Non-fatal heart attacks", US_national_yearly!$D:$AM, 10, FALSE), 1)</f>
        <v>1.2349525477204232E-3</v>
      </c>
      <c r="N13" s="7">
        <f>$B13 * IFERROR(VLOOKUP("transport|PM25|Non-fatal heart attacks", US_national_yearly!$D:$AM, 22, FALSE) / VLOOKUP("transport|PM25|Non-fatal heart attacks", US_national_yearly!$D:$AM, 10, FALSE), 1)</f>
        <v>1.248648596097637E-3</v>
      </c>
      <c r="O13" s="7">
        <f>$B13 * IFERROR(VLOOKUP("transport|PM25|Non-fatal heart attacks", US_national_yearly!$D:$AM, 23, FALSE) / VLOOKUP("transport|PM25|Non-fatal heart attacks", US_national_yearly!$D:$AM, 10, FALSE), 1)</f>
        <v>1.2623446444748512E-3</v>
      </c>
      <c r="P13" s="7">
        <f>$B13 * IFERROR(VLOOKUP("transport|PM25|Non-fatal heart attacks", US_national_yearly!$D:$AM, 24, FALSE) / VLOOKUP("transport|PM25|Non-fatal heart attacks", US_national_yearly!$D:$AM, 10, FALSE), 1)</f>
        <v>1.2760406928520652E-3</v>
      </c>
      <c r="Q13" s="7">
        <f>$B13 * IFERROR(VLOOKUP("transport|PM25|Non-fatal heart attacks", US_national_yearly!$D:$AM, 25, FALSE) / VLOOKUP("transport|PM25|Non-fatal heart attacks", US_national_yearly!$D:$AM, 10, FALSE), 1)</f>
        <v>1.289736741229279E-3</v>
      </c>
      <c r="R13" s="7">
        <f>$B13 * IFERROR(VLOOKUP("transport|PM25|Non-fatal heart attacks", US_national_yearly!$D:$AM, 26, FALSE) / VLOOKUP("transport|PM25|Non-fatal heart attacks", US_national_yearly!$D:$AM, 10, FALSE), 1)</f>
        <v>1.3034327896064932E-3</v>
      </c>
      <c r="S13" s="7">
        <f>$B13 * IFERROR(VLOOKUP("transport|PM25|Non-fatal heart attacks", US_national_yearly!$D:$AM, 27, FALSE) / VLOOKUP("transport|PM25|Non-fatal heart attacks", US_national_yearly!$D:$AM, 10, FALSE), 1)</f>
        <v>1.31064551997505E-3</v>
      </c>
      <c r="T13" s="7">
        <f>$B13 * IFERROR(VLOOKUP("transport|PM25|Non-fatal heart attacks", US_national_yearly!$D:$AM, 28, FALSE) / VLOOKUP("transport|PM25|Non-fatal heart attacks", US_national_yearly!$D:$AM, 10, FALSE), 1)</f>
        <v>1.317858250343607E-3</v>
      </c>
      <c r="U13" s="7">
        <f>$B13 * IFERROR(VLOOKUP("transport|PM25|Non-fatal heart attacks", US_national_yearly!$D:$AM, 29, FALSE) / VLOOKUP("transport|PM25|Non-fatal heart attacks", US_national_yearly!$D:$AM, 10, FALSE), 1)</f>
        <v>1.3250709807121643E-3</v>
      </c>
      <c r="V13" s="7">
        <f>$B13 * IFERROR(VLOOKUP("transport|PM25|Non-fatal heart attacks", US_national_yearly!$D:$AM, 30, FALSE) / VLOOKUP("transport|PM25|Non-fatal heart attacks", US_national_yearly!$D:$AM, 10, FALSE), 1)</f>
        <v>1.3322837110807213E-3</v>
      </c>
      <c r="W13" s="7">
        <f>$B13 * IFERROR(VLOOKUP("transport|PM25|Non-fatal heart attacks", US_national_yearly!$D:$AM, 31, FALSE) / VLOOKUP("transport|PM25|Non-fatal heart attacks", US_national_yearly!$D:$AM, 10, FALSE), 1)</f>
        <v>1.3394964414492781E-3</v>
      </c>
      <c r="X13" s="7">
        <f>$B13 * IFERROR(VLOOKUP("transport|PM25|Non-fatal heart attacks", US_national_yearly!$D:$AM, 32, FALSE) / VLOOKUP("transport|PM25|Non-fatal heart attacks", US_national_yearly!$D:$AM, 10, FALSE), 1)</f>
        <v>1.3449719467383897E-3</v>
      </c>
      <c r="Y13" s="7">
        <f>$B13 * IFERROR(VLOOKUP("transport|PM25|Non-fatal heart attacks", US_national_yearly!$D:$AM, 33, FALSE) / VLOOKUP("transport|PM25|Non-fatal heart attacks", US_national_yearly!$D:$AM, 10, FALSE), 1)</f>
        <v>1.3504474520275014E-3</v>
      </c>
      <c r="Z13" s="7">
        <f>$B13 * IFERROR(VLOOKUP("transport|PM25|Non-fatal heart attacks", US_national_yearly!$D:$AM, 34, FALSE) / VLOOKUP("transport|PM25|Non-fatal heart attacks", US_national_yearly!$D:$AM, 10, FALSE), 1)</f>
        <v>1.355922957316613E-3</v>
      </c>
      <c r="AA13" s="7">
        <f>$B13 * IFERROR(VLOOKUP("transport|PM25|Non-fatal heart attacks", US_national_yearly!$D:$AM, 35, FALSE) / VLOOKUP("transport|PM25|Non-fatal heart attacks", US_national_yearly!$D:$AM, 10, FALSE), 1)</f>
        <v>1.3613984626057248E-3</v>
      </c>
      <c r="AB13" s="7">
        <f>$B13 * IFERROR(VLOOKUP("transport|PM25|Non-fatal heart attacks", US_national_yearly!$D:$AM, 36, FALSE) / VLOOKUP("transport|PM25|Non-fatal heart attacks", US_national_yearly!$D:$AM, 10, FALSE), 1)</f>
        <v>1.3668739678948363E-3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0.48917906847306536</v>
      </c>
      <c r="C14" s="7">
        <f>$B14 * IFERROR(VLOOKUP("transport|PM25|Minor restricted activity days", US_national_yearly!$D:$AM, 11, FALSE) / VLOOKUP("transport|PM25|Minor restricted activity days", US_national_yearly!$D:$AM, 10, FALSE), 1)</f>
        <v>0.4903737017704547</v>
      </c>
      <c r="D14" s="7">
        <f>$B14 * IFERROR(VLOOKUP("transport|PM25|Minor restricted activity days", US_national_yearly!$D:$AM, 12, FALSE) / VLOOKUP("transport|PM25|Minor restricted activity days", US_national_yearly!$D:$AM, 10, FALSE), 1)</f>
        <v>0.49156833506784398</v>
      </c>
      <c r="E14" s="7">
        <f>$B14 * IFERROR(VLOOKUP("transport|PM25|Minor restricted activity days", US_national_yearly!$D:$AM, 13, FALSE) / VLOOKUP("transport|PM25|Minor restricted activity days", US_national_yearly!$D:$AM, 10, FALSE), 1)</f>
        <v>0.49276296836523342</v>
      </c>
      <c r="F14" s="7">
        <f>$B14 * IFERROR(VLOOKUP("transport|PM25|Minor restricted activity days", US_national_yearly!$D:$AM, 14, FALSE) / VLOOKUP("transport|PM25|Minor restricted activity days", US_national_yearly!$D:$AM, 10, FALSE), 1)</f>
        <v>0.49395760166262259</v>
      </c>
      <c r="G14" s="7">
        <f>$B14 * IFERROR(VLOOKUP("transport|PM25|Minor restricted activity days", US_national_yearly!$D:$AM, 15, FALSE) / VLOOKUP("transport|PM25|Minor restricted activity days", US_national_yearly!$D:$AM, 10, FALSE), 1)</f>
        <v>0.49572024734064413</v>
      </c>
      <c r="H14" s="7">
        <f>$B14 * IFERROR(VLOOKUP("transport|PM25|Minor restricted activity days", US_national_yearly!$D:$AM, 16, FALSE) / VLOOKUP("transport|PM25|Minor restricted activity days", US_national_yearly!$D:$AM, 10, FALSE), 1)</f>
        <v>0.49748289301866572</v>
      </c>
      <c r="I14" s="7">
        <f>$B14 * IFERROR(VLOOKUP("transport|PM25|Minor restricted activity days", US_national_yearly!$D:$AM, 17, FALSE) / VLOOKUP("transport|PM25|Minor restricted activity days", US_national_yearly!$D:$AM, 10, FALSE), 1)</f>
        <v>0.50049620996121158</v>
      </c>
      <c r="J14" s="7">
        <f>$B14 * IFERROR(VLOOKUP("transport|PM25|Minor restricted activity days", US_national_yearly!$D:$AM, 18, FALSE) / VLOOKUP("transport|PM25|Minor restricted activity days", US_national_yearly!$D:$AM, 10, FALSE), 1)</f>
        <v>0.50350952690375717</v>
      </c>
      <c r="K14" s="7">
        <f>$B14 * IFERROR(VLOOKUP("transport|PM25|Minor restricted activity days", US_national_yearly!$D:$AM, 19, FALSE) / VLOOKUP("transport|PM25|Minor restricted activity days", US_national_yearly!$D:$AM, 10, FALSE), 1)</f>
        <v>0.50652284384630308</v>
      </c>
      <c r="L14" s="7">
        <f>$B14 * IFERROR(VLOOKUP("transport|PM25|Minor restricted activity days", US_national_yearly!$D:$AM, 20, FALSE) / VLOOKUP("transport|PM25|Minor restricted activity days", US_national_yearly!$D:$AM, 10, FALSE), 1)</f>
        <v>0.50953616078884878</v>
      </c>
      <c r="M14" s="7">
        <f>$B14 * IFERROR(VLOOKUP("transport|PM25|Minor restricted activity days", US_national_yearly!$D:$AM, 21, FALSE) / VLOOKUP("transport|PM25|Minor restricted activity days", US_national_yearly!$D:$AM, 10, FALSE), 1)</f>
        <v>0.51254947773139459</v>
      </c>
      <c r="N14" s="7">
        <f>$B14 * IFERROR(VLOOKUP("transport|PM25|Minor restricted activity days", US_national_yearly!$D:$AM, 22, FALSE) / VLOOKUP("transport|PM25|Minor restricted activity days", US_national_yearly!$D:$AM, 10, FALSE), 1)</f>
        <v>0.51665421535747824</v>
      </c>
      <c r="O14" s="7">
        <f>$B14 * IFERROR(VLOOKUP("transport|PM25|Minor restricted activity days", US_national_yearly!$D:$AM, 23, FALSE) / VLOOKUP("transport|PM25|Minor restricted activity days", US_national_yearly!$D:$AM, 10, FALSE), 1)</f>
        <v>0.52075895298356167</v>
      </c>
      <c r="P14" s="7">
        <f>$B14 * IFERROR(VLOOKUP("transport|PM25|Minor restricted activity days", US_national_yearly!$D:$AM, 24, FALSE) / VLOOKUP("transport|PM25|Minor restricted activity days", US_national_yearly!$D:$AM, 10, FALSE), 1)</f>
        <v>0.52486369060964533</v>
      </c>
      <c r="Q14" s="7">
        <f>$B14 * IFERROR(VLOOKUP("transport|PM25|Minor restricted activity days", US_national_yearly!$D:$AM, 25, FALSE) / VLOOKUP("transport|PM25|Minor restricted activity days", US_national_yearly!$D:$AM, 10, FALSE), 1)</f>
        <v>0.52896842823572887</v>
      </c>
      <c r="R14" s="7">
        <f>$B14 * IFERROR(VLOOKUP("transport|PM25|Minor restricted activity days", US_national_yearly!$D:$AM, 26, FALSE) / VLOOKUP("transport|PM25|Minor restricted activity days", US_national_yearly!$D:$AM, 10, FALSE), 1)</f>
        <v>0.53307316586181241</v>
      </c>
      <c r="S14" s="7">
        <f>$B14 * IFERROR(VLOOKUP("transport|PM25|Minor restricted activity days", US_national_yearly!$D:$AM, 27, FALSE) / VLOOKUP("transport|PM25|Minor restricted activity days", US_national_yearly!$D:$AM, 10, FALSE), 1)</f>
        <v>0.53720617147088889</v>
      </c>
      <c r="T14" s="7">
        <f>$B14 * IFERROR(VLOOKUP("transport|PM25|Minor restricted activity days", US_national_yearly!$D:$AM, 28, FALSE) / VLOOKUP("transport|PM25|Minor restricted activity days", US_national_yearly!$D:$AM, 10, FALSE), 1)</f>
        <v>0.54133917707996537</v>
      </c>
      <c r="U14" s="7">
        <f>$B14 * IFERROR(VLOOKUP("transport|PM25|Minor restricted activity days", US_national_yearly!$D:$AM, 29, FALSE) / VLOOKUP("transport|PM25|Minor restricted activity days", US_national_yearly!$D:$AM, 10, FALSE), 1)</f>
        <v>0.54547218268904185</v>
      </c>
      <c r="V14" s="7">
        <f>$B14 * IFERROR(VLOOKUP("transport|PM25|Minor restricted activity days", US_national_yearly!$D:$AM, 30, FALSE) / VLOOKUP("transport|PM25|Minor restricted activity days", US_national_yearly!$D:$AM, 10, FALSE), 1)</f>
        <v>0.54960518829811833</v>
      </c>
      <c r="W14" s="7">
        <f>$B14 * IFERROR(VLOOKUP("transport|PM25|Minor restricted activity days", US_national_yearly!$D:$AM, 31, FALSE) / VLOOKUP("transport|PM25|Minor restricted activity days", US_national_yearly!$D:$AM, 10, FALSE), 1)</f>
        <v>0.55373819390719481</v>
      </c>
      <c r="X14" s="7">
        <f>$B14 * IFERROR(VLOOKUP("transport|PM25|Minor restricted activity days", US_national_yearly!$D:$AM, 32, FALSE) / VLOOKUP("transport|PM25|Minor restricted activity days", US_national_yearly!$D:$AM, 10, FALSE), 1)</f>
        <v>0.5573260585641483</v>
      </c>
      <c r="Y14" s="7">
        <f>$B14 * IFERROR(VLOOKUP("transport|PM25|Minor restricted activity days", US_national_yearly!$D:$AM, 33, FALSE) / VLOOKUP("transport|PM25|Minor restricted activity days", US_national_yearly!$D:$AM, 10, FALSE), 1)</f>
        <v>0.56091392322110178</v>
      </c>
      <c r="Z14" s="7">
        <f>$B14 * IFERROR(VLOOKUP("transport|PM25|Minor restricted activity days", US_national_yearly!$D:$AM, 34, FALSE) / VLOOKUP("transport|PM25|Minor restricted activity days", US_national_yearly!$D:$AM, 10, FALSE), 1)</f>
        <v>0.56450178787805538</v>
      </c>
      <c r="AA14" s="7">
        <f>$B14 * IFERROR(VLOOKUP("transport|PM25|Minor restricted activity days", US_national_yearly!$D:$AM, 35, FALSE) / VLOOKUP("transport|PM25|Minor restricted activity days", US_national_yearly!$D:$AM, 10, FALSE), 1)</f>
        <v>0.56808965253500876</v>
      </c>
      <c r="AB14" s="7">
        <f>$B14 * IFERROR(VLOOKUP("transport|PM25|Minor restricted activity days", US_national_yearly!$D:$AM, 36, FALSE) / VLOOKUP("transport|PM25|Minor restricted activity days", US_national_yearly!$D:$AM, 10, FALSE), 1)</f>
        <v>0.57167751719196225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8.3429380806499046E-2</v>
      </c>
      <c r="C15" s="7">
        <f>$B15 * IFERROR(VLOOKUP("transport|PM25|Work loss days", US_national_yearly!$D:$AM, 11, FALSE) / VLOOKUP("transport|PM25|Work loss days", US_national_yearly!$D:$AM, 10, FALSE), 1)</f>
        <v>8.3687981838172762E-2</v>
      </c>
      <c r="D15" s="7">
        <f>$B15 * IFERROR(VLOOKUP("transport|PM25|Work loss days", US_national_yearly!$D:$AM, 12, FALSE) / VLOOKUP("transport|PM25|Work loss days", US_national_yearly!$D:$AM, 10, FALSE), 1)</f>
        <v>8.3946582869846478E-2</v>
      </c>
      <c r="E15" s="7">
        <f>$B15 * IFERROR(VLOOKUP("transport|PM25|Work loss days", US_national_yearly!$D:$AM, 13, FALSE) / VLOOKUP("transport|PM25|Work loss days", US_national_yearly!$D:$AM, 10, FALSE), 1)</f>
        <v>8.4205183901520195E-2</v>
      </c>
      <c r="F15" s="7">
        <f>$B15 * IFERROR(VLOOKUP("transport|PM25|Work loss days", US_national_yearly!$D:$AM, 14, FALSE) / VLOOKUP("transport|PM25|Work loss days", US_national_yearly!$D:$AM, 10, FALSE), 1)</f>
        <v>8.4463784933193897E-2</v>
      </c>
      <c r="G15" s="7">
        <f>$B15 * IFERROR(VLOOKUP("transport|PM25|Work loss days", US_national_yearly!$D:$AM, 15, FALSE) / VLOOKUP("transport|PM25|Work loss days", US_national_yearly!$D:$AM, 10, FALSE), 1)</f>
        <v>8.4802827387297997E-2</v>
      </c>
      <c r="H15" s="7">
        <f>$B15 * IFERROR(VLOOKUP("transport|PM25|Work loss days", US_national_yearly!$D:$AM, 16, FALSE) / VLOOKUP("transport|PM25|Work loss days", US_national_yearly!$D:$AM, 10, FALSE), 1)</f>
        <v>8.514186984140211E-2</v>
      </c>
      <c r="I15" s="7">
        <f>$B15 * IFERROR(VLOOKUP("transport|PM25|Work loss days", US_national_yearly!$D:$AM, 17, FALSE) / VLOOKUP("transport|PM25|Work loss days", US_national_yearly!$D:$AM, 10, FALSE), 1)</f>
        <v>8.5641147144623467E-2</v>
      </c>
      <c r="J15" s="7">
        <f>$B15 * IFERROR(VLOOKUP("transport|PM25|Work loss days", US_national_yearly!$D:$AM, 18, FALSE) / VLOOKUP("transport|PM25|Work loss days", US_national_yearly!$D:$AM, 10, FALSE), 1)</f>
        <v>8.6140424447844838E-2</v>
      </c>
      <c r="K15" s="7">
        <f>$B15 * IFERROR(VLOOKUP("transport|PM25|Work loss days", US_national_yearly!$D:$AM, 19, FALSE) / VLOOKUP("transport|PM25|Work loss days", US_national_yearly!$D:$AM, 10, FALSE), 1)</f>
        <v>8.6639701751066195E-2</v>
      </c>
      <c r="L15" s="7">
        <f>$B15 * IFERROR(VLOOKUP("transport|PM25|Work loss days", US_national_yearly!$D:$AM, 20, FALSE) / VLOOKUP("transport|PM25|Work loss days", US_national_yearly!$D:$AM, 10, FALSE), 1)</f>
        <v>8.7138979054287566E-2</v>
      </c>
      <c r="M15" s="7">
        <f>$B15 * IFERROR(VLOOKUP("transport|PM25|Work loss days", US_national_yearly!$D:$AM, 21, FALSE) / VLOOKUP("transport|PM25|Work loss days", US_national_yearly!$D:$AM, 10, FALSE), 1)</f>
        <v>8.7638256357508923E-2</v>
      </c>
      <c r="N15" s="7">
        <f>$B15 * IFERROR(VLOOKUP("transport|PM25|Work loss days", US_national_yearly!$D:$AM, 22, FALSE) / VLOOKUP("transport|PM25|Work loss days", US_national_yearly!$D:$AM, 10, FALSE), 1)</f>
        <v>8.8266634633313495E-2</v>
      </c>
      <c r="O15" s="7">
        <f>$B15 * IFERROR(VLOOKUP("transport|PM25|Work loss days", US_national_yearly!$D:$AM, 23, FALSE) / VLOOKUP("transport|PM25|Work loss days", US_national_yearly!$D:$AM, 10, FALSE), 1)</f>
        <v>8.8895012909118054E-2</v>
      </c>
      <c r="P15" s="7">
        <f>$B15 * IFERROR(VLOOKUP("transport|PM25|Work loss days", US_national_yearly!$D:$AM, 24, FALSE) / VLOOKUP("transport|PM25|Work loss days", US_national_yearly!$D:$AM, 10, FALSE), 1)</f>
        <v>8.952339118492264E-2</v>
      </c>
      <c r="Q15" s="7">
        <f>$B15 * IFERROR(VLOOKUP("transport|PM25|Work loss days", US_national_yearly!$D:$AM, 25, FALSE) / VLOOKUP("transport|PM25|Work loss days", US_national_yearly!$D:$AM, 10, FALSE), 1)</f>
        <v>9.0151769460727185E-2</v>
      </c>
      <c r="R15" s="7">
        <f>$B15 * IFERROR(VLOOKUP("transport|PM25|Work loss days", US_national_yearly!$D:$AM, 26, FALSE) / VLOOKUP("transport|PM25|Work loss days", US_national_yearly!$D:$AM, 10, FALSE), 1)</f>
        <v>9.0780147736531772E-2</v>
      </c>
      <c r="S15" s="7">
        <f>$B15 * IFERROR(VLOOKUP("transport|PM25|Work loss days", US_national_yearly!$D:$AM, 27, FALSE) / VLOOKUP("transport|PM25|Work loss days", US_national_yearly!$D:$AM, 10, FALSE), 1)</f>
        <v>9.1475160937210059E-2</v>
      </c>
      <c r="T15" s="7">
        <f>$B15 * IFERROR(VLOOKUP("transport|PM25|Work loss days", US_national_yearly!$D:$AM, 28, FALSE) / VLOOKUP("transport|PM25|Work loss days", US_national_yearly!$D:$AM, 10, FALSE), 1)</f>
        <v>9.2170174137888375E-2</v>
      </c>
      <c r="U15" s="7">
        <f>$B15 * IFERROR(VLOOKUP("transport|PM25|Work loss days", US_national_yearly!$D:$AM, 29, FALSE) / VLOOKUP("transport|PM25|Work loss days", US_national_yearly!$D:$AM, 10, FALSE), 1)</f>
        <v>9.2865187338566649E-2</v>
      </c>
      <c r="V15" s="7">
        <f>$B15 * IFERROR(VLOOKUP("transport|PM25|Work loss days", US_national_yearly!$D:$AM, 30, FALSE) / VLOOKUP("transport|PM25|Work loss days", US_national_yearly!$D:$AM, 10, FALSE), 1)</f>
        <v>9.3560200539244964E-2</v>
      </c>
      <c r="W15" s="7">
        <f>$B15 * IFERROR(VLOOKUP("transport|PM25|Work loss days", US_national_yearly!$D:$AM, 31, FALSE) / VLOOKUP("transport|PM25|Work loss days", US_national_yearly!$D:$AM, 10, FALSE), 1)</f>
        <v>9.4255213739923252E-2</v>
      </c>
      <c r="X15" s="7">
        <f>$B15 * IFERROR(VLOOKUP("transport|PM25|Work loss days", US_national_yearly!$D:$AM, 32, FALSE) / VLOOKUP("transport|PM25|Work loss days", US_national_yearly!$D:$AM, 10, FALSE), 1)</f>
        <v>9.487187789650274E-2</v>
      </c>
      <c r="Y15" s="7">
        <f>$B15 * IFERROR(VLOOKUP("transport|PM25|Work loss days", US_national_yearly!$D:$AM, 33, FALSE) / VLOOKUP("transport|PM25|Work loss days", US_national_yearly!$D:$AM, 10, FALSE), 1)</f>
        <v>9.5488542053082215E-2</v>
      </c>
      <c r="Z15" s="7">
        <f>$B15 * IFERROR(VLOOKUP("transport|PM25|Work loss days", US_national_yearly!$D:$AM, 34, FALSE) / VLOOKUP("transport|PM25|Work loss days", US_national_yearly!$D:$AM, 10, FALSE), 1)</f>
        <v>9.6105206209661703E-2</v>
      </c>
      <c r="AA15" s="7">
        <f>$B15 * IFERROR(VLOOKUP("transport|PM25|Work loss days", US_national_yearly!$D:$AM, 35, FALSE) / VLOOKUP("transport|PM25|Work loss days", US_national_yearly!$D:$AM, 10, FALSE), 1)</f>
        <v>9.6721870366241205E-2</v>
      </c>
      <c r="AB15" s="7">
        <f>$B15 * IFERROR(VLOOKUP("transport|PM25|Work loss days", US_national_yearly!$D:$AM, 36, FALSE) / VLOOKUP("transport|PM25|Work loss days", US_national_yearly!$D:$AM, 10, FALSE), 1)</f>
        <v>9.733853452282068E-2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1.4405801335166832E-4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1.4836256724469715E-4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1.5266712113772601E-4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1.5697167503075484E-4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1.612762289237837E-4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1.6539922264483103E-4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1.6952221636587839E-4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1.730484269575475E-4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1.7657463754921658E-4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1.8010084814088566E-4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1.836270587325548E-4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1.8715326932422388E-4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1.8950427443377836E-4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1.9185527954333287E-4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1.9420628465288738E-4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1.9655728976244189E-4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1.9890829487199637E-4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2.0015219606730035E-4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2.0139609726260431E-4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2.0263999845790824E-4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2.038838996532122E-4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2.0512780084851615E-4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2.0596521149543394E-4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2.0680262214235173E-4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2.0764003278926949E-4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2.0847744343618728E-4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2.0931485408310507E-4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6.3556680664661651E-5</v>
      </c>
      <c r="C2" s="7">
        <f>$B2 * IFERROR(VLOOKUP("transport|NOx|Premature mortality", US_national_yearly!$D:$AM, 11, FALSE) / VLOOKUP("transport|NOx|Premature mortality", US_national_yearly!$D:$AM, 10, FALSE), 1)</f>
        <v>6.449022087673803E-5</v>
      </c>
      <c r="D2" s="7">
        <f>$B2 * IFERROR(VLOOKUP("transport|NOx|Premature mortality", US_national_yearly!$D:$AM, 12, FALSE) / VLOOKUP("transport|NOx|Premature mortality", US_national_yearly!$D:$AM, 10, FALSE), 1)</f>
        <v>6.5423761088814395E-5</v>
      </c>
      <c r="E2" s="7">
        <f>$B2 * IFERROR(VLOOKUP("transport|NOx|Premature mortality", US_national_yearly!$D:$AM, 13, FALSE) / VLOOKUP("transport|NOx|Premature mortality", US_national_yearly!$D:$AM, 10, FALSE), 1)</f>
        <v>6.6357301300890774E-5</v>
      </c>
      <c r="F2" s="7">
        <f>$B2 * IFERROR(VLOOKUP("transport|NOx|Premature mortality", US_national_yearly!$D:$AM, 14, FALSE) / VLOOKUP("transport|NOx|Premature mortality", US_national_yearly!$D:$AM, 10, FALSE), 1)</f>
        <v>6.7290841512967139E-5</v>
      </c>
      <c r="G2" s="7">
        <f>$B2 * IFERROR(VLOOKUP("transport|NOx|Premature mortality", US_national_yearly!$D:$AM, 15, FALSE) / VLOOKUP("transport|NOx|Premature mortality", US_national_yearly!$D:$AM, 10, FALSE), 1)</f>
        <v>6.896770044535816E-5</v>
      </c>
      <c r="H2" s="7">
        <f>$B2 * IFERROR(VLOOKUP("transport|NOx|Premature mortality", US_national_yearly!$D:$AM, 16, FALSE) / VLOOKUP("transport|NOx|Premature mortality", US_national_yearly!$D:$AM, 10, FALSE), 1)</f>
        <v>7.0644559377749195E-5</v>
      </c>
      <c r="I2" s="7">
        <f>$B2 * IFERROR(VLOOKUP("transport|NOx|Premature mortality", US_national_yearly!$D:$AM, 17, FALSE) / VLOOKUP("transport|NOx|Premature mortality", US_national_yearly!$D:$AM, 10, FALSE), 1)</f>
        <v>7.1727003626332632E-5</v>
      </c>
      <c r="J2" s="7">
        <f>$B2 * IFERROR(VLOOKUP("transport|NOx|Premature mortality", US_national_yearly!$D:$AM, 18, FALSE) / VLOOKUP("transport|NOx|Premature mortality", US_national_yearly!$D:$AM, 10, FALSE), 1)</f>
        <v>7.2809447874916069E-5</v>
      </c>
      <c r="K2" s="7">
        <f>$B2 * IFERROR(VLOOKUP("transport|NOx|Premature mortality", US_national_yearly!$D:$AM, 19, FALSE) / VLOOKUP("transport|NOx|Premature mortality", US_national_yearly!$D:$AM, 10, FALSE), 1)</f>
        <v>7.3891892123499492E-5</v>
      </c>
      <c r="L2" s="7">
        <f>$B2 * IFERROR(VLOOKUP("transport|NOx|Premature mortality", US_national_yearly!$D:$AM, 20, FALSE) / VLOOKUP("transport|NOx|Premature mortality", US_national_yearly!$D:$AM, 10, FALSE), 1)</f>
        <v>7.4974336372082929E-5</v>
      </c>
      <c r="M2" s="7">
        <f>$B2 * IFERROR(VLOOKUP("transport|NOx|Premature mortality", US_national_yearly!$D:$AM, 21, FALSE) / VLOOKUP("transport|NOx|Premature mortality", US_national_yearly!$D:$AM, 10, FALSE), 1)</f>
        <v>7.6056780620666365E-5</v>
      </c>
      <c r="N2" s="7">
        <f>$B2 * IFERROR(VLOOKUP("transport|NOx|Premature mortality", US_national_yearly!$D:$AM, 22, FALSE) / VLOOKUP("transport|NOx|Premature mortality", US_national_yearly!$D:$AM, 10, FALSE), 1)</f>
        <v>7.6858651111967648E-5</v>
      </c>
      <c r="O2" s="7">
        <f>$B2 * IFERROR(VLOOKUP("transport|NOx|Premature mortality", US_national_yearly!$D:$AM, 23, FALSE) / VLOOKUP("transport|NOx|Premature mortality", US_national_yearly!$D:$AM, 10, FALSE), 1)</f>
        <v>7.7660521603268944E-5</v>
      </c>
      <c r="P2" s="7">
        <f>$B2 * IFERROR(VLOOKUP("transport|NOx|Premature mortality", US_national_yearly!$D:$AM, 24, FALSE) / VLOOKUP("transport|NOx|Premature mortality", US_national_yearly!$D:$AM, 10, FALSE), 1)</f>
        <v>7.8462392094570227E-5</v>
      </c>
      <c r="Q2" s="7">
        <f>$B2 * IFERROR(VLOOKUP("transport|NOx|Premature mortality", US_national_yearly!$D:$AM, 25, FALSE) / VLOOKUP("transport|NOx|Premature mortality", US_national_yearly!$D:$AM, 10, FALSE), 1)</f>
        <v>7.9264262585871536E-5</v>
      </c>
      <c r="R2" s="7">
        <f>$B2 * IFERROR(VLOOKUP("transport|NOx|Premature mortality", US_national_yearly!$D:$AM, 26, FALSE) / VLOOKUP("transport|NOx|Premature mortality", US_national_yearly!$D:$AM, 10, FALSE), 1)</f>
        <v>8.0066133077172819E-5</v>
      </c>
      <c r="S2" s="7">
        <f>$B2 * IFERROR(VLOOKUP("transport|NOx|Premature mortality", US_national_yearly!$D:$AM, 27, FALSE) / VLOOKUP("transport|NOx|Premature mortality", US_national_yearly!$D:$AM, 10, FALSE), 1)</f>
        <v>8.0430591290197795E-5</v>
      </c>
      <c r="T2" s="7">
        <f>$B2 * IFERROR(VLOOKUP("transport|NOx|Premature mortality", US_national_yearly!$D:$AM, 28, FALSE) / VLOOKUP("transport|NOx|Premature mortality", US_national_yearly!$D:$AM, 10, FALSE), 1)</f>
        <v>8.0795049503222784E-5</v>
      </c>
      <c r="U2" s="7">
        <f>$B2 * IFERROR(VLOOKUP("transport|NOx|Premature mortality", US_national_yearly!$D:$AM, 29, FALSE) / VLOOKUP("transport|NOx|Premature mortality", US_national_yearly!$D:$AM, 10, FALSE), 1)</f>
        <v>8.115950771624776E-5</v>
      </c>
      <c r="V2" s="7">
        <f>$B2 * IFERROR(VLOOKUP("transport|NOx|Premature mortality", US_national_yearly!$D:$AM, 30, FALSE) / VLOOKUP("transport|NOx|Premature mortality", US_national_yearly!$D:$AM, 10, FALSE), 1)</f>
        <v>8.1523965929272736E-5</v>
      </c>
      <c r="W2" s="7">
        <f>$B2 * IFERROR(VLOOKUP("transport|NOx|Premature mortality", US_national_yearly!$D:$AM, 31, FALSE) / VLOOKUP("transport|NOx|Premature mortality", US_national_yearly!$D:$AM, 10, FALSE), 1)</f>
        <v>8.1888424142297726E-5</v>
      </c>
      <c r="X2" s="7">
        <f>$B2 * IFERROR(VLOOKUP("transport|NOx|Premature mortality", US_national_yearly!$D:$AM, 32, FALSE) / VLOOKUP("transport|NOx|Premature mortality", US_national_yearly!$D:$AM, 10, FALSE), 1)</f>
        <v>8.190104876559623E-5</v>
      </c>
      <c r="Y2" s="7">
        <f>$B2 * IFERROR(VLOOKUP("transport|NOx|Premature mortality", US_national_yearly!$D:$AM, 33, FALSE) / VLOOKUP("transport|NOx|Premature mortality", US_national_yearly!$D:$AM, 10, FALSE), 1)</f>
        <v>8.1913673388894721E-5</v>
      </c>
      <c r="Z2" s="7">
        <f>$B2 * IFERROR(VLOOKUP("transport|NOx|Premature mortality", US_national_yearly!$D:$AM, 34, FALSE) / VLOOKUP("transport|NOx|Premature mortality", US_national_yearly!$D:$AM, 10, FALSE), 1)</f>
        <v>8.1926298012193212E-5</v>
      </c>
      <c r="AA2" s="7">
        <f>$B2 * IFERROR(VLOOKUP("transport|NOx|Premature mortality", US_national_yearly!$D:$AM, 35, FALSE) / VLOOKUP("transport|NOx|Premature mortality", US_national_yearly!$D:$AM, 10, FALSE), 1)</f>
        <v>8.1938922635491716E-5</v>
      </c>
      <c r="AB2" s="7">
        <f>$B2 * IFERROR(VLOOKUP("transport|NOx|Premature mortality", US_national_yearly!$D:$AM, 36, FALSE) / VLOOKUP("transport|NOx|Premature mortality", US_national_yearly!$D:$AM, 10, FALSE), 1)</f>
        <v>8.1951547258790221E-5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1.7776909448838875E-7</v>
      </c>
      <c r="C3" s="7">
        <f>$B3 * IFERROR(VLOOKUP("transport|NOx|Infant mortality", US_national_yearly!$D:$AM, 11, FALSE) / VLOOKUP("transport|NOx|Infant mortality", US_national_yearly!$D:$AM, 10, FALSE), 1)</f>
        <v>1.7607539087884608E-7</v>
      </c>
      <c r="D3" s="7">
        <f>$B3 * IFERROR(VLOOKUP("transport|NOx|Infant mortality", US_national_yearly!$D:$AM, 12, FALSE) / VLOOKUP("transport|NOx|Infant mortality", US_national_yearly!$D:$AM, 10, FALSE), 1)</f>
        <v>1.7438168726930339E-7</v>
      </c>
      <c r="E3" s="7">
        <f>$B3 * IFERROR(VLOOKUP("transport|NOx|Infant mortality", US_national_yearly!$D:$AM, 13, FALSE) / VLOOKUP("transport|NOx|Infant mortality", US_national_yearly!$D:$AM, 10, FALSE), 1)</f>
        <v>1.7268798365976072E-7</v>
      </c>
      <c r="F3" s="7">
        <f>$B3 * IFERROR(VLOOKUP("transport|NOx|Infant mortality", US_national_yearly!$D:$AM, 14, FALSE) / VLOOKUP("transport|NOx|Infant mortality", US_national_yearly!$D:$AM, 10, FALSE), 1)</f>
        <v>1.7099428005021803E-7</v>
      </c>
      <c r="G3" s="7">
        <f>$B3 * IFERROR(VLOOKUP("transport|NOx|Infant mortality", US_national_yearly!$D:$AM, 15, FALSE) / VLOOKUP("transport|NOx|Infant mortality", US_national_yearly!$D:$AM, 10, FALSE), 1)</f>
        <v>1.1351444696291012E-7</v>
      </c>
      <c r="H3" s="7">
        <f>$B3 * IFERROR(VLOOKUP("transport|NOx|Infant mortality", US_national_yearly!$D:$AM, 16, FALSE) / VLOOKUP("transport|NOx|Infant mortality", US_national_yearly!$D:$AM, 10, FALSE), 1)</f>
        <v>5.6034613875602221E-8</v>
      </c>
      <c r="I3" s="7">
        <f>$B3 * IFERROR(VLOOKUP("transport|NOx|Infant mortality", US_national_yearly!$D:$AM, 17, FALSE) / VLOOKUP("transport|NOx|Infant mortality", US_national_yearly!$D:$AM, 10, FALSE), 1)</f>
        <v>5.5638395653434364E-8</v>
      </c>
      <c r="J3" s="7">
        <f>$B3 * IFERROR(VLOOKUP("transport|NOx|Infant mortality", US_national_yearly!$D:$AM, 18, FALSE) / VLOOKUP("transport|NOx|Infant mortality", US_national_yearly!$D:$AM, 10, FALSE), 1)</f>
        <v>5.52421774312665E-8</v>
      </c>
      <c r="K3" s="7">
        <f>$B3 * IFERROR(VLOOKUP("transport|NOx|Infant mortality", US_national_yearly!$D:$AM, 19, FALSE) / VLOOKUP("transport|NOx|Infant mortality", US_national_yearly!$D:$AM, 10, FALSE), 1)</f>
        <v>5.4845959209098643E-8</v>
      </c>
      <c r="L3" s="7">
        <f>$B3 * IFERROR(VLOOKUP("transport|NOx|Infant mortality", US_national_yearly!$D:$AM, 20, FALSE) / VLOOKUP("transport|NOx|Infant mortality", US_national_yearly!$D:$AM, 10, FALSE), 1)</f>
        <v>5.4449740986930793E-8</v>
      </c>
      <c r="M3" s="7">
        <f>$B3 * IFERROR(VLOOKUP("transport|NOx|Infant mortality", US_national_yearly!$D:$AM, 21, FALSE) / VLOOKUP("transport|NOx|Infant mortality", US_national_yearly!$D:$AM, 10, FALSE), 1)</f>
        <v>5.4053522764762929E-8</v>
      </c>
      <c r="N3" s="7">
        <f>$B3 * IFERROR(VLOOKUP("transport|NOx|Infant mortality", US_national_yearly!$D:$AM, 22, FALSE) / VLOOKUP("transport|NOx|Infant mortality", US_national_yearly!$D:$AM, 10, FALSE), 1)</f>
        <v>5.3790529675756222E-8</v>
      </c>
      <c r="O3" s="7">
        <f>$B3 * IFERROR(VLOOKUP("transport|NOx|Infant mortality", US_national_yearly!$D:$AM, 23, FALSE) / VLOOKUP("transport|NOx|Infant mortality", US_national_yearly!$D:$AM, 10, FALSE), 1)</f>
        <v>5.3527536586749522E-8</v>
      </c>
      <c r="P3" s="7">
        <f>$B3 * IFERROR(VLOOKUP("transport|NOx|Infant mortality", US_national_yearly!$D:$AM, 24, FALSE) / VLOOKUP("transport|NOx|Infant mortality", US_national_yearly!$D:$AM, 10, FALSE), 1)</f>
        <v>5.3264543497742822E-8</v>
      </c>
      <c r="Q3" s="7">
        <f>$B3 * IFERROR(VLOOKUP("transport|NOx|Infant mortality", US_national_yearly!$D:$AM, 25, FALSE) / VLOOKUP("transport|NOx|Infant mortality", US_national_yearly!$D:$AM, 10, FALSE), 1)</f>
        <v>5.3001550408736122E-8</v>
      </c>
      <c r="R3" s="7">
        <f>$B3 * IFERROR(VLOOKUP("transport|NOx|Infant mortality", US_national_yearly!$D:$AM, 26, FALSE) / VLOOKUP("transport|NOx|Infant mortality", US_national_yearly!$D:$AM, 10, FALSE), 1)</f>
        <v>5.2738557319729422E-8</v>
      </c>
      <c r="S3" s="7">
        <f>$B3 * IFERROR(VLOOKUP("transport|NOx|Infant mortality", US_national_yearly!$D:$AM, 27, FALSE) / VLOOKUP("transport|NOx|Infant mortality", US_national_yearly!$D:$AM, 10, FALSE), 1)</f>
        <v>5.2422397804576204E-8</v>
      </c>
      <c r="T3" s="7">
        <f>$B3 * IFERROR(VLOOKUP("transport|NOx|Infant mortality", US_national_yearly!$D:$AM, 28, FALSE) / VLOOKUP("transport|NOx|Infant mortality", US_national_yearly!$D:$AM, 10, FALSE), 1)</f>
        <v>5.2106238289422992E-8</v>
      </c>
      <c r="U3" s="7">
        <f>$B3 * IFERROR(VLOOKUP("transport|NOx|Infant mortality", US_national_yearly!$D:$AM, 29, FALSE) / VLOOKUP("transport|NOx|Infant mortality", US_national_yearly!$D:$AM, 10, FALSE), 1)</f>
        <v>5.1790078774269781E-8</v>
      </c>
      <c r="V3" s="7">
        <f>$B3 * IFERROR(VLOOKUP("transport|NOx|Infant mortality", US_national_yearly!$D:$AM, 30, FALSE) / VLOOKUP("transport|NOx|Infant mortality", US_national_yearly!$D:$AM, 10, FALSE), 1)</f>
        <v>5.1473919259116562E-8</v>
      </c>
      <c r="W3" s="7">
        <f>$B3 * IFERROR(VLOOKUP("transport|NOx|Infant mortality", US_national_yearly!$D:$AM, 31, FALSE) / VLOOKUP("transport|NOx|Infant mortality", US_national_yearly!$D:$AM, 10, FALSE), 1)</f>
        <v>5.1157759743963351E-8</v>
      </c>
      <c r="X3" s="7">
        <f>$B3 * IFERROR(VLOOKUP("transport|NOx|Infant mortality", US_national_yearly!$D:$AM, 32, FALSE) / VLOOKUP("transport|NOx|Infant mortality", US_national_yearly!$D:$AM, 10, FALSE), 1)</f>
        <v>5.0822931528565955E-8</v>
      </c>
      <c r="Y3" s="7">
        <f>$B3 * IFERROR(VLOOKUP("transport|NOx|Infant mortality", US_national_yearly!$D:$AM, 33, FALSE) / VLOOKUP("transport|NOx|Infant mortality", US_national_yearly!$D:$AM, 10, FALSE), 1)</f>
        <v>5.0488103313168547E-8</v>
      </c>
      <c r="Z3" s="7">
        <f>$B3 * IFERROR(VLOOKUP("transport|NOx|Infant mortality", US_national_yearly!$D:$AM, 34, FALSE) / VLOOKUP("transport|NOx|Infant mortality", US_national_yearly!$D:$AM, 10, FALSE), 1)</f>
        <v>5.0153275097771144E-8</v>
      </c>
      <c r="AA3" s="7">
        <f>$B3 * IFERROR(VLOOKUP("transport|NOx|Infant mortality", US_national_yearly!$D:$AM, 35, FALSE) / VLOOKUP("transport|NOx|Infant mortality", US_national_yearly!$D:$AM, 10, FALSE), 1)</f>
        <v>4.9818446882373736E-8</v>
      </c>
      <c r="AB3" s="7">
        <f>$B3 * IFERROR(VLOOKUP("transport|NOx|Infant mortality", US_national_yearly!$D:$AM, 36, FALSE) / VLOOKUP("transport|NOx|Infant mortality", US_national_yearly!$D:$AM, 10, FALSE), 1)</f>
        <v>4.9483618666976327E-8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1.8376649710133145E-4</v>
      </c>
      <c r="C6" s="7">
        <f>$B6 * IFERROR(VLOOKUP("transport|NOx|Asthma symptoms cough", US_national_yearly!$D:$AM, 11, FALSE) / VLOOKUP("transport|NOx|Asthma symptoms cough", US_national_yearly!$D:$AM, 10, FALSE), 1)</f>
        <v>1.8627888556303635E-4</v>
      </c>
      <c r="D6" s="7">
        <f>$B6 * IFERROR(VLOOKUP("transport|NOx|Asthma symptoms cough", US_national_yearly!$D:$AM, 12, FALSE) / VLOOKUP("transport|NOx|Asthma symptoms cough", US_national_yearly!$D:$AM, 10, FALSE), 1)</f>
        <v>1.8879127402474127E-4</v>
      </c>
      <c r="E6" s="7">
        <f>$B6 * IFERROR(VLOOKUP("transport|NOx|Asthma symptoms cough", US_national_yearly!$D:$AM, 13, FALSE) / VLOOKUP("transport|NOx|Asthma symptoms cough", US_national_yearly!$D:$AM, 10, FALSE), 1)</f>
        <v>1.9130366248644616E-4</v>
      </c>
      <c r="F6" s="7">
        <f>$B6 * IFERROR(VLOOKUP("transport|NOx|Asthma symptoms cough", US_national_yearly!$D:$AM, 14, FALSE) / VLOOKUP("transport|NOx|Asthma symptoms cough", US_national_yearly!$D:$AM, 10, FALSE), 1)</f>
        <v>1.9381605094815106E-4</v>
      </c>
      <c r="G6" s="7">
        <f>$B6 * IFERROR(VLOOKUP("transport|NOx|Asthma symptoms cough", US_national_yearly!$D:$AM, 15, FALSE) / VLOOKUP("transport|NOx|Asthma symptoms cough", US_national_yearly!$D:$AM, 10, FALSE), 1)</f>
        <v>1.958218420522539E-4</v>
      </c>
      <c r="H6" s="7">
        <f>$B6 * IFERROR(VLOOKUP("transport|NOx|Asthma symptoms cough", US_national_yearly!$D:$AM, 16, FALSE) / VLOOKUP("transport|NOx|Asthma symptoms cough", US_national_yearly!$D:$AM, 10, FALSE), 1)</f>
        <v>1.9782763315635675E-4</v>
      </c>
      <c r="I6" s="7">
        <f>$B6 * IFERROR(VLOOKUP("transport|NOx|Asthma symptoms cough", US_national_yearly!$D:$AM, 17, FALSE) / VLOOKUP("transport|NOx|Asthma symptoms cough", US_national_yearly!$D:$AM, 10, FALSE), 1)</f>
        <v>1.9851799778009815E-4</v>
      </c>
      <c r="J6" s="7">
        <f>$B6 * IFERROR(VLOOKUP("transport|NOx|Asthma symptoms cough", US_national_yearly!$D:$AM, 18, FALSE) / VLOOKUP("transport|NOx|Asthma symptoms cough", US_national_yearly!$D:$AM, 10, FALSE), 1)</f>
        <v>1.9920836240383958E-4</v>
      </c>
      <c r="K6" s="7">
        <f>$B6 * IFERROR(VLOOKUP("transport|NOx|Asthma symptoms cough", US_national_yearly!$D:$AM, 19, FALSE) / VLOOKUP("transport|NOx|Asthma symptoms cough", US_national_yearly!$D:$AM, 10, FALSE), 1)</f>
        <v>1.9989872702758096E-4</v>
      </c>
      <c r="L6" s="7">
        <f>$B6 * IFERROR(VLOOKUP("transport|NOx|Asthma symptoms cough", US_national_yearly!$D:$AM, 20, FALSE) / VLOOKUP("transport|NOx|Asthma symptoms cough", US_national_yearly!$D:$AM, 10, FALSE), 1)</f>
        <v>2.0058909165132234E-4</v>
      </c>
      <c r="M6" s="7">
        <f>$B6 * IFERROR(VLOOKUP("transport|NOx|Asthma symptoms cough", US_national_yearly!$D:$AM, 21, FALSE) / VLOOKUP("transport|NOx|Asthma symptoms cough", US_national_yearly!$D:$AM, 10, FALSE), 1)</f>
        <v>2.0127945627506377E-4</v>
      </c>
      <c r="N6" s="7">
        <f>$B6 * IFERROR(VLOOKUP("transport|NOx|Asthma symptoms cough", US_national_yearly!$D:$AM, 22, FALSE) / VLOOKUP("transport|NOx|Asthma symptoms cough", US_national_yearly!$D:$AM, 10, FALSE), 1)</f>
        <v>2.020799854658605E-4</v>
      </c>
      <c r="O6" s="7">
        <f>$B6 * IFERROR(VLOOKUP("transport|NOx|Asthma symptoms cough", US_national_yearly!$D:$AM, 23, FALSE) / VLOOKUP("transport|NOx|Asthma symptoms cough", US_national_yearly!$D:$AM, 10, FALSE), 1)</f>
        <v>2.0288051465665723E-4</v>
      </c>
      <c r="P6" s="7">
        <f>$B6 * IFERROR(VLOOKUP("transport|NOx|Asthma symptoms cough", US_national_yearly!$D:$AM, 24, FALSE) / VLOOKUP("transport|NOx|Asthma symptoms cough", US_national_yearly!$D:$AM, 10, FALSE), 1)</f>
        <v>2.0368104384745395E-4</v>
      </c>
      <c r="Q6" s="7">
        <f>$B6 * IFERROR(VLOOKUP("transport|NOx|Asthma symptoms cough", US_national_yearly!$D:$AM, 25, FALSE) / VLOOKUP("transport|NOx|Asthma symptoms cough", US_national_yearly!$D:$AM, 10, FALSE), 1)</f>
        <v>2.044815730382507E-4</v>
      </c>
      <c r="R6" s="7">
        <f>$B6 * IFERROR(VLOOKUP("transport|NOx|Asthma symptoms cough", US_national_yearly!$D:$AM, 26, FALSE) / VLOOKUP("transport|NOx|Asthma symptoms cough", US_national_yearly!$D:$AM, 10, FALSE), 1)</f>
        <v>2.0528210222904743E-4</v>
      </c>
      <c r="S6" s="7">
        <f>$B6 * IFERROR(VLOOKUP("transport|NOx|Asthma symptoms cough", US_national_yearly!$D:$AM, 27, FALSE) / VLOOKUP("transport|NOx|Asthma symptoms cough", US_national_yearly!$D:$AM, 10, FALSE), 1)</f>
        <v>2.0632784831888594E-4</v>
      </c>
      <c r="T6" s="7">
        <f>$B6 * IFERROR(VLOOKUP("transport|NOx|Asthma symptoms cough", US_national_yearly!$D:$AM, 28, FALSE) / VLOOKUP("transport|NOx|Asthma symptoms cough", US_national_yearly!$D:$AM, 10, FALSE), 1)</f>
        <v>2.073735944087244E-4</v>
      </c>
      <c r="U6" s="7">
        <f>$B6 * IFERROR(VLOOKUP("transport|NOx|Asthma symptoms cough", US_national_yearly!$D:$AM, 29, FALSE) / VLOOKUP("transport|NOx|Asthma symptoms cough", US_national_yearly!$D:$AM, 10, FALSE), 1)</f>
        <v>2.0841934049856283E-4</v>
      </c>
      <c r="V6" s="7">
        <f>$B6 * IFERROR(VLOOKUP("transport|NOx|Asthma symptoms cough", US_national_yearly!$D:$AM, 30, FALSE) / VLOOKUP("transport|NOx|Asthma symptoms cough", US_national_yearly!$D:$AM, 10, FALSE), 1)</f>
        <v>2.0946508658840134E-4</v>
      </c>
      <c r="W6" s="7">
        <f>$B6 * IFERROR(VLOOKUP("transport|NOx|Asthma symptoms cough", US_national_yearly!$D:$AM, 31, FALSE) / VLOOKUP("transport|NOx|Asthma symptoms cough", US_national_yearly!$D:$AM, 10, FALSE), 1)</f>
        <v>2.105108326782398E-4</v>
      </c>
      <c r="X6" s="7">
        <f>$B6 * IFERROR(VLOOKUP("transport|NOx|Asthma symptoms cough", US_national_yearly!$D:$AM, 32, FALSE) / VLOOKUP("transport|NOx|Asthma symptoms cough", US_national_yearly!$D:$AM, 10, FALSE), 1)</f>
        <v>2.1148248105429943E-4</v>
      </c>
      <c r="Y6" s="7">
        <f>$B6 * IFERROR(VLOOKUP("transport|NOx|Asthma symptoms cough", US_national_yearly!$D:$AM, 33, FALSE) / VLOOKUP("transport|NOx|Asthma symptoms cough", US_national_yearly!$D:$AM, 10, FALSE), 1)</f>
        <v>2.1245412943035903E-4</v>
      </c>
      <c r="Z6" s="7">
        <f>$B6 * IFERROR(VLOOKUP("transport|NOx|Asthma symptoms cough", US_national_yearly!$D:$AM, 34, FALSE) / VLOOKUP("transport|NOx|Asthma symptoms cough", US_national_yearly!$D:$AM, 10, FALSE), 1)</f>
        <v>2.1342577780641863E-4</v>
      </c>
      <c r="AA6" s="7">
        <f>$B6 * IFERROR(VLOOKUP("transport|NOx|Asthma symptoms cough", US_national_yearly!$D:$AM, 35, FALSE) / VLOOKUP("transport|NOx|Asthma symptoms cough", US_national_yearly!$D:$AM, 10, FALSE), 1)</f>
        <v>2.1439742618247824E-4</v>
      </c>
      <c r="AB6" s="7">
        <f>$B6 * IFERROR(VLOOKUP("transport|NOx|Asthma symptoms cough", US_national_yearly!$D:$AM, 36, FALSE) / VLOOKUP("transport|NOx|Asthma symptoms cough", US_national_yearly!$D:$AM, 10, FALSE), 1)</f>
        <v>2.153690745585379E-4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2.4746628009876705E-4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2.5084954873642277E-4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2.5423281737407848E-4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2.576160860117342E-4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2.6099935464938997E-4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2.6370042187436017E-4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2.6640148909933036E-4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2.6733115781975107E-4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2.6826082654017185E-4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2.6919049526059256E-4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2.7012016398101333E-4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2.7104983270143405E-4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2.7212785281630238E-4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2.7320587293117076E-4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2.7428389304603903E-4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2.7536191316090741E-4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2.7643993327577574E-4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2.7784817089660261E-4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2.7925640851742954E-4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2.8066464613825642E-4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2.8207288375908324E-4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2.8348112137991012E-4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2.8478957647219E-4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2.8609803156446983E-4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2.8740648665674976E-4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2.8871494174902959E-4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2.9002339684130942E-4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3.780935759536528E-4</v>
      </c>
      <c r="C8" s="7">
        <f>$B8 * IFERROR(VLOOKUP("transport|NOx|Asthma symptoms wheeze", US_national_yearly!$D:$AM, 11, FALSE) / VLOOKUP("transport|NOx|Asthma symptoms wheeze", US_national_yearly!$D:$AM, 10, FALSE), 1)</f>
        <v>3.8326273330259431E-4</v>
      </c>
      <c r="D8" s="7">
        <f>$B8 * IFERROR(VLOOKUP("transport|NOx|Asthma symptoms wheeze", US_national_yearly!$D:$AM, 12, FALSE) / VLOOKUP("transport|NOx|Asthma symptoms wheeze", US_national_yearly!$D:$AM, 10, FALSE), 1)</f>
        <v>3.8843189065153604E-4</v>
      </c>
      <c r="E8" s="7">
        <f>$B8 * IFERROR(VLOOKUP("transport|NOx|Asthma symptoms wheeze", US_national_yearly!$D:$AM, 13, FALSE) / VLOOKUP("transport|NOx|Asthma symptoms wheeze", US_national_yearly!$D:$AM, 10, FALSE), 1)</f>
        <v>3.9360104800047755E-4</v>
      </c>
      <c r="F8" s="7">
        <f>$B8 * IFERROR(VLOOKUP("transport|NOx|Asthma symptoms wheeze", US_national_yearly!$D:$AM, 14, FALSE) / VLOOKUP("transport|NOx|Asthma symptoms wheeze", US_national_yearly!$D:$AM, 10, FALSE), 1)</f>
        <v>3.9877020534941912E-4</v>
      </c>
      <c r="G8" s="7">
        <f>$B8 * IFERROR(VLOOKUP("transport|NOx|Asthma symptoms wheeze", US_national_yearly!$D:$AM, 15, FALSE) / VLOOKUP("transport|NOx|Asthma symptoms wheeze", US_national_yearly!$D:$AM, 10, FALSE), 1)</f>
        <v>4.028970551546849E-4</v>
      </c>
      <c r="H8" s="7">
        <f>$B8 * IFERROR(VLOOKUP("transport|NOx|Asthma symptoms wheeze", US_national_yearly!$D:$AM, 16, FALSE) / VLOOKUP("transport|NOx|Asthma symptoms wheeze", US_national_yearly!$D:$AM, 10, FALSE), 1)</f>
        <v>4.0702390495995074E-4</v>
      </c>
      <c r="I8" s="7">
        <f>$B8 * IFERROR(VLOOKUP("transport|NOx|Asthma symptoms wheeze", US_national_yearly!$D:$AM, 17, FALSE) / VLOOKUP("transport|NOx|Asthma symptoms wheeze", US_national_yearly!$D:$AM, 10, FALSE), 1)</f>
        <v>4.0844430767175065E-4</v>
      </c>
      <c r="J8" s="7">
        <f>$B8 * IFERROR(VLOOKUP("transport|NOx|Asthma symptoms wheeze", US_national_yearly!$D:$AM, 18, FALSE) / VLOOKUP("transport|NOx|Asthma symptoms wheeze", US_national_yearly!$D:$AM, 10, FALSE), 1)</f>
        <v>4.0986471038355067E-4</v>
      </c>
      <c r="K8" s="7">
        <f>$B8 * IFERROR(VLOOKUP("transport|NOx|Asthma symptoms wheeze", US_national_yearly!$D:$AM, 19, FALSE) / VLOOKUP("transport|NOx|Asthma symptoms wheeze", US_national_yearly!$D:$AM, 10, FALSE), 1)</f>
        <v>4.1128511309535053E-4</v>
      </c>
      <c r="L8" s="7">
        <f>$B8 * IFERROR(VLOOKUP("transport|NOx|Asthma symptoms wheeze", US_national_yearly!$D:$AM, 20, FALSE) / VLOOKUP("transport|NOx|Asthma symptoms wheeze", US_national_yearly!$D:$AM, 10, FALSE), 1)</f>
        <v>4.1270551580715055E-4</v>
      </c>
      <c r="M8" s="7">
        <f>$B8 * IFERROR(VLOOKUP("transport|NOx|Asthma symptoms wheeze", US_national_yearly!$D:$AM, 21, FALSE) / VLOOKUP("transport|NOx|Asthma symptoms wheeze", US_national_yearly!$D:$AM, 10, FALSE), 1)</f>
        <v>4.1412591851895046E-4</v>
      </c>
      <c r="N8" s="7">
        <f>$B8 * IFERROR(VLOOKUP("transport|NOx|Asthma symptoms wheeze", US_national_yearly!$D:$AM, 22, FALSE) / VLOOKUP("transport|NOx|Asthma symptoms wheeze", US_national_yearly!$D:$AM, 10, FALSE), 1)</f>
        <v>4.1577298123745139E-4</v>
      </c>
      <c r="O8" s="7">
        <f>$B8 * IFERROR(VLOOKUP("transport|NOx|Asthma symptoms wheeze", US_national_yearly!$D:$AM, 23, FALSE) / VLOOKUP("transport|NOx|Asthma symptoms wheeze", US_national_yearly!$D:$AM, 10, FALSE), 1)</f>
        <v>4.1742004395595237E-4</v>
      </c>
      <c r="P8" s="7">
        <f>$B8 * IFERROR(VLOOKUP("transport|NOx|Asthma symptoms wheeze", US_national_yearly!$D:$AM, 24, FALSE) / VLOOKUP("transport|NOx|Asthma symptoms wheeze", US_national_yearly!$D:$AM, 10, FALSE), 1)</f>
        <v>4.1906710667445325E-4</v>
      </c>
      <c r="Q8" s="7">
        <f>$B8 * IFERROR(VLOOKUP("transport|NOx|Asthma symptoms wheeze", US_national_yearly!$D:$AM, 25, FALSE) / VLOOKUP("transport|NOx|Asthma symptoms wheeze", US_national_yearly!$D:$AM, 10, FALSE), 1)</f>
        <v>4.2071416939295424E-4</v>
      </c>
      <c r="R8" s="7">
        <f>$B8 * IFERROR(VLOOKUP("transport|NOx|Asthma symptoms wheeze", US_national_yearly!$D:$AM, 26, FALSE) / VLOOKUP("transport|NOx|Asthma symptoms wheeze", US_national_yearly!$D:$AM, 10, FALSE), 1)</f>
        <v>4.2236123211145511E-4</v>
      </c>
      <c r="S8" s="7">
        <f>$B8 * IFERROR(VLOOKUP("transport|NOx|Asthma symptoms wheeze", US_national_yearly!$D:$AM, 27, FALSE) / VLOOKUP("transport|NOx|Asthma symptoms wheeze", US_national_yearly!$D:$AM, 10, FALSE), 1)</f>
        <v>4.2451282060613143E-4</v>
      </c>
      <c r="T8" s="7">
        <f>$B8 * IFERROR(VLOOKUP("transport|NOx|Asthma symptoms wheeze", US_national_yearly!$D:$AM, 28, FALSE) / VLOOKUP("transport|NOx|Asthma symptoms wheeze", US_national_yearly!$D:$AM, 10, FALSE), 1)</f>
        <v>4.266644091008078E-4</v>
      </c>
      <c r="U8" s="7">
        <f>$B8 * IFERROR(VLOOKUP("transport|NOx|Asthma symptoms wheeze", US_national_yearly!$D:$AM, 29, FALSE) / VLOOKUP("transport|NOx|Asthma symptoms wheeze", US_national_yearly!$D:$AM, 10, FALSE), 1)</f>
        <v>4.2881599759548412E-4</v>
      </c>
      <c r="V8" s="7">
        <f>$B8 * IFERROR(VLOOKUP("transport|NOx|Asthma symptoms wheeze", US_national_yearly!$D:$AM, 30, FALSE) / VLOOKUP("transport|NOx|Asthma symptoms wheeze", US_national_yearly!$D:$AM, 10, FALSE), 1)</f>
        <v>4.3096758609016049E-4</v>
      </c>
      <c r="W8" s="7">
        <f>$B8 * IFERROR(VLOOKUP("transport|NOx|Asthma symptoms wheeze", US_national_yearly!$D:$AM, 31, FALSE) / VLOOKUP("transport|NOx|Asthma symptoms wheeze", US_national_yearly!$D:$AM, 10, FALSE), 1)</f>
        <v>4.3311917458483675E-4</v>
      </c>
      <c r="X8" s="7">
        <f>$B8 * IFERROR(VLOOKUP("transport|NOx|Asthma symptoms wheeze", US_national_yearly!$D:$AM, 32, FALSE) / VLOOKUP("transport|NOx|Asthma symptoms wheeze", US_national_yearly!$D:$AM, 10, FALSE), 1)</f>
        <v>4.3511830944788308E-4</v>
      </c>
      <c r="Y8" s="7">
        <f>$B8 * IFERROR(VLOOKUP("transport|NOx|Asthma symptoms wheeze", US_national_yearly!$D:$AM, 33, FALSE) / VLOOKUP("transport|NOx|Asthma symptoms wheeze", US_national_yearly!$D:$AM, 10, FALSE), 1)</f>
        <v>4.3711744431092935E-4</v>
      </c>
      <c r="Z8" s="7">
        <f>$B8 * IFERROR(VLOOKUP("transport|NOx|Asthma symptoms wheeze", US_national_yearly!$D:$AM, 34, FALSE) / VLOOKUP("transport|NOx|Asthma symptoms wheeze", US_national_yearly!$D:$AM, 10, FALSE), 1)</f>
        <v>4.3911657917397573E-4</v>
      </c>
      <c r="AA8" s="7">
        <f>$B8 * IFERROR(VLOOKUP("transport|NOx|Asthma symptoms wheeze", US_national_yearly!$D:$AM, 35, FALSE) / VLOOKUP("transport|NOx|Asthma symptoms wheeze", US_national_yearly!$D:$AM, 10, FALSE), 1)</f>
        <v>4.4111571403702201E-4</v>
      </c>
      <c r="AB8" s="7">
        <f>$B8 * IFERROR(VLOOKUP("transport|NOx|Asthma symptoms wheeze", US_national_yearly!$D:$AM, 36, FALSE) / VLOOKUP("transport|NOx|Asthma symptoms wheeze", US_national_yearly!$D:$AM, 10, FALSE), 1)</f>
        <v>4.4311484890006839E-4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4.1917066340501132E-6</v>
      </c>
      <c r="C12" s="7">
        <f>$B12 * IFERROR(VLOOKUP("transport|NOx|Respiratory hospital admissions", US_national_yearly!$D:$AM, 11, FALSE) / VLOOKUP("transport|NOx|Respiratory hospital admissions", US_national_yearly!$D:$AM, 10, FALSE), 1)</f>
        <v>4.2962673505681255E-6</v>
      </c>
      <c r="D12" s="7">
        <f>$B12 * IFERROR(VLOOKUP("transport|NOx|Respiratory hospital admissions", US_national_yearly!$D:$AM, 12, FALSE) / VLOOKUP("transport|NOx|Respiratory hospital admissions", US_national_yearly!$D:$AM, 10, FALSE), 1)</f>
        <v>4.4008280670861387E-6</v>
      </c>
      <c r="E12" s="7">
        <f>$B12 * IFERROR(VLOOKUP("transport|NOx|Respiratory hospital admissions", US_national_yearly!$D:$AM, 13, FALSE) / VLOOKUP("transport|NOx|Respiratory hospital admissions", US_national_yearly!$D:$AM, 10, FALSE), 1)</f>
        <v>4.5053887836041519E-6</v>
      </c>
      <c r="F12" s="7">
        <f>$B12 * IFERROR(VLOOKUP("transport|NOx|Respiratory hospital admissions", US_national_yearly!$D:$AM, 14, FALSE) / VLOOKUP("transport|NOx|Respiratory hospital admissions", US_national_yearly!$D:$AM, 10, FALSE), 1)</f>
        <v>4.6099495001221643E-6</v>
      </c>
      <c r="G12" s="7">
        <f>$B12 * IFERROR(VLOOKUP("transport|NOx|Respiratory hospital admissions", US_national_yearly!$D:$AM, 15, FALSE) / VLOOKUP("transport|NOx|Respiratory hospital admissions", US_national_yearly!$D:$AM, 10, FALSE), 1)</f>
        <v>4.7099131039365493E-6</v>
      </c>
      <c r="H12" s="7">
        <f>$B12 * IFERROR(VLOOKUP("transport|NOx|Respiratory hospital admissions", US_national_yearly!$D:$AM, 16, FALSE) / VLOOKUP("transport|NOx|Respiratory hospital admissions", US_national_yearly!$D:$AM, 10, FALSE), 1)</f>
        <v>4.8098767077509343E-6</v>
      </c>
      <c r="I12" s="7">
        <f>$B12 * IFERROR(VLOOKUP("transport|NOx|Respiratory hospital admissions", US_national_yearly!$D:$AM, 17, FALSE) / VLOOKUP("transport|NOx|Respiratory hospital admissions", US_national_yearly!$D:$AM, 10, FALSE), 1)</f>
        <v>4.8947478624330694E-6</v>
      </c>
      <c r="J12" s="7">
        <f>$B12 * IFERROR(VLOOKUP("transport|NOx|Respiratory hospital admissions", US_national_yearly!$D:$AM, 18, FALSE) / VLOOKUP("transport|NOx|Respiratory hospital admissions", US_national_yearly!$D:$AM, 10, FALSE), 1)</f>
        <v>4.9796190171152037E-6</v>
      </c>
      <c r="K12" s="7">
        <f>$B12 * IFERROR(VLOOKUP("transport|NOx|Respiratory hospital admissions", US_national_yearly!$D:$AM, 19, FALSE) / VLOOKUP("transport|NOx|Respiratory hospital admissions", US_national_yearly!$D:$AM, 10, FALSE), 1)</f>
        <v>5.0644901717973388E-6</v>
      </c>
      <c r="L12" s="7">
        <f>$B12 * IFERROR(VLOOKUP("transport|NOx|Respiratory hospital admissions", US_national_yearly!$D:$AM, 20, FALSE) / VLOOKUP("transport|NOx|Respiratory hospital admissions", US_national_yearly!$D:$AM, 10, FALSE), 1)</f>
        <v>5.1493613264794739E-6</v>
      </c>
      <c r="M12" s="7">
        <f>$B12 * IFERROR(VLOOKUP("transport|NOx|Respiratory hospital admissions", US_national_yearly!$D:$AM, 21, FALSE) / VLOOKUP("transport|NOx|Respiratory hospital admissions", US_national_yearly!$D:$AM, 10, FALSE), 1)</f>
        <v>5.234232481161609E-6</v>
      </c>
      <c r="N12" s="7">
        <f>$B12 * IFERROR(VLOOKUP("transport|NOx|Respiratory hospital admissions", US_national_yearly!$D:$AM, 22, FALSE) / VLOOKUP("transport|NOx|Respiratory hospital admissions", US_national_yearly!$D:$AM, 10, FALSE), 1)</f>
        <v>5.290970376134358E-6</v>
      </c>
      <c r="O12" s="7">
        <f>$B12 * IFERROR(VLOOKUP("transport|NOx|Respiratory hospital admissions", US_national_yearly!$D:$AM, 23, FALSE) / VLOOKUP("transport|NOx|Respiratory hospital admissions", US_national_yearly!$D:$AM, 10, FALSE), 1)</f>
        <v>5.3477082711071087E-6</v>
      </c>
      <c r="P12" s="7">
        <f>$B12 * IFERROR(VLOOKUP("transport|NOx|Respiratory hospital admissions", US_national_yearly!$D:$AM, 24, FALSE) / VLOOKUP("transport|NOx|Respiratory hospital admissions", US_national_yearly!$D:$AM, 10, FALSE), 1)</f>
        <v>5.4044461660798585E-6</v>
      </c>
      <c r="Q12" s="7">
        <f>$B12 * IFERROR(VLOOKUP("transport|NOx|Respiratory hospital admissions", US_national_yearly!$D:$AM, 25, FALSE) / VLOOKUP("transport|NOx|Respiratory hospital admissions", US_national_yearly!$D:$AM, 10, FALSE), 1)</f>
        <v>5.4611840610526092E-6</v>
      </c>
      <c r="R12" s="7">
        <f>$B12 * IFERROR(VLOOKUP("transport|NOx|Respiratory hospital admissions", US_national_yearly!$D:$AM, 26, FALSE) / VLOOKUP("transport|NOx|Respiratory hospital admissions", US_national_yearly!$D:$AM, 10, FALSE), 1)</f>
        <v>5.5179219560253582E-6</v>
      </c>
      <c r="S12" s="7">
        <f>$B12 * IFERROR(VLOOKUP("transport|NOx|Respiratory hospital admissions", US_national_yearly!$D:$AM, 27, FALSE) / VLOOKUP("transport|NOx|Respiratory hospital admissions", US_national_yearly!$D:$AM, 10, FALSE), 1)</f>
        <v>5.5483205827328887E-6</v>
      </c>
      <c r="T12" s="7">
        <f>$B12 * IFERROR(VLOOKUP("transport|NOx|Respiratory hospital admissions", US_national_yearly!$D:$AM, 28, FALSE) / VLOOKUP("transport|NOx|Respiratory hospital admissions", US_national_yearly!$D:$AM, 10, FALSE), 1)</f>
        <v>5.5787192094404183E-6</v>
      </c>
      <c r="U12" s="7">
        <f>$B12 * IFERROR(VLOOKUP("transport|NOx|Respiratory hospital admissions", US_national_yearly!$D:$AM, 29, FALSE) / VLOOKUP("transport|NOx|Respiratory hospital admissions", US_national_yearly!$D:$AM, 10, FALSE), 1)</f>
        <v>5.609117836147948E-6</v>
      </c>
      <c r="V12" s="7">
        <f>$B12 * IFERROR(VLOOKUP("transport|NOx|Respiratory hospital admissions", US_national_yearly!$D:$AM, 30, FALSE) / VLOOKUP("transport|NOx|Respiratory hospital admissions", US_national_yearly!$D:$AM, 10, FALSE), 1)</f>
        <v>5.6395164628554768E-6</v>
      </c>
      <c r="W12" s="7">
        <f>$B12 * IFERROR(VLOOKUP("transport|NOx|Respiratory hospital admissions", US_national_yearly!$D:$AM, 31, FALSE) / VLOOKUP("transport|NOx|Respiratory hospital admissions", US_national_yearly!$D:$AM, 10, FALSE), 1)</f>
        <v>5.6699150895630081E-6</v>
      </c>
      <c r="X12" s="7">
        <f>$B12 * IFERROR(VLOOKUP("transport|NOx|Respiratory hospital admissions", US_national_yearly!$D:$AM, 32, FALSE) / VLOOKUP("transport|NOx|Respiratory hospital admissions", US_national_yearly!$D:$AM, 10, FALSE), 1)</f>
        <v>5.6906886016348741E-6</v>
      </c>
      <c r="Y12" s="7">
        <f>$B12 * IFERROR(VLOOKUP("transport|NOx|Respiratory hospital admissions", US_national_yearly!$D:$AM, 33, FALSE) / VLOOKUP("transport|NOx|Respiratory hospital admissions", US_national_yearly!$D:$AM, 10, FALSE), 1)</f>
        <v>5.7114621137067418E-6</v>
      </c>
      <c r="Z12" s="7">
        <f>$B12 * IFERROR(VLOOKUP("transport|NOx|Respiratory hospital admissions", US_national_yearly!$D:$AM, 34, FALSE) / VLOOKUP("transport|NOx|Respiratory hospital admissions", US_national_yearly!$D:$AM, 10, FALSE), 1)</f>
        <v>5.7322356257786095E-6</v>
      </c>
      <c r="AA12" s="7">
        <f>$B12 * IFERROR(VLOOKUP("transport|NOx|Respiratory hospital admissions", US_national_yearly!$D:$AM, 35, FALSE) / VLOOKUP("transport|NOx|Respiratory hospital admissions", US_national_yearly!$D:$AM, 10, FALSE), 1)</f>
        <v>5.7530091378504772E-6</v>
      </c>
      <c r="AB12" s="7">
        <f>$B12 * IFERROR(VLOOKUP("transport|NOx|Respiratory hospital admissions", US_national_yearly!$D:$AM, 36, FALSE) / VLOOKUP("transport|NOx|Respiratory hospital admissions", US_national_yearly!$D:$AM, 10, FALSE), 1)</f>
        <v>5.7737826499223432E-6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4.3606427973484324E-5</v>
      </c>
      <c r="C13" s="7">
        <f>$B13 * IFERROR(VLOOKUP("transport|NOx|Non-fatal heart attacks", US_national_yearly!$D:$AM, 11, FALSE) / VLOOKUP("transport|NOx|Non-fatal heart attacks", US_national_yearly!$D:$AM, 10, FALSE), 1)</f>
        <v>4.4853097329531932E-5</v>
      </c>
      <c r="D13" s="7">
        <f>$B13 * IFERROR(VLOOKUP("transport|NOx|Non-fatal heart attacks", US_national_yearly!$D:$AM, 12, FALSE) / VLOOKUP("transport|NOx|Non-fatal heart attacks", US_national_yearly!$D:$AM, 10, FALSE), 1)</f>
        <v>4.6099766685579539E-5</v>
      </c>
      <c r="E13" s="7">
        <f>$B13 * IFERROR(VLOOKUP("transport|NOx|Non-fatal heart attacks", US_national_yearly!$D:$AM, 13, FALSE) / VLOOKUP("transport|NOx|Non-fatal heart attacks", US_national_yearly!$D:$AM, 10, FALSE), 1)</f>
        <v>4.7346436041627132E-5</v>
      </c>
      <c r="F13" s="7">
        <f>$B13 * IFERROR(VLOOKUP("transport|NOx|Non-fatal heart attacks", US_national_yearly!$D:$AM, 14, FALSE) / VLOOKUP("transport|NOx|Non-fatal heart attacks", US_national_yearly!$D:$AM, 10, FALSE), 1)</f>
        <v>4.8593105397674739E-5</v>
      </c>
      <c r="G13" s="7">
        <f>$B13 * IFERROR(VLOOKUP("transport|NOx|Non-fatal heart attacks", US_national_yearly!$D:$AM, 15, FALSE) / VLOOKUP("transport|NOx|Non-fatal heart attacks", US_national_yearly!$D:$AM, 10, FALSE), 1)</f>
        <v>4.9758115319889563E-5</v>
      </c>
      <c r="H13" s="7">
        <f>$B13 * IFERROR(VLOOKUP("transport|NOx|Non-fatal heart attacks", US_national_yearly!$D:$AM, 16, FALSE) / VLOOKUP("transport|NOx|Non-fatal heart attacks", US_national_yearly!$D:$AM, 10, FALSE), 1)</f>
        <v>5.0923125242104387E-5</v>
      </c>
      <c r="I13" s="7">
        <f>$B13 * IFERROR(VLOOKUP("transport|NOx|Non-fatal heart attacks", US_national_yearly!$D:$AM, 17, FALSE) / VLOOKUP("transport|NOx|Non-fatal heart attacks", US_national_yearly!$D:$AM, 10, FALSE), 1)</f>
        <v>5.1841602392421095E-5</v>
      </c>
      <c r="J13" s="7">
        <f>$B13 * IFERROR(VLOOKUP("transport|NOx|Non-fatal heart attacks", US_national_yearly!$D:$AM, 18, FALSE) / VLOOKUP("transport|NOx|Non-fatal heart attacks", US_national_yearly!$D:$AM, 10, FALSE), 1)</f>
        <v>5.2760079542737817E-5</v>
      </c>
      <c r="K13" s="7">
        <f>$B13 * IFERROR(VLOOKUP("transport|NOx|Non-fatal heart attacks", US_national_yearly!$D:$AM, 19, FALSE) / VLOOKUP("transport|NOx|Non-fatal heart attacks", US_national_yearly!$D:$AM, 10, FALSE), 1)</f>
        <v>5.3678556693054498E-5</v>
      </c>
      <c r="L13" s="7">
        <f>$B13 * IFERROR(VLOOKUP("transport|NOx|Non-fatal heart attacks", US_national_yearly!$D:$AM, 20, FALSE) / VLOOKUP("transport|NOx|Non-fatal heart attacks", US_national_yearly!$D:$AM, 10, FALSE), 1)</f>
        <v>5.4597033843371247E-5</v>
      </c>
      <c r="M13" s="7">
        <f>$B13 * IFERROR(VLOOKUP("transport|NOx|Non-fatal heart attacks", US_national_yearly!$D:$AM, 21, FALSE) / VLOOKUP("transport|NOx|Non-fatal heart attacks", US_national_yearly!$D:$AM, 10, FALSE), 1)</f>
        <v>5.5515510993687949E-5</v>
      </c>
      <c r="N13" s="7">
        <f>$B13 * IFERROR(VLOOKUP("transport|NOx|Non-fatal heart attacks", US_national_yearly!$D:$AM, 22, FALSE) / VLOOKUP("transport|NOx|Non-fatal heart attacks", US_national_yearly!$D:$AM, 10, FALSE), 1)</f>
        <v>5.6068094701587181E-5</v>
      </c>
      <c r="O13" s="7">
        <f>$B13 * IFERROR(VLOOKUP("transport|NOx|Non-fatal heart attacks", US_national_yearly!$D:$AM, 23, FALSE) / VLOOKUP("transport|NOx|Non-fatal heart attacks", US_national_yearly!$D:$AM, 10, FALSE), 1)</f>
        <v>5.6620678409486414E-5</v>
      </c>
      <c r="P13" s="7">
        <f>$B13 * IFERROR(VLOOKUP("transport|NOx|Non-fatal heart attacks", US_national_yearly!$D:$AM, 24, FALSE) / VLOOKUP("transport|NOx|Non-fatal heart attacks", US_national_yearly!$D:$AM, 10, FALSE), 1)</f>
        <v>5.7173262117385641E-5</v>
      </c>
      <c r="Q13" s="7">
        <f>$B13 * IFERROR(VLOOKUP("transport|NOx|Non-fatal heart attacks", US_national_yearly!$D:$AM, 25, FALSE) / VLOOKUP("transport|NOx|Non-fatal heart attacks", US_national_yearly!$D:$AM, 10, FALSE), 1)</f>
        <v>5.772584582528488E-5</v>
      </c>
      <c r="R13" s="7">
        <f>$B13 * IFERROR(VLOOKUP("transport|NOx|Non-fatal heart attacks", US_national_yearly!$D:$AM, 26, FALSE) / VLOOKUP("transport|NOx|Non-fatal heart attacks", US_national_yearly!$D:$AM, 10, FALSE), 1)</f>
        <v>5.8278429533184113E-5</v>
      </c>
      <c r="S13" s="7">
        <f>$B13 * IFERROR(VLOOKUP("transport|NOx|Non-fatal heart attacks", US_national_yearly!$D:$AM, 27, FALSE) / VLOOKUP("transport|NOx|Non-fatal heart attacks", US_national_yearly!$D:$AM, 10, FALSE), 1)</f>
        <v>5.8529085324961697E-5</v>
      </c>
      <c r="T13" s="7">
        <f>$B13 * IFERROR(VLOOKUP("transport|NOx|Non-fatal heart attacks", US_national_yearly!$D:$AM, 28, FALSE) / VLOOKUP("transport|NOx|Non-fatal heart attacks", US_national_yearly!$D:$AM, 10, FALSE), 1)</f>
        <v>5.8779741116739281E-5</v>
      </c>
      <c r="U13" s="7">
        <f>$B13 * IFERROR(VLOOKUP("transport|NOx|Non-fatal heart attacks", US_national_yearly!$D:$AM, 29, FALSE) / VLOOKUP("transport|NOx|Non-fatal heart attacks", US_national_yearly!$D:$AM, 10, FALSE), 1)</f>
        <v>5.9030396908516865E-5</v>
      </c>
      <c r="V13" s="7">
        <f>$B13 * IFERROR(VLOOKUP("transport|NOx|Non-fatal heart attacks", US_national_yearly!$D:$AM, 30, FALSE) / VLOOKUP("transport|NOx|Non-fatal heart attacks", US_national_yearly!$D:$AM, 10, FALSE), 1)</f>
        <v>5.928105270029445E-5</v>
      </c>
      <c r="W13" s="7">
        <f>$B13 * IFERROR(VLOOKUP("transport|NOx|Non-fatal heart attacks", US_national_yearly!$D:$AM, 31, FALSE) / VLOOKUP("transport|NOx|Non-fatal heart attacks", US_national_yearly!$D:$AM, 10, FALSE), 1)</f>
        <v>5.9531708492072034E-5</v>
      </c>
      <c r="X13" s="7">
        <f>$B13 * IFERROR(VLOOKUP("transport|NOx|Non-fatal heart attacks", US_national_yearly!$D:$AM, 32, FALSE) / VLOOKUP("transport|NOx|Non-fatal heart attacks", US_national_yearly!$D:$AM, 10, FALSE), 1)</f>
        <v>5.9699209881197029E-5</v>
      </c>
      <c r="Y13" s="7">
        <f>$B13 * IFERROR(VLOOKUP("transport|NOx|Non-fatal heart attacks", US_national_yearly!$D:$AM, 33, FALSE) / VLOOKUP("transport|NOx|Non-fatal heart attacks", US_national_yearly!$D:$AM, 10, FALSE), 1)</f>
        <v>5.9866711270322038E-5</v>
      </c>
      <c r="Z13" s="7">
        <f>$B13 * IFERROR(VLOOKUP("transport|NOx|Non-fatal heart attacks", US_national_yearly!$D:$AM, 34, FALSE) / VLOOKUP("transport|NOx|Non-fatal heart attacks", US_national_yearly!$D:$AM, 10, FALSE), 1)</f>
        <v>6.0034212659447026E-5</v>
      </c>
      <c r="AA13" s="7">
        <f>$B13 * IFERROR(VLOOKUP("transport|NOx|Non-fatal heart attacks", US_national_yearly!$D:$AM, 35, FALSE) / VLOOKUP("transport|NOx|Non-fatal heart attacks", US_national_yearly!$D:$AM, 10, FALSE), 1)</f>
        <v>6.0201714048572022E-5</v>
      </c>
      <c r="AB13" s="7">
        <f>$B13 * IFERROR(VLOOKUP("transport|NOx|Non-fatal heart attacks", US_national_yearly!$D:$AM, 36, FALSE) / VLOOKUP("transport|NOx|Non-fatal heart attacks", US_national_yearly!$D:$AM, 10, FALSE), 1)</f>
        <v>6.0369215437697031E-5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2.1884582708452404E-2</v>
      </c>
      <c r="C14" s="7">
        <f>$B14 * IFERROR(VLOOKUP("transport|NOx|Minor restricted activity days", US_national_yearly!$D:$AM, 11, FALSE) / VLOOKUP("transport|NOx|Minor restricted activity days", US_national_yearly!$D:$AM, 10, FALSE), 1)</f>
        <v>2.1918135446384983E-2</v>
      </c>
      <c r="D14" s="7">
        <f>$B14 * IFERROR(VLOOKUP("transport|NOx|Minor restricted activity days", US_national_yearly!$D:$AM, 12, FALSE) / VLOOKUP("transport|NOx|Minor restricted activity days", US_national_yearly!$D:$AM, 10, FALSE), 1)</f>
        <v>2.1951688184317565E-2</v>
      </c>
      <c r="E14" s="7">
        <f>$B14 * IFERROR(VLOOKUP("transport|NOx|Minor restricted activity days", US_national_yearly!$D:$AM, 13, FALSE) / VLOOKUP("transport|NOx|Minor restricted activity days", US_national_yearly!$D:$AM, 10, FALSE), 1)</f>
        <v>2.1985240922250147E-2</v>
      </c>
      <c r="F14" s="7">
        <f>$B14 * IFERROR(VLOOKUP("transport|NOx|Minor restricted activity days", US_national_yearly!$D:$AM, 14, FALSE) / VLOOKUP("transport|NOx|Minor restricted activity days", US_national_yearly!$D:$AM, 10, FALSE), 1)</f>
        <v>2.2018793660182726E-2</v>
      </c>
      <c r="G14" s="7">
        <f>$B14 * IFERROR(VLOOKUP("transport|NOx|Minor restricted activity days", US_national_yearly!$D:$AM, 15, FALSE) / VLOOKUP("transport|NOx|Minor restricted activity days", US_national_yearly!$D:$AM, 10, FALSE), 1)</f>
        <v>2.2079381918651091E-2</v>
      </c>
      <c r="H14" s="7">
        <f>$B14 * IFERROR(VLOOKUP("transport|NOx|Minor restricted activity days", US_national_yearly!$D:$AM, 16, FALSE) / VLOOKUP("transport|NOx|Minor restricted activity days", US_national_yearly!$D:$AM, 10, FALSE), 1)</f>
        <v>2.2139970177119449E-2</v>
      </c>
      <c r="I14" s="7">
        <f>$B14 * IFERROR(VLOOKUP("transport|NOx|Minor restricted activity days", US_national_yearly!$D:$AM, 17, FALSE) / VLOOKUP("transport|NOx|Minor restricted activity days", US_national_yearly!$D:$AM, 10, FALSE), 1)</f>
        <v>2.2258478414775913E-2</v>
      </c>
      <c r="J14" s="7">
        <f>$B14 * IFERROR(VLOOKUP("transport|NOx|Minor restricted activity days", US_national_yearly!$D:$AM, 18, FALSE) / VLOOKUP("transport|NOx|Minor restricted activity days", US_national_yearly!$D:$AM, 10, FALSE), 1)</f>
        <v>2.2376986652432374E-2</v>
      </c>
      <c r="K14" s="7">
        <f>$B14 * IFERROR(VLOOKUP("transport|NOx|Minor restricted activity days", US_national_yearly!$D:$AM, 19, FALSE) / VLOOKUP("transport|NOx|Minor restricted activity days", US_national_yearly!$D:$AM, 10, FALSE), 1)</f>
        <v>2.2495494890088837E-2</v>
      </c>
      <c r="L14" s="7">
        <f>$B14 * IFERROR(VLOOKUP("transport|NOx|Minor restricted activity days", US_national_yearly!$D:$AM, 20, FALSE) / VLOOKUP("transport|NOx|Minor restricted activity days", US_national_yearly!$D:$AM, 10, FALSE), 1)</f>
        <v>2.2614003127745294E-2</v>
      </c>
      <c r="M14" s="7">
        <f>$B14 * IFERROR(VLOOKUP("transport|NOx|Minor restricted activity days", US_national_yearly!$D:$AM, 21, FALSE) / VLOOKUP("transport|NOx|Minor restricted activity days", US_national_yearly!$D:$AM, 10, FALSE), 1)</f>
        <v>2.2732511365401758E-2</v>
      </c>
      <c r="N14" s="7">
        <f>$B14 * IFERROR(VLOOKUP("transport|NOx|Minor restricted activity days", US_national_yearly!$D:$AM, 22, FALSE) / VLOOKUP("transport|NOx|Minor restricted activity days", US_national_yearly!$D:$AM, 10, FALSE), 1)</f>
        <v>2.2902188290564937E-2</v>
      </c>
      <c r="O14" s="7">
        <f>$B14 * IFERROR(VLOOKUP("transport|NOx|Minor restricted activity days", US_national_yearly!$D:$AM, 23, FALSE) / VLOOKUP("transport|NOx|Minor restricted activity days", US_national_yearly!$D:$AM, 10, FALSE), 1)</f>
        <v>2.3071865215728116E-2</v>
      </c>
      <c r="P14" s="7">
        <f>$B14 * IFERROR(VLOOKUP("transport|NOx|Minor restricted activity days", US_national_yearly!$D:$AM, 24, FALSE) / VLOOKUP("transport|NOx|Minor restricted activity days", US_national_yearly!$D:$AM, 10, FALSE), 1)</f>
        <v>2.3241542140891296E-2</v>
      </c>
      <c r="Q14" s="7">
        <f>$B14 * IFERROR(VLOOKUP("transport|NOx|Minor restricted activity days", US_national_yearly!$D:$AM, 25, FALSE) / VLOOKUP("transport|NOx|Minor restricted activity days", US_national_yearly!$D:$AM, 10, FALSE), 1)</f>
        <v>2.3411219066054475E-2</v>
      </c>
      <c r="R14" s="7">
        <f>$B14 * IFERROR(VLOOKUP("transport|NOx|Minor restricted activity days", US_national_yearly!$D:$AM, 26, FALSE) / VLOOKUP("transport|NOx|Minor restricted activity days", US_national_yearly!$D:$AM, 10, FALSE), 1)</f>
        <v>2.3580895991217654E-2</v>
      </c>
      <c r="S14" s="7">
        <f>$B14 * IFERROR(VLOOKUP("transport|NOx|Minor restricted activity days", US_national_yearly!$D:$AM, 27, FALSE) / VLOOKUP("transport|NOx|Minor restricted activity days", US_national_yearly!$D:$AM, 10, FALSE), 1)</f>
        <v>2.3750537242170487E-2</v>
      </c>
      <c r="T14" s="7">
        <f>$B14 * IFERROR(VLOOKUP("transport|NOx|Minor restricted activity days", US_national_yearly!$D:$AM, 28, FALSE) / VLOOKUP("transport|NOx|Minor restricted activity days", US_national_yearly!$D:$AM, 10, FALSE), 1)</f>
        <v>2.3920178493123313E-2</v>
      </c>
      <c r="U14" s="7">
        <f>$B14 * IFERROR(VLOOKUP("transport|NOx|Minor restricted activity days", US_national_yearly!$D:$AM, 29, FALSE) / VLOOKUP("transport|NOx|Minor restricted activity days", US_national_yearly!$D:$AM, 10, FALSE), 1)</f>
        <v>2.4089819744076143E-2</v>
      </c>
      <c r="V14" s="7">
        <f>$B14 * IFERROR(VLOOKUP("transport|NOx|Minor restricted activity days", US_national_yearly!$D:$AM, 30, FALSE) / VLOOKUP("transport|NOx|Minor restricted activity days", US_national_yearly!$D:$AM, 10, FALSE), 1)</f>
        <v>2.4259460995028976E-2</v>
      </c>
      <c r="W14" s="7">
        <f>$B14 * IFERROR(VLOOKUP("transport|NOx|Minor restricted activity days", US_national_yearly!$D:$AM, 31, FALSE) / VLOOKUP("transport|NOx|Minor restricted activity days", US_national_yearly!$D:$AM, 10, FALSE), 1)</f>
        <v>2.4429102245981799E-2</v>
      </c>
      <c r="X14" s="7">
        <f>$B14 * IFERROR(VLOOKUP("transport|NOx|Minor restricted activity days", US_national_yearly!$D:$AM, 32, FALSE) / VLOOKUP("transport|NOx|Minor restricted activity days", US_national_yearly!$D:$AM, 10, FALSE), 1)</f>
        <v>2.4572527461038184E-2</v>
      </c>
      <c r="Y14" s="7">
        <f>$B14 * IFERROR(VLOOKUP("transport|NOx|Minor restricted activity days", US_national_yearly!$D:$AM, 33, FALSE) / VLOOKUP("transport|NOx|Minor restricted activity days", US_national_yearly!$D:$AM, 10, FALSE), 1)</f>
        <v>2.4715952676094565E-2</v>
      </c>
      <c r="Z14" s="7">
        <f>$B14 * IFERROR(VLOOKUP("transport|NOx|Minor restricted activity days", US_national_yearly!$D:$AM, 34, FALSE) / VLOOKUP("transport|NOx|Minor restricted activity days", US_national_yearly!$D:$AM, 10, FALSE), 1)</f>
        <v>2.4859377891150947E-2</v>
      </c>
      <c r="AA14" s="7">
        <f>$B14 * IFERROR(VLOOKUP("transport|NOx|Minor restricted activity days", US_national_yearly!$D:$AM, 35, FALSE) / VLOOKUP("transport|NOx|Minor restricted activity days", US_national_yearly!$D:$AM, 10, FALSE), 1)</f>
        <v>2.5002803106207332E-2</v>
      </c>
      <c r="AB14" s="7">
        <f>$B14 * IFERROR(VLOOKUP("transport|NOx|Minor restricted activity days", US_national_yearly!$D:$AM, 36, FALSE) / VLOOKUP("transport|NOx|Minor restricted activity days", US_national_yearly!$D:$AM, 10, FALSE), 1)</f>
        <v>2.5146228321263713E-2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3.7314992460699662E-3</v>
      </c>
      <c r="C15" s="7">
        <f>$B15 * IFERROR(VLOOKUP("transport|NOx|Work loss days", US_national_yearly!$D:$AM, 11, FALSE) / VLOOKUP("transport|NOx|Work loss days", US_national_yearly!$D:$AM, 10, FALSE), 1)</f>
        <v>3.7397997654008697E-3</v>
      </c>
      <c r="D15" s="7">
        <f>$B15 * IFERROR(VLOOKUP("transport|NOx|Work loss days", US_national_yearly!$D:$AM, 12, FALSE) / VLOOKUP("transport|NOx|Work loss days", US_national_yearly!$D:$AM, 10, FALSE), 1)</f>
        <v>3.7481002847317745E-3</v>
      </c>
      <c r="E15" s="7">
        <f>$B15 * IFERROR(VLOOKUP("transport|NOx|Work loss days", US_national_yearly!$D:$AM, 13, FALSE) / VLOOKUP("transport|NOx|Work loss days", US_national_yearly!$D:$AM, 10, FALSE), 1)</f>
        <v>3.756400804062678E-3</v>
      </c>
      <c r="F15" s="7">
        <f>$B15 * IFERROR(VLOOKUP("transport|NOx|Work loss days", US_national_yearly!$D:$AM, 14, FALSE) / VLOOKUP("transport|NOx|Work loss days", US_national_yearly!$D:$AM, 10, FALSE), 1)</f>
        <v>3.7647013233935828E-3</v>
      </c>
      <c r="G15" s="7">
        <f>$B15 * IFERROR(VLOOKUP("transport|NOx|Work loss days", US_national_yearly!$D:$AM, 15, FALSE) / VLOOKUP("transport|NOx|Work loss days", US_national_yearly!$D:$AM, 10, FALSE), 1)</f>
        <v>3.7768201524238177E-3</v>
      </c>
      <c r="H15" s="7">
        <f>$B15 * IFERROR(VLOOKUP("transport|NOx|Work loss days", US_national_yearly!$D:$AM, 16, FALSE) / VLOOKUP("transport|NOx|Work loss days", US_national_yearly!$D:$AM, 10, FALSE), 1)</f>
        <v>3.7889389814540538E-3</v>
      </c>
      <c r="I15" s="7">
        <f>$B15 * IFERROR(VLOOKUP("transport|NOx|Work loss days", US_national_yearly!$D:$AM, 17, FALSE) / VLOOKUP("transport|NOx|Work loss days", US_national_yearly!$D:$AM, 10, FALSE), 1)</f>
        <v>3.8085708276883504E-3</v>
      </c>
      <c r="J15" s="7">
        <f>$B15 * IFERROR(VLOOKUP("transport|NOx|Work loss days", US_national_yearly!$D:$AM, 18, FALSE) / VLOOKUP("transport|NOx|Work loss days", US_national_yearly!$D:$AM, 10, FALSE), 1)</f>
        <v>3.8282026739226483E-3</v>
      </c>
      <c r="K15" s="7">
        <f>$B15 * IFERROR(VLOOKUP("transport|NOx|Work loss days", US_national_yearly!$D:$AM, 19, FALSE) / VLOOKUP("transport|NOx|Work loss days", US_national_yearly!$D:$AM, 10, FALSE), 1)</f>
        <v>3.8478345201569449E-3</v>
      </c>
      <c r="L15" s="7">
        <f>$B15 * IFERROR(VLOOKUP("transport|NOx|Work loss days", US_national_yearly!$D:$AM, 20, FALSE) / VLOOKUP("transport|NOx|Work loss days", US_national_yearly!$D:$AM, 10, FALSE), 1)</f>
        <v>3.867466366391242E-3</v>
      </c>
      <c r="M15" s="7">
        <f>$B15 * IFERROR(VLOOKUP("transport|NOx|Work loss days", US_national_yearly!$D:$AM, 21, FALSE) / VLOOKUP("transport|NOx|Work loss days", US_national_yearly!$D:$AM, 10, FALSE), 1)</f>
        <v>3.8870982126255394E-3</v>
      </c>
      <c r="N15" s="7">
        <f>$B15 * IFERROR(VLOOKUP("transport|NOx|Work loss days", US_national_yearly!$D:$AM, 22, FALSE) / VLOOKUP("transport|NOx|Work loss days", US_national_yearly!$D:$AM, 10, FALSE), 1)</f>
        <v>3.912647855835733E-3</v>
      </c>
      <c r="O15" s="7">
        <f>$B15 * IFERROR(VLOOKUP("transport|NOx|Work loss days", US_national_yearly!$D:$AM, 23, FALSE) / VLOOKUP("transport|NOx|Work loss days", US_national_yearly!$D:$AM, 10, FALSE), 1)</f>
        <v>3.9381974990459262E-3</v>
      </c>
      <c r="P15" s="7">
        <f>$B15 * IFERROR(VLOOKUP("transport|NOx|Work loss days", US_national_yearly!$D:$AM, 24, FALSE) / VLOOKUP("transport|NOx|Work loss days", US_national_yearly!$D:$AM, 10, FALSE), 1)</f>
        <v>3.9637471422561193E-3</v>
      </c>
      <c r="Q15" s="7">
        <f>$B15 * IFERROR(VLOOKUP("transport|NOx|Work loss days", US_national_yearly!$D:$AM, 25, FALSE) / VLOOKUP("transport|NOx|Work loss days", US_national_yearly!$D:$AM, 10, FALSE), 1)</f>
        <v>3.9892967854663116E-3</v>
      </c>
      <c r="R15" s="7">
        <f>$B15 * IFERROR(VLOOKUP("transport|NOx|Work loss days", US_national_yearly!$D:$AM, 26, FALSE) / VLOOKUP("transport|NOx|Work loss days", US_national_yearly!$D:$AM, 10, FALSE), 1)</f>
        <v>4.0148464286765056E-3</v>
      </c>
      <c r="S15" s="7">
        <f>$B15 * IFERROR(VLOOKUP("transport|NOx|Work loss days", US_national_yearly!$D:$AM, 27, FALSE) / VLOOKUP("transport|NOx|Work loss days", US_national_yearly!$D:$AM, 10, FALSE), 1)</f>
        <v>4.0433310140272714E-3</v>
      </c>
      <c r="T15" s="7">
        <f>$B15 * IFERROR(VLOOKUP("transport|NOx|Work loss days", US_national_yearly!$D:$AM, 28, FALSE) / VLOOKUP("transport|NOx|Work loss days", US_national_yearly!$D:$AM, 10, FALSE), 1)</f>
        <v>4.0718155993780362E-3</v>
      </c>
      <c r="U15" s="7">
        <f>$B15 * IFERROR(VLOOKUP("transport|NOx|Work loss days", US_national_yearly!$D:$AM, 29, FALSE) / VLOOKUP("transport|NOx|Work loss days", US_national_yearly!$D:$AM, 10, FALSE), 1)</f>
        <v>4.1003001847288011E-3</v>
      </c>
      <c r="V15" s="7">
        <f>$B15 * IFERROR(VLOOKUP("transport|NOx|Work loss days", US_national_yearly!$D:$AM, 30, FALSE) / VLOOKUP("transport|NOx|Work loss days", US_national_yearly!$D:$AM, 10, FALSE), 1)</f>
        <v>4.1287847700795669E-3</v>
      </c>
      <c r="W15" s="7">
        <f>$B15 * IFERROR(VLOOKUP("transport|NOx|Work loss days", US_national_yearly!$D:$AM, 31, FALSE) / VLOOKUP("transport|NOx|Work loss days", US_national_yearly!$D:$AM, 10, FALSE), 1)</f>
        <v>4.1572693554303326E-3</v>
      </c>
      <c r="X15" s="7">
        <f>$B15 * IFERROR(VLOOKUP("transport|NOx|Work loss days", US_national_yearly!$D:$AM, 32, FALSE) / VLOOKUP("transport|NOx|Work loss days", US_national_yearly!$D:$AM, 10, FALSE), 1)</f>
        <v>4.1819924568095492E-3</v>
      </c>
      <c r="Y15" s="7">
        <f>$B15 * IFERROR(VLOOKUP("transport|NOx|Work loss days", US_national_yearly!$D:$AM, 33, FALSE) / VLOOKUP("transport|NOx|Work loss days", US_national_yearly!$D:$AM, 10, FALSE), 1)</f>
        <v>4.2067155581887658E-3</v>
      </c>
      <c r="Z15" s="7">
        <f>$B15 * IFERROR(VLOOKUP("transport|NOx|Work loss days", US_national_yearly!$D:$AM, 34, FALSE) / VLOOKUP("transport|NOx|Work loss days", US_national_yearly!$D:$AM, 10, FALSE), 1)</f>
        <v>4.2314386595679833E-3</v>
      </c>
      <c r="AA15" s="7">
        <f>$B15 * IFERROR(VLOOKUP("transport|NOx|Work loss days", US_national_yearly!$D:$AM, 35, FALSE) / VLOOKUP("transport|NOx|Work loss days", US_national_yearly!$D:$AM, 10, FALSE), 1)</f>
        <v>4.2561617609471998E-3</v>
      </c>
      <c r="AB15" s="7">
        <f>$B15 * IFERROR(VLOOKUP("transport|NOx|Work loss days", US_national_yearly!$D:$AM, 36, FALSE) / VLOOKUP("transport|NOx|Work loss days", US_national_yearly!$D:$AM, 10, FALSE), 1)</f>
        <v>4.2808848623264164E-3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6.5282153830133035E-6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6.7200445878092012E-6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6.9118737926050963E-6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7.1037029974009922E-6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7.2955322021968898E-6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7.4777382230752663E-6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7.6599442439536454E-6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7.8131654511112376E-6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7.9663866582688281E-6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8.1196078654264203E-6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8.2728290725840125E-6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8.4260502797416064E-6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8.5218645775291307E-6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8.6176788753166584E-6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8.7134931731041827E-6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8.8093074708917087E-6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8.905121768679233E-6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8.9488392016530065E-6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8.9925566346267799E-6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9.03627406760055E-6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9.0799915005743235E-6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9.1237089335480969E-6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9.1480392006645645E-6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9.1723694677810321E-6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9.1966997348974997E-6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9.2210300020139672E-6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9.2453602691304348E-6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2.9404663810470597E-4</v>
      </c>
      <c r="C2" s="7">
        <f>$B2 * IFERROR(VLOOKUP("transport|SO2|Premature mortality", US_national_yearly!$D:$AM, 11, FALSE) / VLOOKUP("transport|SO2|Premature mortality", US_national_yearly!$D:$AM, 10, FALSE), 1)</f>
        <v>2.9777057967812515E-4</v>
      </c>
      <c r="D2" s="7">
        <f>$B2 * IFERROR(VLOOKUP("transport|SO2|Premature mortality", US_national_yearly!$D:$AM, 12, FALSE) / VLOOKUP("transport|SO2|Premature mortality", US_national_yearly!$D:$AM, 10, FALSE), 1)</f>
        <v>3.0149452125154445E-4</v>
      </c>
      <c r="E2" s="7">
        <f>$B2 * IFERROR(VLOOKUP("transport|SO2|Premature mortality", US_national_yearly!$D:$AM, 13, FALSE) / VLOOKUP("transport|SO2|Premature mortality", US_national_yearly!$D:$AM, 10, FALSE), 1)</f>
        <v>3.0521846282496363E-4</v>
      </c>
      <c r="F2" s="7">
        <f>$B2 * IFERROR(VLOOKUP("transport|SO2|Premature mortality", US_national_yearly!$D:$AM, 14, FALSE) / VLOOKUP("transport|SO2|Premature mortality", US_national_yearly!$D:$AM, 10, FALSE), 1)</f>
        <v>3.0894240439838282E-4</v>
      </c>
      <c r="G2" s="7">
        <f>$B2 * IFERROR(VLOOKUP("transport|SO2|Premature mortality", US_national_yearly!$D:$AM, 15, FALSE) / VLOOKUP("transport|SO2|Premature mortality", US_national_yearly!$D:$AM, 10, FALSE), 1)</f>
        <v>3.1611822876024902E-4</v>
      </c>
      <c r="H2" s="7">
        <f>$B2 * IFERROR(VLOOKUP("transport|SO2|Premature mortality", US_national_yearly!$D:$AM, 16, FALSE) / VLOOKUP("transport|SO2|Premature mortality", US_national_yearly!$D:$AM, 10, FALSE), 1)</f>
        <v>3.2329405312211512E-4</v>
      </c>
      <c r="I2" s="7">
        <f>$B2 * IFERROR(VLOOKUP("transport|SO2|Premature mortality", US_national_yearly!$D:$AM, 17, FALSE) / VLOOKUP("transport|SO2|Premature mortality", US_national_yearly!$D:$AM, 10, FALSE), 1)</f>
        <v>3.2803627755203759E-4</v>
      </c>
      <c r="J2" s="7">
        <f>$B2 * IFERROR(VLOOKUP("transport|SO2|Premature mortality", US_national_yearly!$D:$AM, 18, FALSE) / VLOOKUP("transport|SO2|Premature mortality", US_national_yearly!$D:$AM, 10, FALSE), 1)</f>
        <v>3.3277850198196011E-4</v>
      </c>
      <c r="K2" s="7">
        <f>$B2 * IFERROR(VLOOKUP("transport|SO2|Premature mortality", US_national_yearly!$D:$AM, 19, FALSE) / VLOOKUP("transport|SO2|Premature mortality", US_national_yearly!$D:$AM, 10, FALSE), 1)</f>
        <v>3.3752072641188253E-4</v>
      </c>
      <c r="L2" s="7">
        <f>$B2 * IFERROR(VLOOKUP("transport|SO2|Premature mortality", US_national_yearly!$D:$AM, 20, FALSE) / VLOOKUP("transport|SO2|Premature mortality", US_national_yearly!$D:$AM, 10, FALSE), 1)</f>
        <v>3.4226295084180506E-4</v>
      </c>
      <c r="M2" s="7">
        <f>$B2 * IFERROR(VLOOKUP("transport|SO2|Premature mortality", US_national_yearly!$D:$AM, 21, FALSE) / VLOOKUP("transport|SO2|Premature mortality", US_national_yearly!$D:$AM, 10, FALSE), 1)</f>
        <v>3.4700517527172758E-4</v>
      </c>
      <c r="N2" s="7">
        <f>$B2 * IFERROR(VLOOKUP("transport|SO2|Premature mortality", US_national_yearly!$D:$AM, 22, FALSE) / VLOOKUP("transport|SO2|Premature mortality", US_national_yearly!$D:$AM, 10, FALSE), 1)</f>
        <v>3.507104922100852E-4</v>
      </c>
      <c r="O2" s="7">
        <f>$B2 * IFERROR(VLOOKUP("transport|SO2|Premature mortality", US_national_yearly!$D:$AM, 23, FALSE) / VLOOKUP("transport|SO2|Premature mortality", US_national_yearly!$D:$AM, 10, FALSE), 1)</f>
        <v>3.5441580914844282E-4</v>
      </c>
      <c r="P2" s="7">
        <f>$B2 * IFERROR(VLOOKUP("transport|SO2|Premature mortality", US_national_yearly!$D:$AM, 24, FALSE) / VLOOKUP("transport|SO2|Premature mortality", US_national_yearly!$D:$AM, 10, FALSE), 1)</f>
        <v>3.5812112608680043E-4</v>
      </c>
      <c r="Q2" s="7">
        <f>$B2 * IFERROR(VLOOKUP("transport|SO2|Premature mortality", US_national_yearly!$D:$AM, 25, FALSE) / VLOOKUP("transport|SO2|Premature mortality", US_national_yearly!$D:$AM, 10, FALSE), 1)</f>
        <v>3.6182644302515805E-4</v>
      </c>
      <c r="R2" s="7">
        <f>$B2 * IFERROR(VLOOKUP("transport|SO2|Premature mortality", US_national_yearly!$D:$AM, 26, FALSE) / VLOOKUP("transport|SO2|Premature mortality", US_national_yearly!$D:$AM, 10, FALSE), 1)</f>
        <v>3.6553175996351561E-4</v>
      </c>
      <c r="S2" s="7">
        <f>$B2 * IFERROR(VLOOKUP("transport|SO2|Premature mortality", US_national_yearly!$D:$AM, 27, FALSE) / VLOOKUP("transport|SO2|Premature mortality", US_national_yearly!$D:$AM, 10, FALSE), 1)</f>
        <v>3.6751600652103948E-4</v>
      </c>
      <c r="T2" s="7">
        <f>$B2 * IFERROR(VLOOKUP("transport|SO2|Premature mortality", US_national_yearly!$D:$AM, 28, FALSE) / VLOOKUP("transport|SO2|Premature mortality", US_national_yearly!$D:$AM, 10, FALSE), 1)</f>
        <v>3.6950025307856324E-4</v>
      </c>
      <c r="U2" s="7">
        <f>$B2 * IFERROR(VLOOKUP("transport|SO2|Premature mortality", US_national_yearly!$D:$AM, 29, FALSE) / VLOOKUP("transport|SO2|Premature mortality", US_national_yearly!$D:$AM, 10, FALSE), 1)</f>
        <v>3.71484499636087E-4</v>
      </c>
      <c r="V2" s="7">
        <f>$B2 * IFERROR(VLOOKUP("transport|SO2|Premature mortality", US_national_yearly!$D:$AM, 30, FALSE) / VLOOKUP("transport|SO2|Premature mortality", US_national_yearly!$D:$AM, 10, FALSE), 1)</f>
        <v>3.7346874619361076E-4</v>
      </c>
      <c r="W2" s="7">
        <f>$B2 * IFERROR(VLOOKUP("transport|SO2|Premature mortality", US_national_yearly!$D:$AM, 31, FALSE) / VLOOKUP("transport|SO2|Premature mortality", US_national_yearly!$D:$AM, 10, FALSE), 1)</f>
        <v>3.7545299275113458E-4</v>
      </c>
      <c r="X2" s="7">
        <f>$B2 * IFERROR(VLOOKUP("transport|SO2|Premature mortality", US_national_yearly!$D:$AM, 32, FALSE) / VLOOKUP("transport|SO2|Premature mortality", US_national_yearly!$D:$AM, 10, FALSE), 1)</f>
        <v>3.758560985086493E-4</v>
      </c>
      <c r="Y2" s="7">
        <f>$B2 * IFERROR(VLOOKUP("transport|SO2|Premature mortality", US_national_yearly!$D:$AM, 33, FALSE) / VLOOKUP("transport|SO2|Premature mortality", US_national_yearly!$D:$AM, 10, FALSE), 1)</f>
        <v>3.7625920426616409E-4</v>
      </c>
      <c r="Z2" s="7">
        <f>$B2 * IFERROR(VLOOKUP("transport|SO2|Premature mortality", US_national_yearly!$D:$AM, 34, FALSE) / VLOOKUP("transport|SO2|Premature mortality", US_national_yearly!$D:$AM, 10, FALSE), 1)</f>
        <v>3.7666231002367892E-4</v>
      </c>
      <c r="AA2" s="7">
        <f>$B2 * IFERROR(VLOOKUP("transport|SO2|Premature mortality", US_national_yearly!$D:$AM, 35, FALSE) / VLOOKUP("transport|SO2|Premature mortality", US_national_yearly!$D:$AM, 10, FALSE), 1)</f>
        <v>3.770654157811937E-4</v>
      </c>
      <c r="AB2" s="7">
        <f>$B2 * IFERROR(VLOOKUP("transport|SO2|Premature mortality", US_national_yearly!$D:$AM, 36, FALSE) / VLOOKUP("transport|SO2|Premature mortality", US_national_yearly!$D:$AM, 10, FALSE), 1)</f>
        <v>3.7746852153870843E-4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8.8798207091337985E-7</v>
      </c>
      <c r="C3" s="7">
        <f>$B3 * IFERROR(VLOOKUP("transport|SO2|Infant mortality", US_national_yearly!$D:$AM, 11, FALSE) / VLOOKUP("transport|SO2|Infant mortality", US_national_yearly!$D:$AM, 10, FALSE), 1)</f>
        <v>8.8035414295135729E-7</v>
      </c>
      <c r="D3" s="7">
        <f>$B3 * IFERROR(VLOOKUP("transport|SO2|Infant mortality", US_national_yearly!$D:$AM, 12, FALSE) / VLOOKUP("transport|SO2|Infant mortality", US_national_yearly!$D:$AM, 10, FALSE), 1)</f>
        <v>8.7272621498933473E-7</v>
      </c>
      <c r="E3" s="7">
        <f>$B3 * IFERROR(VLOOKUP("transport|SO2|Infant mortality", US_national_yearly!$D:$AM, 13, FALSE) / VLOOKUP("transport|SO2|Infant mortality", US_national_yearly!$D:$AM, 10, FALSE), 1)</f>
        <v>8.6509828702731207E-7</v>
      </c>
      <c r="F3" s="7">
        <f>$B3 * IFERROR(VLOOKUP("transport|SO2|Infant mortality", US_national_yearly!$D:$AM, 14, FALSE) / VLOOKUP("transport|SO2|Infant mortality", US_national_yearly!$D:$AM, 10, FALSE), 1)</f>
        <v>8.5747035906528961E-7</v>
      </c>
      <c r="G3" s="7">
        <f>$B3 * IFERROR(VLOOKUP("transport|SO2|Infant mortality", US_national_yearly!$D:$AM, 15, FALSE) / VLOOKUP("transport|SO2|Infant mortality", US_national_yearly!$D:$AM, 10, FALSE), 1)</f>
        <v>5.7114432115559759E-7</v>
      </c>
      <c r="H3" s="7">
        <f>$B3 * IFERROR(VLOOKUP("transport|SO2|Infant mortality", US_national_yearly!$D:$AM, 16, FALSE) / VLOOKUP("transport|SO2|Infant mortality", US_national_yearly!$D:$AM, 10, FALSE), 1)</f>
        <v>2.848182832459061E-7</v>
      </c>
      <c r="I3" s="7">
        <f>$B3 * IFERROR(VLOOKUP("transport|SO2|Infant mortality", US_national_yearly!$D:$AM, 17, FALSE) / VLOOKUP("transport|SO2|Infant mortality", US_national_yearly!$D:$AM, 10, FALSE), 1)</f>
        <v>2.8303153214736739E-7</v>
      </c>
      <c r="J3" s="7">
        <f>$B3 * IFERROR(VLOOKUP("transport|SO2|Infant mortality", US_national_yearly!$D:$AM, 18, FALSE) / VLOOKUP("transport|SO2|Infant mortality", US_national_yearly!$D:$AM, 10, FALSE), 1)</f>
        <v>2.8124478104882867E-7</v>
      </c>
      <c r="K3" s="7">
        <f>$B3 * IFERROR(VLOOKUP("transport|SO2|Infant mortality", US_national_yearly!$D:$AM, 19, FALSE) / VLOOKUP("transport|SO2|Infant mortality", US_national_yearly!$D:$AM, 10, FALSE), 1)</f>
        <v>2.7945802995028996E-7</v>
      </c>
      <c r="L3" s="7">
        <f>$B3 * IFERROR(VLOOKUP("transport|SO2|Infant mortality", US_national_yearly!$D:$AM, 20, FALSE) / VLOOKUP("transport|SO2|Infant mortality", US_national_yearly!$D:$AM, 10, FALSE), 1)</f>
        <v>2.7767127885175129E-7</v>
      </c>
      <c r="M3" s="7">
        <f>$B3 * IFERROR(VLOOKUP("transport|SO2|Infant mortality", US_national_yearly!$D:$AM, 21, FALSE) / VLOOKUP("transport|SO2|Infant mortality", US_national_yearly!$D:$AM, 10, FALSE), 1)</f>
        <v>2.7588452775321263E-7</v>
      </c>
      <c r="N3" s="7">
        <f>$B3 * IFERROR(VLOOKUP("transport|SO2|Infant mortality", US_national_yearly!$D:$AM, 22, FALSE) / VLOOKUP("transport|SO2|Infant mortality", US_national_yearly!$D:$AM, 10, FALSE), 1)</f>
        <v>2.7476299746546184E-7</v>
      </c>
      <c r="O3" s="7">
        <f>$B3 * IFERROR(VLOOKUP("transport|SO2|Infant mortality", US_national_yearly!$D:$AM, 23, FALSE) / VLOOKUP("transport|SO2|Infant mortality", US_national_yearly!$D:$AM, 10, FALSE), 1)</f>
        <v>2.7364146717771104E-7</v>
      </c>
      <c r="P3" s="7">
        <f>$B3 * IFERROR(VLOOKUP("transport|SO2|Infant mortality", US_national_yearly!$D:$AM, 24, FALSE) / VLOOKUP("transport|SO2|Infant mortality", US_national_yearly!$D:$AM, 10, FALSE), 1)</f>
        <v>2.7251993688996019E-7</v>
      </c>
      <c r="Q3" s="7">
        <f>$B3 * IFERROR(VLOOKUP("transport|SO2|Infant mortality", US_national_yearly!$D:$AM, 25, FALSE) / VLOOKUP("transport|SO2|Infant mortality", US_national_yearly!$D:$AM, 10, FALSE), 1)</f>
        <v>2.713984066022094E-7</v>
      </c>
      <c r="R3" s="7">
        <f>$B3 * IFERROR(VLOOKUP("transport|SO2|Infant mortality", US_national_yearly!$D:$AM, 26, FALSE) / VLOOKUP("transport|SO2|Infant mortality", US_national_yearly!$D:$AM, 10, FALSE), 1)</f>
        <v>2.702768763144586E-7</v>
      </c>
      <c r="S3" s="7">
        <f>$B3 * IFERROR(VLOOKUP("transport|SO2|Infant mortality", US_national_yearly!$D:$AM, 27, FALSE) / VLOOKUP("transport|SO2|Infant mortality", US_national_yearly!$D:$AM, 10, FALSE), 1)</f>
        <v>2.6886872671309976E-7</v>
      </c>
      <c r="T3" s="7">
        <f>$B3 * IFERROR(VLOOKUP("transport|SO2|Infant mortality", US_national_yearly!$D:$AM, 28, FALSE) / VLOOKUP("transport|SO2|Infant mortality", US_national_yearly!$D:$AM, 10, FALSE), 1)</f>
        <v>2.6746057711174097E-7</v>
      </c>
      <c r="U3" s="7">
        <f>$B3 * IFERROR(VLOOKUP("transport|SO2|Infant mortality", US_national_yearly!$D:$AM, 29, FALSE) / VLOOKUP("transport|SO2|Infant mortality", US_national_yearly!$D:$AM, 10, FALSE), 1)</f>
        <v>2.6605242751038208E-7</v>
      </c>
      <c r="V3" s="7">
        <f>$B3 * IFERROR(VLOOKUP("transport|SO2|Infant mortality", US_national_yearly!$D:$AM, 30, FALSE) / VLOOKUP("transport|SO2|Infant mortality", US_national_yearly!$D:$AM, 10, FALSE), 1)</f>
        <v>2.6464427790902334E-7</v>
      </c>
      <c r="W3" s="7">
        <f>$B3 * IFERROR(VLOOKUP("transport|SO2|Infant mortality", US_national_yearly!$D:$AM, 31, FALSE) / VLOOKUP("transport|SO2|Infant mortality", US_national_yearly!$D:$AM, 10, FALSE), 1)</f>
        <v>2.632361283076645E-7</v>
      </c>
      <c r="X3" s="7">
        <f>$B3 * IFERROR(VLOOKUP("transport|SO2|Infant mortality", US_national_yearly!$D:$AM, 32, FALSE) / VLOOKUP("transport|SO2|Infant mortality", US_national_yearly!$D:$AM, 10, FALSE), 1)</f>
        <v>2.6169658613692444E-7</v>
      </c>
      <c r="Y3" s="7">
        <f>$B3 * IFERROR(VLOOKUP("transport|SO2|Infant mortality", US_national_yearly!$D:$AM, 33, FALSE) / VLOOKUP("transport|SO2|Infant mortality", US_national_yearly!$D:$AM, 10, FALSE), 1)</f>
        <v>2.6015704396618432E-7</v>
      </c>
      <c r="Z3" s="7">
        <f>$B3 * IFERROR(VLOOKUP("transport|SO2|Infant mortality", US_national_yearly!$D:$AM, 34, FALSE) / VLOOKUP("transport|SO2|Infant mortality", US_national_yearly!$D:$AM, 10, FALSE), 1)</f>
        <v>2.5861750179544431E-7</v>
      </c>
      <c r="AA3" s="7">
        <f>$B3 * IFERROR(VLOOKUP("transport|SO2|Infant mortality", US_national_yearly!$D:$AM, 35, FALSE) / VLOOKUP("transport|SO2|Infant mortality", US_national_yearly!$D:$AM, 10, FALSE), 1)</f>
        <v>2.5707795962470419E-7</v>
      </c>
      <c r="AB3" s="7">
        <f>$B3 * IFERROR(VLOOKUP("transport|SO2|Infant mortality", US_national_yearly!$D:$AM, 36, FALSE) / VLOOKUP("transport|SO2|Infant mortality", US_national_yearly!$D:$AM, 10, FALSE), 1)</f>
        <v>2.5553841745396418E-7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9.0969605403474769E-4</v>
      </c>
      <c r="C6" s="7">
        <f>$B6 * IFERROR(VLOOKUP("transport|SO2|Asthma symptoms cough", US_national_yearly!$D:$AM, 11, FALSE) / VLOOKUP("transport|SO2|Asthma symptoms cough", US_national_yearly!$D:$AM, 10, FALSE), 1)</f>
        <v>9.0969605403474769E-4</v>
      </c>
      <c r="D6" s="7">
        <f>$B6 * IFERROR(VLOOKUP("transport|SO2|Asthma symptoms cough", US_national_yearly!$D:$AM, 12, FALSE) / VLOOKUP("transport|SO2|Asthma symptoms cough", US_national_yearly!$D:$AM, 10, FALSE), 1)</f>
        <v>9.0969605403474769E-4</v>
      </c>
      <c r="E6" s="7">
        <f>$B6 * IFERROR(VLOOKUP("transport|SO2|Asthma symptoms cough", US_national_yearly!$D:$AM, 13, FALSE) / VLOOKUP("transport|SO2|Asthma symptoms cough", US_national_yearly!$D:$AM, 10, FALSE), 1)</f>
        <v>9.0969605403474769E-4</v>
      </c>
      <c r="F6" s="7">
        <f>$B6 * IFERROR(VLOOKUP("transport|SO2|Asthma symptoms cough", US_national_yearly!$D:$AM, 14, FALSE) / VLOOKUP("transport|SO2|Asthma symptoms cough", US_national_yearly!$D:$AM, 10, FALSE), 1)</f>
        <v>9.0969605403474769E-4</v>
      </c>
      <c r="G6" s="7">
        <f>$B6 * IFERROR(VLOOKUP("transport|SO2|Asthma symptoms cough", US_national_yearly!$D:$AM, 15, FALSE) / VLOOKUP("transport|SO2|Asthma symptoms cough", US_national_yearly!$D:$AM, 10, FALSE), 1)</f>
        <v>9.0969605403474769E-4</v>
      </c>
      <c r="H6" s="7">
        <f>$B6 * IFERROR(VLOOKUP("transport|SO2|Asthma symptoms cough", US_national_yearly!$D:$AM, 16, FALSE) / VLOOKUP("transport|SO2|Asthma symptoms cough", US_national_yearly!$D:$AM, 10, FALSE), 1)</f>
        <v>9.0969605403474769E-4</v>
      </c>
      <c r="I6" s="7">
        <f>$B6 * IFERROR(VLOOKUP("transport|SO2|Asthma symptoms cough", US_national_yearly!$D:$AM, 17, FALSE) / VLOOKUP("transport|SO2|Asthma symptoms cough", US_national_yearly!$D:$AM, 10, FALSE), 1)</f>
        <v>9.0969605403474769E-4</v>
      </c>
      <c r="J6" s="7">
        <f>$B6 * IFERROR(VLOOKUP("transport|SO2|Asthma symptoms cough", US_national_yearly!$D:$AM, 18, FALSE) / VLOOKUP("transport|SO2|Asthma symptoms cough", US_national_yearly!$D:$AM, 10, FALSE), 1)</f>
        <v>9.0969605403474769E-4</v>
      </c>
      <c r="K6" s="7">
        <f>$B6 * IFERROR(VLOOKUP("transport|SO2|Asthma symptoms cough", US_national_yearly!$D:$AM, 19, FALSE) / VLOOKUP("transport|SO2|Asthma symptoms cough", US_national_yearly!$D:$AM, 10, FALSE), 1)</f>
        <v>9.0969605403474769E-4</v>
      </c>
      <c r="L6" s="7">
        <f>$B6 * IFERROR(VLOOKUP("transport|SO2|Asthma symptoms cough", US_national_yearly!$D:$AM, 20, FALSE) / VLOOKUP("transport|SO2|Asthma symptoms cough", US_national_yearly!$D:$AM, 10, FALSE), 1)</f>
        <v>9.0969605403474769E-4</v>
      </c>
      <c r="M6" s="7">
        <f>$B6 * IFERROR(VLOOKUP("transport|SO2|Asthma symptoms cough", US_national_yearly!$D:$AM, 21, FALSE) / VLOOKUP("transport|SO2|Asthma symptoms cough", US_national_yearly!$D:$AM, 10, FALSE), 1)</f>
        <v>9.0969605403474769E-4</v>
      </c>
      <c r="N6" s="7">
        <f>$B6 * IFERROR(VLOOKUP("transport|SO2|Asthma symptoms cough", US_national_yearly!$D:$AM, 22, FALSE) / VLOOKUP("transport|SO2|Asthma symptoms cough", US_national_yearly!$D:$AM, 10, FALSE), 1)</f>
        <v>9.0969605403474769E-4</v>
      </c>
      <c r="O6" s="7">
        <f>$B6 * IFERROR(VLOOKUP("transport|SO2|Asthma symptoms cough", US_national_yearly!$D:$AM, 23, FALSE) / VLOOKUP("transport|SO2|Asthma symptoms cough", US_national_yearly!$D:$AM, 10, FALSE), 1)</f>
        <v>9.0969605403474769E-4</v>
      </c>
      <c r="P6" s="7">
        <f>$B6 * IFERROR(VLOOKUP("transport|SO2|Asthma symptoms cough", US_national_yearly!$D:$AM, 24, FALSE) / VLOOKUP("transport|SO2|Asthma symptoms cough", US_national_yearly!$D:$AM, 10, FALSE), 1)</f>
        <v>9.0969605403474769E-4</v>
      </c>
      <c r="Q6" s="7">
        <f>$B6 * IFERROR(VLOOKUP("transport|SO2|Asthma symptoms cough", US_national_yearly!$D:$AM, 25, FALSE) / VLOOKUP("transport|SO2|Asthma symptoms cough", US_national_yearly!$D:$AM, 10, FALSE), 1)</f>
        <v>9.0969605403474769E-4</v>
      </c>
      <c r="R6" s="7">
        <f>$B6 * IFERROR(VLOOKUP("transport|SO2|Asthma symptoms cough", US_national_yearly!$D:$AM, 26, FALSE) / VLOOKUP("transport|SO2|Asthma symptoms cough", US_national_yearly!$D:$AM, 10, FALSE), 1)</f>
        <v>9.0969605403474769E-4</v>
      </c>
      <c r="S6" s="7">
        <f>$B6 * IFERROR(VLOOKUP("transport|SO2|Asthma symptoms cough", US_national_yearly!$D:$AM, 27, FALSE) / VLOOKUP("transport|SO2|Asthma symptoms cough", US_national_yearly!$D:$AM, 10, FALSE), 1)</f>
        <v>9.0969605403474769E-4</v>
      </c>
      <c r="T6" s="7">
        <f>$B6 * IFERROR(VLOOKUP("transport|SO2|Asthma symptoms cough", US_national_yearly!$D:$AM, 28, FALSE) / VLOOKUP("transport|SO2|Asthma symptoms cough", US_national_yearly!$D:$AM, 10, FALSE), 1)</f>
        <v>9.0969605403474769E-4</v>
      </c>
      <c r="U6" s="7">
        <f>$B6 * IFERROR(VLOOKUP("transport|SO2|Asthma symptoms cough", US_national_yearly!$D:$AM, 29, FALSE) / VLOOKUP("transport|SO2|Asthma symptoms cough", US_national_yearly!$D:$AM, 10, FALSE), 1)</f>
        <v>9.0969605403474769E-4</v>
      </c>
      <c r="V6" s="7">
        <f>$B6 * IFERROR(VLOOKUP("transport|SO2|Asthma symptoms cough", US_national_yearly!$D:$AM, 30, FALSE) / VLOOKUP("transport|SO2|Asthma symptoms cough", US_national_yearly!$D:$AM, 10, FALSE), 1)</f>
        <v>9.0969605403474769E-4</v>
      </c>
      <c r="W6" s="7">
        <f>$B6 * IFERROR(VLOOKUP("transport|SO2|Asthma symptoms cough", US_national_yearly!$D:$AM, 31, FALSE) / VLOOKUP("transport|SO2|Asthma symptoms cough", US_national_yearly!$D:$AM, 10, FALSE), 1)</f>
        <v>9.0969605403474769E-4</v>
      </c>
      <c r="X6" s="7">
        <f>$B6 * IFERROR(VLOOKUP("transport|SO2|Asthma symptoms cough", US_national_yearly!$D:$AM, 32, FALSE) / VLOOKUP("transport|SO2|Asthma symptoms cough", US_national_yearly!$D:$AM, 10, FALSE), 1)</f>
        <v>9.0969605403474769E-4</v>
      </c>
      <c r="Y6" s="7">
        <f>$B6 * IFERROR(VLOOKUP("transport|SO2|Asthma symptoms cough", US_national_yearly!$D:$AM, 33, FALSE) / VLOOKUP("transport|SO2|Asthma symptoms cough", US_national_yearly!$D:$AM, 10, FALSE), 1)</f>
        <v>9.0969605403474769E-4</v>
      </c>
      <c r="Z6" s="7">
        <f>$B6 * IFERROR(VLOOKUP("transport|SO2|Asthma symptoms cough", US_national_yearly!$D:$AM, 34, FALSE) / VLOOKUP("transport|SO2|Asthma symptoms cough", US_national_yearly!$D:$AM, 10, FALSE), 1)</f>
        <v>9.0969605403474769E-4</v>
      </c>
      <c r="AA6" s="7">
        <f>$B6 * IFERROR(VLOOKUP("transport|SO2|Asthma symptoms cough", US_national_yearly!$D:$AM, 35, FALSE) / VLOOKUP("transport|SO2|Asthma symptoms cough", US_national_yearly!$D:$AM, 10, FALSE), 1)</f>
        <v>9.0969605403474769E-4</v>
      </c>
      <c r="AB6" s="7">
        <f>$B6 * IFERROR(VLOOKUP("transport|SO2|Asthma symptoms cough", US_national_yearly!$D:$AM, 36, FALSE) / VLOOKUP("transport|SO2|Asthma symptoms cough", US_national_yearly!$D:$AM, 10, FALSE), 1)</f>
        <v>9.0969605403474769E-4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1.225039169245508E-3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1.225039169245508E-3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1.225039169245508E-3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1.225039169245508E-3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1.225039169245508E-3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1.225039169245508E-3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1.225039169245508E-3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1.225039169245508E-3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1.225039169245508E-3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1.225039169245508E-3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1.225039169245508E-3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1.225039169245508E-3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1.225039169245508E-3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1.225039169245508E-3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1.225039169245508E-3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1.225039169245508E-3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1.225039169245508E-3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1.225039169245508E-3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1.225039169245508E-3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1.225039169245508E-3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1.225039169245508E-3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1.225039169245508E-3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1.225039169245508E-3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1.225039169245508E-3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1.225039169245508E-3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1.225039169245508E-3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1.225039169245508E-3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1.8716470261945239E-3</v>
      </c>
      <c r="C8" s="7">
        <f>$B8 * IFERROR(VLOOKUP("transport|SO2|Asthma symptoms wheeze", US_national_yearly!$D:$AM, 11, FALSE) / VLOOKUP("transport|SO2|Asthma symptoms wheeze", US_national_yearly!$D:$AM, 10, FALSE), 1)</f>
        <v>1.8716470261945239E-3</v>
      </c>
      <c r="D8" s="7">
        <f>$B8 * IFERROR(VLOOKUP("transport|SO2|Asthma symptoms wheeze", US_national_yearly!$D:$AM, 12, FALSE) / VLOOKUP("transport|SO2|Asthma symptoms wheeze", US_national_yearly!$D:$AM, 10, FALSE), 1)</f>
        <v>1.8716470261945239E-3</v>
      </c>
      <c r="E8" s="7">
        <f>$B8 * IFERROR(VLOOKUP("transport|SO2|Asthma symptoms wheeze", US_national_yearly!$D:$AM, 13, FALSE) / VLOOKUP("transport|SO2|Asthma symptoms wheeze", US_national_yearly!$D:$AM, 10, FALSE), 1)</f>
        <v>1.8716470261945239E-3</v>
      </c>
      <c r="F8" s="7">
        <f>$B8 * IFERROR(VLOOKUP("transport|SO2|Asthma symptoms wheeze", US_national_yearly!$D:$AM, 14, FALSE) / VLOOKUP("transport|SO2|Asthma symptoms wheeze", US_national_yearly!$D:$AM, 10, FALSE), 1)</f>
        <v>1.8716470261945239E-3</v>
      </c>
      <c r="G8" s="7">
        <f>$B8 * IFERROR(VLOOKUP("transport|SO2|Asthma symptoms wheeze", US_national_yearly!$D:$AM, 15, FALSE) / VLOOKUP("transport|SO2|Asthma symptoms wheeze", US_national_yearly!$D:$AM, 10, FALSE), 1)</f>
        <v>1.8716470261945239E-3</v>
      </c>
      <c r="H8" s="7">
        <f>$B8 * IFERROR(VLOOKUP("transport|SO2|Asthma symptoms wheeze", US_national_yearly!$D:$AM, 16, FALSE) / VLOOKUP("transport|SO2|Asthma symptoms wheeze", US_national_yearly!$D:$AM, 10, FALSE), 1)</f>
        <v>1.8716470261945239E-3</v>
      </c>
      <c r="I8" s="7">
        <f>$B8 * IFERROR(VLOOKUP("transport|SO2|Asthma symptoms wheeze", US_national_yearly!$D:$AM, 17, FALSE) / VLOOKUP("transport|SO2|Asthma symptoms wheeze", US_national_yearly!$D:$AM, 10, FALSE), 1)</f>
        <v>1.8716470261945239E-3</v>
      </c>
      <c r="J8" s="7">
        <f>$B8 * IFERROR(VLOOKUP("transport|SO2|Asthma symptoms wheeze", US_national_yearly!$D:$AM, 18, FALSE) / VLOOKUP("transport|SO2|Asthma symptoms wheeze", US_national_yearly!$D:$AM, 10, FALSE), 1)</f>
        <v>1.8716470261945239E-3</v>
      </c>
      <c r="K8" s="7">
        <f>$B8 * IFERROR(VLOOKUP("transport|SO2|Asthma symptoms wheeze", US_national_yearly!$D:$AM, 19, FALSE) / VLOOKUP("transport|SO2|Asthma symptoms wheeze", US_national_yearly!$D:$AM, 10, FALSE), 1)</f>
        <v>1.8716470261945239E-3</v>
      </c>
      <c r="L8" s="7">
        <f>$B8 * IFERROR(VLOOKUP("transport|SO2|Asthma symptoms wheeze", US_national_yearly!$D:$AM, 20, FALSE) / VLOOKUP("transport|SO2|Asthma symptoms wheeze", US_national_yearly!$D:$AM, 10, FALSE), 1)</f>
        <v>1.8716470261945239E-3</v>
      </c>
      <c r="M8" s="7">
        <f>$B8 * IFERROR(VLOOKUP("transport|SO2|Asthma symptoms wheeze", US_national_yearly!$D:$AM, 21, FALSE) / VLOOKUP("transport|SO2|Asthma symptoms wheeze", US_national_yearly!$D:$AM, 10, FALSE), 1)</f>
        <v>1.8716470261945239E-3</v>
      </c>
      <c r="N8" s="7">
        <f>$B8 * IFERROR(VLOOKUP("transport|SO2|Asthma symptoms wheeze", US_national_yearly!$D:$AM, 22, FALSE) / VLOOKUP("transport|SO2|Asthma symptoms wheeze", US_national_yearly!$D:$AM, 10, FALSE), 1)</f>
        <v>1.8716470261945239E-3</v>
      </c>
      <c r="O8" s="7">
        <f>$B8 * IFERROR(VLOOKUP("transport|SO2|Asthma symptoms wheeze", US_national_yearly!$D:$AM, 23, FALSE) / VLOOKUP("transport|SO2|Asthma symptoms wheeze", US_national_yearly!$D:$AM, 10, FALSE), 1)</f>
        <v>1.8716470261945239E-3</v>
      </c>
      <c r="P8" s="7">
        <f>$B8 * IFERROR(VLOOKUP("transport|SO2|Asthma symptoms wheeze", US_national_yearly!$D:$AM, 24, FALSE) / VLOOKUP("transport|SO2|Asthma symptoms wheeze", US_national_yearly!$D:$AM, 10, FALSE), 1)</f>
        <v>1.8716470261945239E-3</v>
      </c>
      <c r="Q8" s="7">
        <f>$B8 * IFERROR(VLOOKUP("transport|SO2|Asthma symptoms wheeze", US_national_yearly!$D:$AM, 25, FALSE) / VLOOKUP("transport|SO2|Asthma symptoms wheeze", US_national_yearly!$D:$AM, 10, FALSE), 1)</f>
        <v>1.8716470261945239E-3</v>
      </c>
      <c r="R8" s="7">
        <f>$B8 * IFERROR(VLOOKUP("transport|SO2|Asthma symptoms wheeze", US_national_yearly!$D:$AM, 26, FALSE) / VLOOKUP("transport|SO2|Asthma symptoms wheeze", US_national_yearly!$D:$AM, 10, FALSE), 1)</f>
        <v>1.8716470261945239E-3</v>
      </c>
      <c r="S8" s="7">
        <f>$B8 * IFERROR(VLOOKUP("transport|SO2|Asthma symptoms wheeze", US_national_yearly!$D:$AM, 27, FALSE) / VLOOKUP("transport|SO2|Asthma symptoms wheeze", US_national_yearly!$D:$AM, 10, FALSE), 1)</f>
        <v>1.8716470261945239E-3</v>
      </c>
      <c r="T8" s="7">
        <f>$B8 * IFERROR(VLOOKUP("transport|SO2|Asthma symptoms wheeze", US_national_yearly!$D:$AM, 28, FALSE) / VLOOKUP("transport|SO2|Asthma symptoms wheeze", US_national_yearly!$D:$AM, 10, FALSE), 1)</f>
        <v>1.8716470261945239E-3</v>
      </c>
      <c r="U8" s="7">
        <f>$B8 * IFERROR(VLOOKUP("transport|SO2|Asthma symptoms wheeze", US_national_yearly!$D:$AM, 29, FALSE) / VLOOKUP("transport|SO2|Asthma symptoms wheeze", US_national_yearly!$D:$AM, 10, FALSE), 1)</f>
        <v>1.8716470261945239E-3</v>
      </c>
      <c r="V8" s="7">
        <f>$B8 * IFERROR(VLOOKUP("transport|SO2|Asthma symptoms wheeze", US_national_yearly!$D:$AM, 30, FALSE) / VLOOKUP("transport|SO2|Asthma symptoms wheeze", US_national_yearly!$D:$AM, 10, FALSE), 1)</f>
        <v>1.8716470261945239E-3</v>
      </c>
      <c r="W8" s="7">
        <f>$B8 * IFERROR(VLOOKUP("transport|SO2|Asthma symptoms wheeze", US_national_yearly!$D:$AM, 31, FALSE) / VLOOKUP("transport|SO2|Asthma symptoms wheeze", US_national_yearly!$D:$AM, 10, FALSE), 1)</f>
        <v>1.8716470261945239E-3</v>
      </c>
      <c r="X8" s="7">
        <f>$B8 * IFERROR(VLOOKUP("transport|SO2|Asthma symptoms wheeze", US_national_yearly!$D:$AM, 32, FALSE) / VLOOKUP("transport|SO2|Asthma symptoms wheeze", US_national_yearly!$D:$AM, 10, FALSE), 1)</f>
        <v>1.8716470261945239E-3</v>
      </c>
      <c r="Y8" s="7">
        <f>$B8 * IFERROR(VLOOKUP("transport|SO2|Asthma symptoms wheeze", US_national_yearly!$D:$AM, 33, FALSE) / VLOOKUP("transport|SO2|Asthma symptoms wheeze", US_national_yearly!$D:$AM, 10, FALSE), 1)</f>
        <v>1.8716470261945239E-3</v>
      </c>
      <c r="Z8" s="7">
        <f>$B8 * IFERROR(VLOOKUP("transport|SO2|Asthma symptoms wheeze", US_national_yearly!$D:$AM, 34, FALSE) / VLOOKUP("transport|SO2|Asthma symptoms wheeze", US_national_yearly!$D:$AM, 10, FALSE), 1)</f>
        <v>1.8716470261945239E-3</v>
      </c>
      <c r="AA8" s="7">
        <f>$B8 * IFERROR(VLOOKUP("transport|SO2|Asthma symptoms wheeze", US_national_yearly!$D:$AM, 35, FALSE) / VLOOKUP("transport|SO2|Asthma symptoms wheeze", US_national_yearly!$D:$AM, 10, FALSE), 1)</f>
        <v>1.8716470261945239E-3</v>
      </c>
      <c r="AB8" s="7">
        <f>$B8 * IFERROR(VLOOKUP("transport|SO2|Asthma symptoms wheeze", US_national_yearly!$D:$AM, 36, FALSE) / VLOOKUP("transport|SO2|Asthma symptoms wheeze", US_national_yearly!$D:$AM, 10, FALSE), 1)</f>
        <v>1.8716470261945239E-3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1.9414907414810254E-5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1.9529417503564678E-5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1.9643927592319102E-5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1.9758437681073526E-5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1.9872947769827947E-5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1.9997783081100847E-5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2.0122618392373744E-5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2.0245720872696612E-5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2.0368823353019487E-5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2.0491925833342348E-5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2.0615028313665223E-5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2.0738130793988088E-5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2.0827991804622844E-5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2.0917852815257601E-5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2.1007713825892354E-5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2.1097574836527115E-5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2.1187435847161868E-5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2.1273156394718835E-5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2.1358876942275799E-5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2.144459748983277E-5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2.1530318037389737E-5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2.1616038584946705E-5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2.1697373310936863E-5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2.1778708036927022E-5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2.1860042762917181E-5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2.1941377488907339E-5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2.2022712214897501E-5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2.0549872943181335E-4</v>
      </c>
      <c r="C13" s="7">
        <f>$B13 * IFERROR(VLOOKUP("transport|SO2|Non-fatal heart attacks", US_national_yearly!$D:$AM, 11, FALSE) / VLOOKUP("transport|SO2|Non-fatal heart attacks", US_national_yearly!$D:$AM, 10, FALSE), 1)</f>
        <v>2.1153142571561973E-4</v>
      </c>
      <c r="D13" s="7">
        <f>$B13 * IFERROR(VLOOKUP("transport|SO2|Non-fatal heart attacks", US_national_yearly!$D:$AM, 12, FALSE) / VLOOKUP("transport|SO2|Non-fatal heart attacks", US_national_yearly!$D:$AM, 10, FALSE), 1)</f>
        <v>2.1756412199942611E-4</v>
      </c>
      <c r="E13" s="7">
        <f>$B13 * IFERROR(VLOOKUP("transport|SO2|Non-fatal heart attacks", US_national_yearly!$D:$AM, 13, FALSE) / VLOOKUP("transport|SO2|Non-fatal heart attacks", US_national_yearly!$D:$AM, 10, FALSE), 1)</f>
        <v>2.2359681828323249E-4</v>
      </c>
      <c r="F13" s="7">
        <f>$B13 * IFERROR(VLOOKUP("transport|SO2|Non-fatal heart attacks", US_national_yearly!$D:$AM, 14, FALSE) / VLOOKUP("transport|SO2|Non-fatal heart attacks", US_national_yearly!$D:$AM, 10, FALSE), 1)</f>
        <v>2.2962951456703882E-4</v>
      </c>
      <c r="G13" s="7">
        <f>$B13 * IFERROR(VLOOKUP("transport|SO2|Non-fatal heart attacks", US_national_yearly!$D:$AM, 15, FALSE) / VLOOKUP("transport|SO2|Non-fatal heart attacks", US_national_yearly!$D:$AM, 10, FALSE), 1)</f>
        <v>2.3531890672943241E-4</v>
      </c>
      <c r="H13" s="7">
        <f>$B13 * IFERROR(VLOOKUP("transport|SO2|Non-fatal heart attacks", US_national_yearly!$D:$AM, 16, FALSE) / VLOOKUP("transport|SO2|Non-fatal heart attacks", US_national_yearly!$D:$AM, 10, FALSE), 1)</f>
        <v>2.41008298891826E-4</v>
      </c>
      <c r="I13" s="7">
        <f>$B13 * IFERROR(VLOOKUP("transport|SO2|Non-fatal heart attacks", US_national_yearly!$D:$AM, 17, FALSE) / VLOOKUP("transport|SO2|Non-fatal heart attacks", US_national_yearly!$D:$AM, 10, FALSE), 1)</f>
        <v>2.4558647604059703E-4</v>
      </c>
      <c r="J13" s="7">
        <f>$B13 * IFERROR(VLOOKUP("transport|SO2|Non-fatal heart attacks", US_national_yearly!$D:$AM, 18, FALSE) / VLOOKUP("transport|SO2|Non-fatal heart attacks", US_national_yearly!$D:$AM, 10, FALSE), 1)</f>
        <v>2.5016465318936808E-4</v>
      </c>
      <c r="K13" s="7">
        <f>$B13 * IFERROR(VLOOKUP("transport|SO2|Non-fatal heart attacks", US_national_yearly!$D:$AM, 19, FALSE) / VLOOKUP("transport|SO2|Non-fatal heart attacks", US_national_yearly!$D:$AM, 10, FALSE), 1)</f>
        <v>2.5474283033813914E-4</v>
      </c>
      <c r="L13" s="7">
        <f>$B13 * IFERROR(VLOOKUP("transport|SO2|Non-fatal heart attacks", US_national_yearly!$D:$AM, 20, FALSE) / VLOOKUP("transport|SO2|Non-fatal heart attacks", US_national_yearly!$D:$AM, 10, FALSE), 1)</f>
        <v>2.5932100748691025E-4</v>
      </c>
      <c r="M13" s="7">
        <f>$B13 * IFERROR(VLOOKUP("transport|SO2|Non-fatal heart attacks", US_national_yearly!$D:$AM, 21, FALSE) / VLOOKUP("transport|SO2|Non-fatal heart attacks", US_national_yearly!$D:$AM, 10, FALSE), 1)</f>
        <v>2.6389918463568131E-4</v>
      </c>
      <c r="N13" s="7">
        <f>$B13 * IFERROR(VLOOKUP("transport|SO2|Non-fatal heart attacks", US_national_yearly!$D:$AM, 22, FALSE) / VLOOKUP("transport|SO2|Non-fatal heart attacks", US_national_yearly!$D:$AM, 10, FALSE), 1)</f>
        <v>2.6687185037009678E-4</v>
      </c>
      <c r="O13" s="7">
        <f>$B13 * IFERROR(VLOOKUP("transport|SO2|Non-fatal heart attacks", US_national_yearly!$D:$AM, 23, FALSE) / VLOOKUP("transport|SO2|Non-fatal heart attacks", US_national_yearly!$D:$AM, 10, FALSE), 1)</f>
        <v>2.698445161045123E-4</v>
      </c>
      <c r="P13" s="7">
        <f>$B13 * IFERROR(VLOOKUP("transport|SO2|Non-fatal heart attacks", US_national_yearly!$D:$AM, 24, FALSE) / VLOOKUP("transport|SO2|Non-fatal heart attacks", US_national_yearly!$D:$AM, 10, FALSE), 1)</f>
        <v>2.7281718183892783E-4</v>
      </c>
      <c r="Q13" s="7">
        <f>$B13 * IFERROR(VLOOKUP("transport|SO2|Non-fatal heart attacks", US_national_yearly!$D:$AM, 25, FALSE) / VLOOKUP("transport|SO2|Non-fatal heart attacks", US_national_yearly!$D:$AM, 10, FALSE), 1)</f>
        <v>2.7578984757334335E-4</v>
      </c>
      <c r="R13" s="7">
        <f>$B13 * IFERROR(VLOOKUP("transport|SO2|Non-fatal heart attacks", US_national_yearly!$D:$AM, 26, FALSE) / VLOOKUP("transport|SO2|Non-fatal heart attacks", US_national_yearly!$D:$AM, 10, FALSE), 1)</f>
        <v>2.7876251330775882E-4</v>
      </c>
      <c r="S13" s="7">
        <f>$B13 * IFERROR(VLOOKUP("transport|SO2|Non-fatal heart attacks", US_national_yearly!$D:$AM, 27, FALSE) / VLOOKUP("transport|SO2|Non-fatal heart attacks", US_national_yearly!$D:$AM, 10, FALSE), 1)</f>
        <v>2.8031452536707947E-4</v>
      </c>
      <c r="T13" s="7">
        <f>$B13 * IFERROR(VLOOKUP("transport|SO2|Non-fatal heart attacks", US_national_yearly!$D:$AM, 28, FALSE) / VLOOKUP("transport|SO2|Non-fatal heart attacks", US_national_yearly!$D:$AM, 10, FALSE), 1)</f>
        <v>2.8186653742640018E-4</v>
      </c>
      <c r="U13" s="7">
        <f>$B13 * IFERROR(VLOOKUP("transport|SO2|Non-fatal heart attacks", US_national_yearly!$D:$AM, 29, FALSE) / VLOOKUP("transport|SO2|Non-fatal heart attacks", US_national_yearly!$D:$AM, 10, FALSE), 1)</f>
        <v>2.8341854948572083E-4</v>
      </c>
      <c r="V13" s="7">
        <f>$B13 * IFERROR(VLOOKUP("transport|SO2|Non-fatal heart attacks", US_national_yearly!$D:$AM, 30, FALSE) / VLOOKUP("transport|SO2|Non-fatal heart attacks", US_national_yearly!$D:$AM, 10, FALSE), 1)</f>
        <v>2.8497056154504148E-4</v>
      </c>
      <c r="W13" s="7">
        <f>$B13 * IFERROR(VLOOKUP("transport|SO2|Non-fatal heart attacks", US_national_yearly!$D:$AM, 31, FALSE) / VLOOKUP("transport|SO2|Non-fatal heart attacks", US_national_yearly!$D:$AM, 10, FALSE), 1)</f>
        <v>2.8652257360436219E-4</v>
      </c>
      <c r="X13" s="7">
        <f>$B13 * IFERROR(VLOOKUP("transport|SO2|Non-fatal heart attacks", US_national_yearly!$D:$AM, 32, FALSE) / VLOOKUP("transport|SO2|Non-fatal heart attacks", US_national_yearly!$D:$AM, 10, FALSE), 1)</f>
        <v>2.8769420694867739E-4</v>
      </c>
      <c r="Y13" s="7">
        <f>$B13 * IFERROR(VLOOKUP("transport|SO2|Non-fatal heart attacks", US_national_yearly!$D:$AM, 33, FALSE) / VLOOKUP("transport|SO2|Non-fatal heart attacks", US_national_yearly!$D:$AM, 10, FALSE), 1)</f>
        <v>2.8886584029299254E-4</v>
      </c>
      <c r="Z13" s="7">
        <f>$B13 * IFERROR(VLOOKUP("transport|SO2|Non-fatal heart attacks", US_national_yearly!$D:$AM, 34, FALSE) / VLOOKUP("transport|SO2|Non-fatal heart attacks", US_national_yearly!$D:$AM, 10, FALSE), 1)</f>
        <v>2.9003747363730775E-4</v>
      </c>
      <c r="AA13" s="7">
        <f>$B13 * IFERROR(VLOOKUP("transport|SO2|Non-fatal heart attacks", US_national_yearly!$D:$AM, 35, FALSE) / VLOOKUP("transport|SO2|Non-fatal heart attacks", US_national_yearly!$D:$AM, 10, FALSE), 1)</f>
        <v>2.9120910698162295E-4</v>
      </c>
      <c r="AB13" s="7">
        <f>$B13 * IFERROR(VLOOKUP("transport|SO2|Non-fatal heart attacks", US_national_yearly!$D:$AM, 36, FALSE) / VLOOKUP("transport|SO2|Non-fatal heart attacks", US_national_yearly!$D:$AM, 10, FALSE), 1)</f>
        <v>2.9238074032593816E-4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0.11054488385816205</v>
      </c>
      <c r="C14" s="7">
        <f>$B14 * IFERROR(VLOOKUP("transport|SO2|Minor restricted activity days", US_national_yearly!$D:$AM, 11, FALSE) / VLOOKUP("transport|SO2|Minor restricted activity days", US_national_yearly!$D:$AM, 10, FALSE), 1)</f>
        <v>0.1108235306776619</v>
      </c>
      <c r="D14" s="7">
        <f>$B14 * IFERROR(VLOOKUP("transport|SO2|Minor restricted activity days", US_national_yearly!$D:$AM, 12, FALSE) / VLOOKUP("transport|SO2|Minor restricted activity days", US_national_yearly!$D:$AM, 10, FALSE), 1)</f>
        <v>0.11110217749716171</v>
      </c>
      <c r="E14" s="7">
        <f>$B14 * IFERROR(VLOOKUP("transport|SO2|Minor restricted activity days", US_national_yearly!$D:$AM, 13, FALSE) / VLOOKUP("transport|SO2|Minor restricted activity days", US_national_yearly!$D:$AM, 10, FALSE), 1)</f>
        <v>0.11138082431666156</v>
      </c>
      <c r="F14" s="7">
        <f>$B14 * IFERROR(VLOOKUP("transport|SO2|Minor restricted activity days", US_national_yearly!$D:$AM, 14, FALSE) / VLOOKUP("transport|SO2|Minor restricted activity days", US_national_yearly!$D:$AM, 10, FALSE), 1)</f>
        <v>0.11165947113616138</v>
      </c>
      <c r="G14" s="7">
        <f>$B14 * IFERROR(VLOOKUP("transport|SO2|Minor restricted activity days", US_national_yearly!$D:$AM, 15, FALSE) / VLOOKUP("transport|SO2|Minor restricted activity days", US_national_yearly!$D:$AM, 10, FALSE), 1)</f>
        <v>0.11206961188004873</v>
      </c>
      <c r="H14" s="7">
        <f>$B14 * IFERROR(VLOOKUP("transport|SO2|Minor restricted activity days", US_national_yearly!$D:$AM, 16, FALSE) / VLOOKUP("transport|SO2|Minor restricted activity days", US_national_yearly!$D:$AM, 10, FALSE), 1)</f>
        <v>0.11247975262393609</v>
      </c>
      <c r="I14" s="7">
        <f>$B14 * IFERROR(VLOOKUP("transport|SO2|Minor restricted activity days", US_national_yearly!$D:$AM, 17, FALSE) / VLOOKUP("transport|SO2|Minor restricted activity days", US_national_yearly!$D:$AM, 10, FALSE), 1)</f>
        <v>0.11317920943303952</v>
      </c>
      <c r="J14" s="7">
        <f>$B14 * IFERROR(VLOOKUP("transport|SO2|Minor restricted activity days", US_national_yearly!$D:$AM, 18, FALSE) / VLOOKUP("transport|SO2|Minor restricted activity days", US_national_yearly!$D:$AM, 10, FALSE), 1)</f>
        <v>0.11387866624214296</v>
      </c>
      <c r="K14" s="7">
        <f>$B14 * IFERROR(VLOOKUP("transport|SO2|Minor restricted activity days", US_national_yearly!$D:$AM, 19, FALSE) / VLOOKUP("transport|SO2|Minor restricted activity days", US_national_yearly!$D:$AM, 10, FALSE), 1)</f>
        <v>0.11457812305124641</v>
      </c>
      <c r="L14" s="7">
        <f>$B14 * IFERROR(VLOOKUP("transport|SO2|Minor restricted activity days", US_national_yearly!$D:$AM, 20, FALSE) / VLOOKUP("transport|SO2|Minor restricted activity days", US_national_yearly!$D:$AM, 10, FALSE), 1)</f>
        <v>0.11527757986034985</v>
      </c>
      <c r="M14" s="7">
        <f>$B14 * IFERROR(VLOOKUP("transport|SO2|Minor restricted activity days", US_national_yearly!$D:$AM, 21, FALSE) / VLOOKUP("transport|SO2|Minor restricted activity days", US_national_yearly!$D:$AM, 10, FALSE), 1)</f>
        <v>0.11597703666945329</v>
      </c>
      <c r="N14" s="7">
        <f>$B14 * IFERROR(VLOOKUP("transport|SO2|Minor restricted activity days", US_national_yearly!$D:$AM, 22, FALSE) / VLOOKUP("transport|SO2|Minor restricted activity days", US_national_yearly!$D:$AM, 10, FALSE), 1)</f>
        <v>0.11693378135018177</v>
      </c>
      <c r="O14" s="7">
        <f>$B14 * IFERROR(VLOOKUP("transport|SO2|Minor restricted activity days", US_national_yearly!$D:$AM, 23, FALSE) / VLOOKUP("transport|SO2|Minor restricted activity days", US_national_yearly!$D:$AM, 10, FALSE), 1)</f>
        <v>0.11789052603091026</v>
      </c>
      <c r="P14" s="7">
        <f>$B14 * IFERROR(VLOOKUP("transport|SO2|Minor restricted activity days", US_national_yearly!$D:$AM, 24, FALSE) / VLOOKUP("transport|SO2|Minor restricted activity days", US_national_yearly!$D:$AM, 10, FALSE), 1)</f>
        <v>0.11884727071163874</v>
      </c>
      <c r="Q14" s="7">
        <f>$B14 * IFERROR(VLOOKUP("transport|SO2|Minor restricted activity days", US_national_yearly!$D:$AM, 25, FALSE) / VLOOKUP("transport|SO2|Minor restricted activity days", US_national_yearly!$D:$AM, 10, FALSE), 1)</f>
        <v>0.11980401539236722</v>
      </c>
      <c r="R14" s="7">
        <f>$B14 * IFERROR(VLOOKUP("transport|SO2|Minor restricted activity days", US_national_yearly!$D:$AM, 26, FALSE) / VLOOKUP("transport|SO2|Minor restricted activity days", US_national_yearly!$D:$AM, 10, FALSE), 1)</f>
        <v>0.1207607600730957</v>
      </c>
      <c r="S14" s="7">
        <f>$B14 * IFERROR(VLOOKUP("transport|SO2|Minor restricted activity days", US_national_yearly!$D:$AM, 27, FALSE) / VLOOKUP("transport|SO2|Minor restricted activity days", US_national_yearly!$D:$AM, 10, FALSE), 1)</f>
        <v>0.12173625491545539</v>
      </c>
      <c r="T14" s="7">
        <f>$B14 * IFERROR(VLOOKUP("transport|SO2|Minor restricted activity days", US_national_yearly!$D:$AM, 28, FALSE) / VLOOKUP("transport|SO2|Minor restricted activity days", US_national_yearly!$D:$AM, 10, FALSE), 1)</f>
        <v>0.1227117497578151</v>
      </c>
      <c r="U14" s="7">
        <f>$B14 * IFERROR(VLOOKUP("transport|SO2|Minor restricted activity days", US_national_yearly!$D:$AM, 29, FALSE) / VLOOKUP("transport|SO2|Minor restricted activity days", US_national_yearly!$D:$AM, 10, FALSE), 1)</f>
        <v>0.1236872446001748</v>
      </c>
      <c r="V14" s="7">
        <f>$B14 * IFERROR(VLOOKUP("transport|SO2|Minor restricted activity days", US_national_yearly!$D:$AM, 30, FALSE) / VLOOKUP("transport|SO2|Minor restricted activity days", US_national_yearly!$D:$AM, 10, FALSE), 1)</f>
        <v>0.12466273944253449</v>
      </c>
      <c r="W14" s="7">
        <f>$B14 * IFERROR(VLOOKUP("transport|SO2|Minor restricted activity days", US_national_yearly!$D:$AM, 31, FALSE) / VLOOKUP("transport|SO2|Minor restricted activity days", US_national_yearly!$D:$AM, 10, FALSE), 1)</f>
        <v>0.12563823428489421</v>
      </c>
      <c r="X14" s="7">
        <f>$B14 * IFERROR(VLOOKUP("transport|SO2|Minor restricted activity days", US_national_yearly!$D:$AM, 32, FALSE) / VLOOKUP("transport|SO2|Minor restricted activity days", US_national_yearly!$D:$AM, 10, FALSE), 1)</f>
        <v>0.12649610426272018</v>
      </c>
      <c r="Y14" s="7">
        <f>$B14 * IFERROR(VLOOKUP("transport|SO2|Minor restricted activity days", US_national_yearly!$D:$AM, 33, FALSE) / VLOOKUP("transport|SO2|Minor restricted activity days", US_national_yearly!$D:$AM, 10, FALSE), 1)</f>
        <v>0.12735397424054612</v>
      </c>
      <c r="Z14" s="7">
        <f>$B14 * IFERROR(VLOOKUP("transport|SO2|Minor restricted activity days", US_national_yearly!$D:$AM, 34, FALSE) / VLOOKUP("transport|SO2|Minor restricted activity days", US_national_yearly!$D:$AM, 10, FALSE), 1)</f>
        <v>0.12821184421837209</v>
      </c>
      <c r="AA14" s="7">
        <f>$B14 * IFERROR(VLOOKUP("transport|SO2|Minor restricted activity days", US_national_yearly!$D:$AM, 35, FALSE) / VLOOKUP("transport|SO2|Minor restricted activity days", US_national_yearly!$D:$AM, 10, FALSE), 1)</f>
        <v>0.12906971419619806</v>
      </c>
      <c r="AB14" s="7">
        <f>$B14 * IFERROR(VLOOKUP("transport|SO2|Minor restricted activity days", US_national_yearly!$D:$AM, 36, FALSE) / VLOOKUP("transport|SO2|Minor restricted activity days", US_national_yearly!$D:$AM, 10, FALSE), 1)</f>
        <v>0.12992758417402403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1.8875471247343123E-2</v>
      </c>
      <c r="C15" s="7">
        <f>$B15 * IFERROR(VLOOKUP("transport|SO2|Work loss days", US_national_yearly!$D:$AM, 11, FALSE) / VLOOKUP("transport|SO2|Work loss days", US_national_yearly!$D:$AM, 10, FALSE), 1)</f>
        <v>1.8936624774193722E-2</v>
      </c>
      <c r="D15" s="7">
        <f>$B15 * IFERROR(VLOOKUP("transport|SO2|Work loss days", US_national_yearly!$D:$AM, 12, FALSE) / VLOOKUP("transport|SO2|Work loss days", US_national_yearly!$D:$AM, 10, FALSE), 1)</f>
        <v>1.8997778301044321E-2</v>
      </c>
      <c r="E15" s="7">
        <f>$B15 * IFERROR(VLOOKUP("transport|SO2|Work loss days", US_national_yearly!$D:$AM, 13, FALSE) / VLOOKUP("transport|SO2|Work loss days", US_national_yearly!$D:$AM, 10, FALSE), 1)</f>
        <v>1.9058931827894924E-2</v>
      </c>
      <c r="F15" s="7">
        <f>$B15 * IFERROR(VLOOKUP("transport|SO2|Work loss days", US_national_yearly!$D:$AM, 14, FALSE) / VLOOKUP("transport|SO2|Work loss days", US_national_yearly!$D:$AM, 10, FALSE), 1)</f>
        <v>1.9120085354745523E-2</v>
      </c>
      <c r="G15" s="7">
        <f>$B15 * IFERROR(VLOOKUP("transport|SO2|Work loss days", US_national_yearly!$D:$AM, 15, FALSE) / VLOOKUP("transport|SO2|Work loss days", US_national_yearly!$D:$AM, 10, FALSE), 1)</f>
        <v>1.91999899201881E-2</v>
      </c>
      <c r="H15" s="7">
        <f>$B15 * IFERROR(VLOOKUP("transport|SO2|Work loss days", US_national_yearly!$D:$AM, 16, FALSE) / VLOOKUP("transport|SO2|Work loss days", US_national_yearly!$D:$AM, 10, FALSE), 1)</f>
        <v>1.927989448563067E-2</v>
      </c>
      <c r="I15" s="7">
        <f>$B15 * IFERROR(VLOOKUP("transport|SO2|Work loss days", US_national_yearly!$D:$AM, 17, FALSE) / VLOOKUP("transport|SO2|Work loss days", US_national_yearly!$D:$AM, 10, FALSE), 1)</f>
        <v>1.9396784138459095E-2</v>
      </c>
      <c r="J15" s="7">
        <f>$B15 * IFERROR(VLOOKUP("transport|SO2|Work loss days", US_national_yearly!$D:$AM, 18, FALSE) / VLOOKUP("transport|SO2|Work loss days", US_national_yearly!$D:$AM, 10, FALSE), 1)</f>
        <v>1.951367379128752E-2</v>
      </c>
      <c r="K15" s="7">
        <f>$B15 * IFERROR(VLOOKUP("transport|SO2|Work loss days", US_national_yearly!$D:$AM, 19, FALSE) / VLOOKUP("transport|SO2|Work loss days", US_national_yearly!$D:$AM, 10, FALSE), 1)</f>
        <v>1.9630563444115946E-2</v>
      </c>
      <c r="L15" s="7">
        <f>$B15 * IFERROR(VLOOKUP("transport|SO2|Work loss days", US_national_yearly!$D:$AM, 20, FALSE) / VLOOKUP("transport|SO2|Work loss days", US_national_yearly!$D:$AM, 10, FALSE), 1)</f>
        <v>1.9747453096944371E-2</v>
      </c>
      <c r="M15" s="7">
        <f>$B15 * IFERROR(VLOOKUP("transport|SO2|Work loss days", US_national_yearly!$D:$AM, 21, FALSE) / VLOOKUP("transport|SO2|Work loss days", US_national_yearly!$D:$AM, 10, FALSE), 1)</f>
        <v>1.98643427497728E-2</v>
      </c>
      <c r="N15" s="7">
        <f>$B15 * IFERROR(VLOOKUP("transport|SO2|Work loss days", US_national_yearly!$D:$AM, 22, FALSE) / VLOOKUP("transport|SO2|Work loss days", US_national_yearly!$D:$AM, 10, FALSE), 1)</f>
        <v>2.0010903432383823E-2</v>
      </c>
      <c r="O15" s="7">
        <f>$B15 * IFERROR(VLOOKUP("transport|SO2|Work loss days", US_national_yearly!$D:$AM, 23, FALSE) / VLOOKUP("transport|SO2|Work loss days", US_national_yearly!$D:$AM, 10, FALSE), 1)</f>
        <v>2.015746411499485E-2</v>
      </c>
      <c r="P15" s="7">
        <f>$B15 * IFERROR(VLOOKUP("transport|SO2|Work loss days", US_national_yearly!$D:$AM, 24, FALSE) / VLOOKUP("transport|SO2|Work loss days", US_national_yearly!$D:$AM, 10, FALSE), 1)</f>
        <v>2.0304024797605871E-2</v>
      </c>
      <c r="Q15" s="7">
        <f>$B15 * IFERROR(VLOOKUP("transport|SO2|Work loss days", US_national_yearly!$D:$AM, 25, FALSE) / VLOOKUP("transport|SO2|Work loss days", US_national_yearly!$D:$AM, 10, FALSE), 1)</f>
        <v>2.0450585480216898E-2</v>
      </c>
      <c r="R15" s="7">
        <f>$B15 * IFERROR(VLOOKUP("transport|SO2|Work loss days", US_national_yearly!$D:$AM, 26, FALSE) / VLOOKUP("transport|SO2|Work loss days", US_national_yearly!$D:$AM, 10, FALSE), 1)</f>
        <v>2.0597146162827921E-2</v>
      </c>
      <c r="S15" s="7">
        <f>$B15 * IFERROR(VLOOKUP("transport|SO2|Work loss days", US_national_yearly!$D:$AM, 27, FALSE) / VLOOKUP("transport|SO2|Work loss days", US_national_yearly!$D:$AM, 10, FALSE), 1)</f>
        <v>2.0760927242441343E-2</v>
      </c>
      <c r="T15" s="7">
        <f>$B15 * IFERROR(VLOOKUP("transport|SO2|Work loss days", US_national_yearly!$D:$AM, 28, FALSE) / VLOOKUP("transport|SO2|Work loss days", US_national_yearly!$D:$AM, 10, FALSE), 1)</f>
        <v>2.0924708322054768E-2</v>
      </c>
      <c r="U15" s="7">
        <f>$B15 * IFERROR(VLOOKUP("transport|SO2|Work loss days", US_national_yearly!$D:$AM, 29, FALSE) / VLOOKUP("transport|SO2|Work loss days", US_national_yearly!$D:$AM, 10, FALSE), 1)</f>
        <v>2.108848940166819E-2</v>
      </c>
      <c r="V15" s="7">
        <f>$B15 * IFERROR(VLOOKUP("transport|SO2|Work loss days", US_national_yearly!$D:$AM, 30, FALSE) / VLOOKUP("transport|SO2|Work loss days", US_national_yearly!$D:$AM, 10, FALSE), 1)</f>
        <v>2.1252270481281612E-2</v>
      </c>
      <c r="W15" s="7">
        <f>$B15 * IFERROR(VLOOKUP("transport|SO2|Work loss days", US_national_yearly!$D:$AM, 31, FALSE) / VLOOKUP("transport|SO2|Work loss days", US_national_yearly!$D:$AM, 10, FALSE), 1)</f>
        <v>2.1416051560895037E-2</v>
      </c>
      <c r="X15" s="7">
        <f>$B15 * IFERROR(VLOOKUP("transport|SO2|Work loss days", US_national_yearly!$D:$AM, 32, FALSE) / VLOOKUP("transport|SO2|Work loss days", US_national_yearly!$D:$AM, 10, FALSE), 1)</f>
        <v>2.1563104395358215E-2</v>
      </c>
      <c r="Y15" s="7">
        <f>$B15 * IFERROR(VLOOKUP("transport|SO2|Work loss days", US_national_yearly!$D:$AM, 33, FALSE) / VLOOKUP("transport|SO2|Work loss days", US_national_yearly!$D:$AM, 10, FALSE), 1)</f>
        <v>2.1710157229821395E-2</v>
      </c>
      <c r="Z15" s="7">
        <f>$B15 * IFERROR(VLOOKUP("transport|SO2|Work loss days", US_national_yearly!$D:$AM, 34, FALSE) / VLOOKUP("transport|SO2|Work loss days", US_national_yearly!$D:$AM, 10, FALSE), 1)</f>
        <v>2.1857210064284576E-2</v>
      </c>
      <c r="AA15" s="7">
        <f>$B15 * IFERROR(VLOOKUP("transport|SO2|Work loss days", US_national_yearly!$D:$AM, 35, FALSE) / VLOOKUP("transport|SO2|Work loss days", US_national_yearly!$D:$AM, 10, FALSE), 1)</f>
        <v>2.2004262898747753E-2</v>
      </c>
      <c r="AB15" s="7">
        <f>$B15 * IFERROR(VLOOKUP("transport|SO2|Work loss days", US_national_yearly!$D:$AM, 36, FALSE) / VLOOKUP("transport|SO2|Work loss days", US_national_yearly!$D:$AM, 10, FALSE), 1)</f>
        <v>2.2151315733210934E-2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3.0633927203355242E-5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3.1560414472212474E-5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3.2486901741069713E-5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3.3413389009926946E-5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3.4339876278784192E-5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3.5227362987179885E-5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3.6114849695575585E-5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3.6875252613151441E-5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3.7635655530727297E-5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3.8396058448303153E-5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3.9156461365879009E-5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3.9916864283454858E-5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4.0427681832058971E-5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4.0938499380663069E-5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4.1449316929267175E-5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4.1960134477871274E-5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4.2470952026475379E-5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4.2739605686797712E-5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4.3008259347120039E-5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4.3276913007442365E-5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4.3545566667764691E-5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4.3814220328087017E-5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4.3994576411272892E-5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4.417493249445876E-5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4.4355288577644628E-5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4.4535644660830502E-5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4.471600074401637E-5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6.3873413198465071E-4</v>
      </c>
      <c r="C2" s="7">
        <f>$B2 * IFERROR(VLOOKUP("electricity|PM25|Premature mortality", US_national_yearly!$D:$AM, 11, FALSE) / VLOOKUP("electricity|PM25|Premature mortality", US_national_yearly!$D:$AM, 10, FALSE), 1)</f>
        <v>6.4664564479464514E-4</v>
      </c>
      <c r="D2" s="7">
        <f>$B2 * IFERROR(VLOOKUP("electricity|PM25|Premature mortality", US_national_yearly!$D:$AM, 12, FALSE) / VLOOKUP("electricity|PM25|Premature mortality", US_national_yearly!$D:$AM, 10, FALSE), 1)</f>
        <v>6.5455715760463946E-4</v>
      </c>
      <c r="E2" s="7">
        <f>$B2 * IFERROR(VLOOKUP("electricity|PM25|Premature mortality", US_national_yearly!$D:$AM, 13, FALSE) / VLOOKUP("electricity|PM25|Premature mortality", US_national_yearly!$D:$AM, 10, FALSE), 1)</f>
        <v>6.624686704146339E-4</v>
      </c>
      <c r="F2" s="7">
        <f>$B2 * IFERROR(VLOOKUP("electricity|PM25|Premature mortality", US_national_yearly!$D:$AM, 14, FALSE) / VLOOKUP("electricity|PM25|Premature mortality", US_national_yearly!$D:$AM, 10, FALSE), 1)</f>
        <v>6.7038018322462844E-4</v>
      </c>
      <c r="G2" s="7">
        <f>$B2 * IFERROR(VLOOKUP("electricity|PM25|Premature mortality", US_national_yearly!$D:$AM, 15, FALSE) / VLOOKUP("electricity|PM25|Premature mortality", US_national_yearly!$D:$AM, 10, FALSE), 1)</f>
        <v>6.8591881513096076E-4</v>
      </c>
      <c r="H2" s="7">
        <f>$B2 * IFERROR(VLOOKUP("electricity|PM25|Premature mortality", US_national_yearly!$D:$AM, 16, FALSE) / VLOOKUP("electricity|PM25|Premature mortality", US_national_yearly!$D:$AM, 10, FALSE), 1)</f>
        <v>7.0145744703729331E-4</v>
      </c>
      <c r="I2" s="7">
        <f>$B2 * IFERROR(VLOOKUP("electricity|PM25|Premature mortality", US_national_yearly!$D:$AM, 17, FALSE) / VLOOKUP("electricity|PM25|Premature mortality", US_national_yearly!$D:$AM, 10, FALSE), 1)</f>
        <v>7.1189798580608972E-4</v>
      </c>
      <c r="J2" s="7">
        <f>$B2 * IFERROR(VLOOKUP("electricity|PM25|Premature mortality", US_national_yearly!$D:$AM, 18, FALSE) / VLOOKUP("electricity|PM25|Premature mortality", US_national_yearly!$D:$AM, 10, FALSE), 1)</f>
        <v>7.2233852457488624E-4</v>
      </c>
      <c r="K2" s="7">
        <f>$B2 * IFERROR(VLOOKUP("electricity|PM25|Premature mortality", US_national_yearly!$D:$AM, 19, FALSE) / VLOOKUP("electricity|PM25|Premature mortality", US_national_yearly!$D:$AM, 10, FALSE), 1)</f>
        <v>7.3277906334368265E-4</v>
      </c>
      <c r="L2" s="7">
        <f>$B2 * IFERROR(VLOOKUP("electricity|PM25|Premature mortality", US_national_yearly!$D:$AM, 20, FALSE) / VLOOKUP("electricity|PM25|Premature mortality", US_national_yearly!$D:$AM, 10, FALSE), 1)</f>
        <v>7.4321960211247927E-4</v>
      </c>
      <c r="M2" s="7">
        <f>$B2 * IFERROR(VLOOKUP("electricity|PM25|Premature mortality", US_national_yearly!$D:$AM, 21, FALSE) / VLOOKUP("electricity|PM25|Premature mortality", US_national_yearly!$D:$AM, 10, FALSE), 1)</f>
        <v>7.5366014088127568E-4</v>
      </c>
      <c r="N2" s="7">
        <f>$B2 * IFERROR(VLOOKUP("electricity|PM25|Premature mortality", US_national_yearly!$D:$AM, 22, FALSE) / VLOOKUP("electricity|PM25|Premature mortality", US_national_yearly!$D:$AM, 10, FALSE), 1)</f>
        <v>7.6198243232127082E-4</v>
      </c>
      <c r="O2" s="7">
        <f>$B2 * IFERROR(VLOOKUP("electricity|PM25|Premature mortality", US_national_yearly!$D:$AM, 23, FALSE) / VLOOKUP("electricity|PM25|Premature mortality", US_national_yearly!$D:$AM, 10, FALSE), 1)</f>
        <v>7.7030472376126574E-4</v>
      </c>
      <c r="P2" s="7">
        <f>$B2 * IFERROR(VLOOKUP("electricity|PM25|Premature mortality", US_national_yearly!$D:$AM, 24, FALSE) / VLOOKUP("electricity|PM25|Premature mortality", US_national_yearly!$D:$AM, 10, FALSE), 1)</f>
        <v>7.7862701520126087E-4</v>
      </c>
      <c r="Q2" s="7">
        <f>$B2 * IFERROR(VLOOKUP("electricity|PM25|Premature mortality", US_national_yearly!$D:$AM, 25, FALSE) / VLOOKUP("electricity|PM25|Premature mortality", US_national_yearly!$D:$AM, 10, FALSE), 1)</f>
        <v>7.869493066412559E-4</v>
      </c>
      <c r="R2" s="7">
        <f>$B2 * IFERROR(VLOOKUP("electricity|PM25|Premature mortality", US_national_yearly!$D:$AM, 26, FALSE) / VLOOKUP("electricity|PM25|Premature mortality", US_national_yearly!$D:$AM, 10, FALSE), 1)</f>
        <v>7.9527159808125093E-4</v>
      </c>
      <c r="S2" s="7">
        <f>$B2 * IFERROR(VLOOKUP("electricity|PM25|Premature mortality", US_national_yearly!$D:$AM, 27, FALSE) / VLOOKUP("electricity|PM25|Premature mortality", US_national_yearly!$D:$AM, 10, FALSE), 1)</f>
        <v>8.0003365784860232E-4</v>
      </c>
      <c r="T2" s="7">
        <f>$B2 * IFERROR(VLOOKUP("electricity|PM25|Premature mortality", US_national_yearly!$D:$AM, 28, FALSE) / VLOOKUP("electricity|PM25|Premature mortality", US_national_yearly!$D:$AM, 10, FALSE), 1)</f>
        <v>8.0479571761595361E-4</v>
      </c>
      <c r="U2" s="7">
        <f>$B2 * IFERROR(VLOOKUP("electricity|PM25|Premature mortality", US_national_yearly!$D:$AM, 29, FALSE) / VLOOKUP("electricity|PM25|Premature mortality", US_national_yearly!$D:$AM, 10, FALSE), 1)</f>
        <v>8.0955777738330511E-4</v>
      </c>
      <c r="V2" s="7">
        <f>$B2 * IFERROR(VLOOKUP("electricity|PM25|Premature mortality", US_national_yearly!$D:$AM, 30, FALSE) / VLOOKUP("electricity|PM25|Premature mortality", US_national_yearly!$D:$AM, 10, FALSE), 1)</f>
        <v>8.1431983715065629E-4</v>
      </c>
      <c r="W2" s="7">
        <f>$B2 * IFERROR(VLOOKUP("electricity|PM25|Premature mortality", US_national_yearly!$D:$AM, 31, FALSE) / VLOOKUP("electricity|PM25|Premature mortality", US_national_yearly!$D:$AM, 10, FALSE), 1)</f>
        <v>8.1908189691800768E-4</v>
      </c>
      <c r="X2" s="7">
        <f>$B2 * IFERROR(VLOOKUP("electricity|PM25|Premature mortality", US_national_yearly!$D:$AM, 32, FALSE) / VLOOKUP("electricity|PM25|Premature mortality", US_national_yearly!$D:$AM, 10, FALSE), 1)</f>
        <v>8.2040476633183875E-4</v>
      </c>
      <c r="Y2" s="7">
        <f>$B2 * IFERROR(VLOOKUP("electricity|PM25|Premature mortality", US_national_yearly!$D:$AM, 33, FALSE) / VLOOKUP("electricity|PM25|Premature mortality", US_national_yearly!$D:$AM, 10, FALSE), 1)</f>
        <v>8.2172763574566994E-4</v>
      </c>
      <c r="Z2" s="7">
        <f>$B2 * IFERROR(VLOOKUP("electricity|PM25|Premature mortality", US_national_yearly!$D:$AM, 34, FALSE) / VLOOKUP("electricity|PM25|Premature mortality", US_national_yearly!$D:$AM, 10, FALSE), 1)</f>
        <v>8.2305050515950112E-4</v>
      </c>
      <c r="AA2" s="7">
        <f>$B2 * IFERROR(VLOOKUP("electricity|PM25|Premature mortality", US_national_yearly!$D:$AM, 35, FALSE) / VLOOKUP("electricity|PM25|Premature mortality", US_national_yearly!$D:$AM, 10, FALSE), 1)</f>
        <v>8.2437337457333241E-4</v>
      </c>
      <c r="AB2" s="7">
        <f>$B2 * IFERROR(VLOOKUP("electricity|PM25|Premature mortality", US_national_yearly!$D:$AM, 36, FALSE) / VLOOKUP("electricity|PM25|Premature mortality", US_national_yearly!$D:$AM, 10, FALSE), 1)</f>
        <v>8.2569624398716359E-4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1.8176837110086589E-6</v>
      </c>
      <c r="C3" s="7">
        <f>$B3 * IFERROR(VLOOKUP("electricity|PM25|Infant mortality", US_national_yearly!$D:$AM, 11, FALSE) / VLOOKUP("electricity|PM25|Infant mortality", US_national_yearly!$D:$AM, 10, FALSE), 1)</f>
        <v>1.8018462374131877E-6</v>
      </c>
      <c r="D3" s="7">
        <f>$B3 * IFERROR(VLOOKUP("electricity|PM25|Infant mortality", US_national_yearly!$D:$AM, 12, FALSE) / VLOOKUP("electricity|PM25|Infant mortality", US_national_yearly!$D:$AM, 10, FALSE), 1)</f>
        <v>1.7860087638177172E-6</v>
      </c>
      <c r="E3" s="7">
        <f>$B3 * IFERROR(VLOOKUP("electricity|PM25|Infant mortality", US_national_yearly!$D:$AM, 13, FALSE) / VLOOKUP("electricity|PM25|Infant mortality", US_national_yearly!$D:$AM, 10, FALSE), 1)</f>
        <v>1.770171290222246E-6</v>
      </c>
      <c r="F3" s="7">
        <f>$B3 * IFERROR(VLOOKUP("electricity|PM25|Infant mortality", US_national_yearly!$D:$AM, 14, FALSE) / VLOOKUP("electricity|PM25|Infant mortality", US_national_yearly!$D:$AM, 10, FALSE), 1)</f>
        <v>1.7543338166267749E-6</v>
      </c>
      <c r="G3" s="7">
        <f>$B3 * IFERROR(VLOOKUP("electricity|PM25|Infant mortality", US_national_yearly!$D:$AM, 15, FALSE) / VLOOKUP("electricity|PM25|Infant mortality", US_national_yearly!$D:$AM, 10, FALSE), 1)</f>
        <v>1.1634195073812293E-6</v>
      </c>
      <c r="H3" s="7">
        <f>$B3 * IFERROR(VLOOKUP("electricity|PM25|Infant mortality", US_national_yearly!$D:$AM, 16, FALSE) / VLOOKUP("electricity|PM25|Infant mortality", US_national_yearly!$D:$AM, 10, FALSE), 1)</f>
        <v>5.7250519813568349E-7</v>
      </c>
      <c r="I3" s="7">
        <f>$B3 * IFERROR(VLOOKUP("electricity|PM25|Infant mortality", US_national_yearly!$D:$AM, 17, FALSE) / VLOOKUP("electricity|PM25|Infant mortality", US_national_yearly!$D:$AM, 10, FALSE), 1)</f>
        <v>5.6846304910103128E-7</v>
      </c>
      <c r="J3" s="7">
        <f>$B3 * IFERROR(VLOOKUP("electricity|PM25|Infant mortality", US_national_yearly!$D:$AM, 18, FALSE) / VLOOKUP("electricity|PM25|Infant mortality", US_national_yearly!$D:$AM, 10, FALSE), 1)</f>
        <v>5.6442090006637917E-7</v>
      </c>
      <c r="K3" s="7">
        <f>$B3 * IFERROR(VLOOKUP("electricity|PM25|Infant mortality", US_national_yearly!$D:$AM, 19, FALSE) / VLOOKUP("electricity|PM25|Infant mortality", US_national_yearly!$D:$AM, 10, FALSE), 1)</f>
        <v>5.6037875103172696E-7</v>
      </c>
      <c r="L3" s="7">
        <f>$B3 * IFERROR(VLOOKUP("electricity|PM25|Infant mortality", US_national_yearly!$D:$AM, 20, FALSE) / VLOOKUP("electricity|PM25|Infant mortality", US_national_yearly!$D:$AM, 10, FALSE), 1)</f>
        <v>5.5633660199707485E-7</v>
      </c>
      <c r="M3" s="7">
        <f>$B3 * IFERROR(VLOOKUP("electricity|PM25|Infant mortality", US_national_yearly!$D:$AM, 21, FALSE) / VLOOKUP("electricity|PM25|Infant mortality", US_national_yearly!$D:$AM, 10, FALSE), 1)</f>
        <v>5.5229445296242274E-7</v>
      </c>
      <c r="N3" s="7">
        <f>$B3 * IFERROR(VLOOKUP("electricity|PM25|Infant mortality", US_national_yearly!$D:$AM, 22, FALSE) / VLOOKUP("electricity|PM25|Infant mortality", US_national_yearly!$D:$AM, 10, FALSE), 1)</f>
        <v>5.496948144663353E-7</v>
      </c>
      <c r="O3" s="7">
        <f>$B3 * IFERROR(VLOOKUP("electricity|PM25|Infant mortality", US_national_yearly!$D:$AM, 23, FALSE) / VLOOKUP("electricity|PM25|Infant mortality", US_national_yearly!$D:$AM, 10, FALSE), 1)</f>
        <v>5.4709517597024785E-7</v>
      </c>
      <c r="P3" s="7">
        <f>$B3 * IFERROR(VLOOKUP("electricity|PM25|Infant mortality", US_national_yearly!$D:$AM, 24, FALSE) / VLOOKUP("electricity|PM25|Infant mortality", US_national_yearly!$D:$AM, 10, FALSE), 1)</f>
        <v>5.444955374741603E-7</v>
      </c>
      <c r="Q3" s="7">
        <f>$B3 * IFERROR(VLOOKUP("electricity|PM25|Infant mortality", US_national_yearly!$D:$AM, 25, FALSE) / VLOOKUP("electricity|PM25|Infant mortality", US_national_yearly!$D:$AM, 10, FALSE), 1)</f>
        <v>5.4189589897807286E-7</v>
      </c>
      <c r="R3" s="7">
        <f>$B3 * IFERROR(VLOOKUP("electricity|PM25|Infant mortality", US_national_yearly!$D:$AM, 26, FALSE) / VLOOKUP("electricity|PM25|Infant mortality", US_national_yearly!$D:$AM, 10, FALSE), 1)</f>
        <v>5.3929626048198531E-7</v>
      </c>
      <c r="S3" s="7">
        <f>$B3 * IFERROR(VLOOKUP("electricity|PM25|Infant mortality", US_national_yearly!$D:$AM, 27, FALSE) / VLOOKUP("electricity|PM25|Infant mortality", US_national_yearly!$D:$AM, 10, FALSE), 1)</f>
        <v>5.3618183547080623E-7</v>
      </c>
      <c r="T3" s="7">
        <f>$B3 * IFERROR(VLOOKUP("electricity|PM25|Infant mortality", US_national_yearly!$D:$AM, 28, FALSE) / VLOOKUP("electricity|PM25|Infant mortality", US_national_yearly!$D:$AM, 10, FALSE), 1)</f>
        <v>5.3306741045962726E-7</v>
      </c>
      <c r="U3" s="7">
        <f>$B3 * IFERROR(VLOOKUP("electricity|PM25|Infant mortality", US_national_yearly!$D:$AM, 29, FALSE) / VLOOKUP("electricity|PM25|Infant mortality", US_national_yearly!$D:$AM, 10, FALSE), 1)</f>
        <v>5.2995298544844839E-7</v>
      </c>
      <c r="V3" s="7">
        <f>$B3 * IFERROR(VLOOKUP("electricity|PM25|Infant mortality", US_national_yearly!$D:$AM, 30, FALSE) / VLOOKUP("electricity|PM25|Infant mortality", US_national_yearly!$D:$AM, 10, FALSE), 1)</f>
        <v>5.2683856043726942E-7</v>
      </c>
      <c r="W3" s="7">
        <f>$B3 * IFERROR(VLOOKUP("electricity|PM25|Infant mortality", US_national_yearly!$D:$AM, 31, FALSE) / VLOOKUP("electricity|PM25|Infant mortality", US_national_yearly!$D:$AM, 10, FALSE), 1)</f>
        <v>5.2372413542609034E-7</v>
      </c>
      <c r="X3" s="7">
        <f>$B3 * IFERROR(VLOOKUP("electricity|PM25|Infant mortality", US_national_yearly!$D:$AM, 32, FALSE) / VLOOKUP("electricity|PM25|Infant mortality", US_national_yearly!$D:$AM, 10, FALSE), 1)</f>
        <v>5.2050576603077344E-7</v>
      </c>
      <c r="Y3" s="7">
        <f>$B3 * IFERROR(VLOOKUP("electricity|PM25|Infant mortality", US_national_yearly!$D:$AM, 33, FALSE) / VLOOKUP("electricity|PM25|Infant mortality", US_national_yearly!$D:$AM, 10, FALSE), 1)</f>
        <v>5.1728739663545653E-7</v>
      </c>
      <c r="Z3" s="7">
        <f>$B3 * IFERROR(VLOOKUP("electricity|PM25|Infant mortality", US_national_yearly!$D:$AM, 34, FALSE) / VLOOKUP("electricity|PM25|Infant mortality", US_national_yearly!$D:$AM, 10, FALSE), 1)</f>
        <v>5.1406902724013963E-7</v>
      </c>
      <c r="AA3" s="7">
        <f>$B3 * IFERROR(VLOOKUP("electricity|PM25|Infant mortality", US_national_yearly!$D:$AM, 35, FALSE) / VLOOKUP("electricity|PM25|Infant mortality", US_national_yearly!$D:$AM, 10, FALSE), 1)</f>
        <v>5.1085065784482272E-7</v>
      </c>
      <c r="AB3" s="7">
        <f>$B3 * IFERROR(VLOOKUP("electricity|PM25|Infant mortality", US_national_yearly!$D:$AM, 36, FALSE) / VLOOKUP("electricity|PM25|Infant mortality", US_national_yearly!$D:$AM, 10, FALSE), 1)</f>
        <v>5.0763228844950581E-7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1.6476249031458869E-3</v>
      </c>
      <c r="C6" s="7">
        <f>$B6 * IFERROR(VLOOKUP("electricity|PM25|Asthma symptoms cough", US_national_yearly!$D:$AM, 11, FALSE) / VLOOKUP("electricity|PM25|Asthma symptoms cough", US_national_yearly!$D:$AM, 10, FALSE), 1)</f>
        <v>1.6476249031458869E-3</v>
      </c>
      <c r="D6" s="7">
        <f>$B6 * IFERROR(VLOOKUP("electricity|PM25|Asthma symptoms cough", US_national_yearly!$D:$AM, 12, FALSE) / VLOOKUP("electricity|PM25|Asthma symptoms cough", US_national_yearly!$D:$AM, 10, FALSE), 1)</f>
        <v>1.6476249031458869E-3</v>
      </c>
      <c r="E6" s="7">
        <f>$B6 * IFERROR(VLOOKUP("electricity|PM25|Asthma symptoms cough", US_national_yearly!$D:$AM, 13, FALSE) / VLOOKUP("electricity|PM25|Asthma symptoms cough", US_national_yearly!$D:$AM, 10, FALSE), 1)</f>
        <v>1.6476249031458869E-3</v>
      </c>
      <c r="F6" s="7">
        <f>$B6 * IFERROR(VLOOKUP("electricity|PM25|Asthma symptoms cough", US_national_yearly!$D:$AM, 14, FALSE) / VLOOKUP("electricity|PM25|Asthma symptoms cough", US_national_yearly!$D:$AM, 10, FALSE), 1)</f>
        <v>1.6476249031458869E-3</v>
      </c>
      <c r="G6" s="7">
        <f>$B6 * IFERROR(VLOOKUP("electricity|PM25|Asthma symptoms cough", US_national_yearly!$D:$AM, 15, FALSE) / VLOOKUP("electricity|PM25|Asthma symptoms cough", US_national_yearly!$D:$AM, 10, FALSE), 1)</f>
        <v>1.6476249031458869E-3</v>
      </c>
      <c r="H6" s="7">
        <f>$B6 * IFERROR(VLOOKUP("electricity|PM25|Asthma symptoms cough", US_national_yearly!$D:$AM, 16, FALSE) / VLOOKUP("electricity|PM25|Asthma symptoms cough", US_national_yearly!$D:$AM, 10, FALSE), 1)</f>
        <v>1.6476249031458869E-3</v>
      </c>
      <c r="I6" s="7">
        <f>$B6 * IFERROR(VLOOKUP("electricity|PM25|Asthma symptoms cough", US_national_yearly!$D:$AM, 17, FALSE) / VLOOKUP("electricity|PM25|Asthma symptoms cough", US_national_yearly!$D:$AM, 10, FALSE), 1)</f>
        <v>1.6476249031458869E-3</v>
      </c>
      <c r="J6" s="7">
        <f>$B6 * IFERROR(VLOOKUP("electricity|PM25|Asthma symptoms cough", US_national_yearly!$D:$AM, 18, FALSE) / VLOOKUP("electricity|PM25|Asthma symptoms cough", US_national_yearly!$D:$AM, 10, FALSE), 1)</f>
        <v>1.6476249031458869E-3</v>
      </c>
      <c r="K6" s="7">
        <f>$B6 * IFERROR(VLOOKUP("electricity|PM25|Asthma symptoms cough", US_national_yearly!$D:$AM, 19, FALSE) / VLOOKUP("electricity|PM25|Asthma symptoms cough", US_national_yearly!$D:$AM, 10, FALSE), 1)</f>
        <v>1.6476249031458869E-3</v>
      </c>
      <c r="L6" s="7">
        <f>$B6 * IFERROR(VLOOKUP("electricity|PM25|Asthma symptoms cough", US_national_yearly!$D:$AM, 20, FALSE) / VLOOKUP("electricity|PM25|Asthma symptoms cough", US_national_yearly!$D:$AM, 10, FALSE), 1)</f>
        <v>1.6476249031458869E-3</v>
      </c>
      <c r="M6" s="7">
        <f>$B6 * IFERROR(VLOOKUP("electricity|PM25|Asthma symptoms cough", US_national_yearly!$D:$AM, 21, FALSE) / VLOOKUP("electricity|PM25|Asthma symptoms cough", US_national_yearly!$D:$AM, 10, FALSE), 1)</f>
        <v>1.6476249031458869E-3</v>
      </c>
      <c r="N6" s="7">
        <f>$B6 * IFERROR(VLOOKUP("electricity|PM25|Asthma symptoms cough", US_national_yearly!$D:$AM, 22, FALSE) / VLOOKUP("electricity|PM25|Asthma symptoms cough", US_national_yearly!$D:$AM, 10, FALSE), 1)</f>
        <v>1.6476249031458869E-3</v>
      </c>
      <c r="O6" s="7">
        <f>$B6 * IFERROR(VLOOKUP("electricity|PM25|Asthma symptoms cough", US_national_yearly!$D:$AM, 23, FALSE) / VLOOKUP("electricity|PM25|Asthma symptoms cough", US_national_yearly!$D:$AM, 10, FALSE), 1)</f>
        <v>1.6476249031458869E-3</v>
      </c>
      <c r="P6" s="7">
        <f>$B6 * IFERROR(VLOOKUP("electricity|PM25|Asthma symptoms cough", US_national_yearly!$D:$AM, 24, FALSE) / VLOOKUP("electricity|PM25|Asthma symptoms cough", US_national_yearly!$D:$AM, 10, FALSE), 1)</f>
        <v>1.6476249031458869E-3</v>
      </c>
      <c r="Q6" s="7">
        <f>$B6 * IFERROR(VLOOKUP("electricity|PM25|Asthma symptoms cough", US_national_yearly!$D:$AM, 25, FALSE) / VLOOKUP("electricity|PM25|Asthma symptoms cough", US_national_yearly!$D:$AM, 10, FALSE), 1)</f>
        <v>1.6476249031458869E-3</v>
      </c>
      <c r="R6" s="7">
        <f>$B6 * IFERROR(VLOOKUP("electricity|PM25|Asthma symptoms cough", US_national_yearly!$D:$AM, 26, FALSE) / VLOOKUP("electricity|PM25|Asthma symptoms cough", US_national_yearly!$D:$AM, 10, FALSE), 1)</f>
        <v>1.6476249031458869E-3</v>
      </c>
      <c r="S6" s="7">
        <f>$B6 * IFERROR(VLOOKUP("electricity|PM25|Asthma symptoms cough", US_national_yearly!$D:$AM, 27, FALSE) / VLOOKUP("electricity|PM25|Asthma symptoms cough", US_national_yearly!$D:$AM, 10, FALSE), 1)</f>
        <v>1.6476249031458869E-3</v>
      </c>
      <c r="T6" s="7">
        <f>$B6 * IFERROR(VLOOKUP("electricity|PM25|Asthma symptoms cough", US_national_yearly!$D:$AM, 28, FALSE) / VLOOKUP("electricity|PM25|Asthma symptoms cough", US_national_yearly!$D:$AM, 10, FALSE), 1)</f>
        <v>1.6476249031458869E-3</v>
      </c>
      <c r="U6" s="7">
        <f>$B6 * IFERROR(VLOOKUP("electricity|PM25|Asthma symptoms cough", US_national_yearly!$D:$AM, 29, FALSE) / VLOOKUP("electricity|PM25|Asthma symptoms cough", US_national_yearly!$D:$AM, 10, FALSE), 1)</f>
        <v>1.6476249031458869E-3</v>
      </c>
      <c r="V6" s="7">
        <f>$B6 * IFERROR(VLOOKUP("electricity|PM25|Asthma symptoms cough", US_national_yearly!$D:$AM, 30, FALSE) / VLOOKUP("electricity|PM25|Asthma symptoms cough", US_national_yearly!$D:$AM, 10, FALSE), 1)</f>
        <v>1.6476249031458869E-3</v>
      </c>
      <c r="W6" s="7">
        <f>$B6 * IFERROR(VLOOKUP("electricity|PM25|Asthma symptoms cough", US_national_yearly!$D:$AM, 31, FALSE) / VLOOKUP("electricity|PM25|Asthma symptoms cough", US_national_yearly!$D:$AM, 10, FALSE), 1)</f>
        <v>1.6476249031458869E-3</v>
      </c>
      <c r="X6" s="7">
        <f>$B6 * IFERROR(VLOOKUP("electricity|PM25|Asthma symptoms cough", US_national_yearly!$D:$AM, 32, FALSE) / VLOOKUP("electricity|PM25|Asthma symptoms cough", US_national_yearly!$D:$AM, 10, FALSE), 1)</f>
        <v>1.6476249031458869E-3</v>
      </c>
      <c r="Y6" s="7">
        <f>$B6 * IFERROR(VLOOKUP("electricity|PM25|Asthma symptoms cough", US_national_yearly!$D:$AM, 33, FALSE) / VLOOKUP("electricity|PM25|Asthma symptoms cough", US_national_yearly!$D:$AM, 10, FALSE), 1)</f>
        <v>1.6476249031458869E-3</v>
      </c>
      <c r="Z6" s="7">
        <f>$B6 * IFERROR(VLOOKUP("electricity|PM25|Asthma symptoms cough", US_national_yearly!$D:$AM, 34, FALSE) / VLOOKUP("electricity|PM25|Asthma symptoms cough", US_national_yearly!$D:$AM, 10, FALSE), 1)</f>
        <v>1.6476249031458869E-3</v>
      </c>
      <c r="AA6" s="7">
        <f>$B6 * IFERROR(VLOOKUP("electricity|PM25|Asthma symptoms cough", US_national_yearly!$D:$AM, 35, FALSE) / VLOOKUP("electricity|PM25|Asthma symptoms cough", US_national_yearly!$D:$AM, 10, FALSE), 1)</f>
        <v>1.6476249031458869E-3</v>
      </c>
      <c r="AB6" s="7">
        <f>$B6 * IFERROR(VLOOKUP("electricity|PM25|Asthma symptoms cough", US_national_yearly!$D:$AM, 36, FALSE) / VLOOKUP("electricity|PM25|Asthma symptoms cough", US_national_yearly!$D:$AM, 10, FALSE), 1)</f>
        <v>1.6476249031458869E-3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2.2187559027375551E-3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2.2187559027375551E-3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2.2187559027375551E-3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2.2187559027375551E-3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2.2187559027375551E-3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2.2187559027375551E-3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2.2187559027375551E-3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2.2187559027375551E-3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2.2187559027375551E-3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2.2187559027375551E-3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2.2187559027375551E-3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2.2187559027375551E-3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2.2187559027375551E-3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2.2187559027375551E-3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2.2187559027375551E-3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2.2187559027375551E-3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2.2187559027375551E-3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2.2187559027375551E-3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2.2187559027375551E-3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2.2187559027375551E-3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2.2187559027375551E-3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2.2187559027375551E-3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2.2187559027375551E-3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2.2187559027375551E-3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2.2187559027375551E-3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2.2187559027375551E-3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2.2187559027375551E-3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3.3899190352946642E-3</v>
      </c>
      <c r="C8" s="7">
        <f>$B8 * IFERROR(VLOOKUP("electricity|PM25|Asthma symptoms wheeze", US_national_yearly!$D:$AM, 11, FALSE) / VLOOKUP("electricity|PM25|Asthma symptoms wheeze", US_national_yearly!$D:$AM, 10, FALSE), 1)</f>
        <v>3.3899190352946642E-3</v>
      </c>
      <c r="D8" s="7">
        <f>$B8 * IFERROR(VLOOKUP("electricity|PM25|Asthma symptoms wheeze", US_national_yearly!$D:$AM, 12, FALSE) / VLOOKUP("electricity|PM25|Asthma symptoms wheeze", US_national_yearly!$D:$AM, 10, FALSE), 1)</f>
        <v>3.3899190352946642E-3</v>
      </c>
      <c r="E8" s="7">
        <f>$B8 * IFERROR(VLOOKUP("electricity|PM25|Asthma symptoms wheeze", US_national_yearly!$D:$AM, 13, FALSE) / VLOOKUP("electricity|PM25|Asthma symptoms wheeze", US_national_yearly!$D:$AM, 10, FALSE), 1)</f>
        <v>3.3899190352946642E-3</v>
      </c>
      <c r="F8" s="7">
        <f>$B8 * IFERROR(VLOOKUP("electricity|PM25|Asthma symptoms wheeze", US_national_yearly!$D:$AM, 14, FALSE) / VLOOKUP("electricity|PM25|Asthma symptoms wheeze", US_national_yearly!$D:$AM, 10, FALSE), 1)</f>
        <v>3.3899190352946642E-3</v>
      </c>
      <c r="G8" s="7">
        <f>$B8 * IFERROR(VLOOKUP("electricity|PM25|Asthma symptoms wheeze", US_national_yearly!$D:$AM, 15, FALSE) / VLOOKUP("electricity|PM25|Asthma symptoms wheeze", US_national_yearly!$D:$AM, 10, FALSE), 1)</f>
        <v>3.3899190352946642E-3</v>
      </c>
      <c r="H8" s="7">
        <f>$B8 * IFERROR(VLOOKUP("electricity|PM25|Asthma symptoms wheeze", US_national_yearly!$D:$AM, 16, FALSE) / VLOOKUP("electricity|PM25|Asthma symptoms wheeze", US_national_yearly!$D:$AM, 10, FALSE), 1)</f>
        <v>3.3899190352946642E-3</v>
      </c>
      <c r="I8" s="7">
        <f>$B8 * IFERROR(VLOOKUP("electricity|PM25|Asthma symptoms wheeze", US_national_yearly!$D:$AM, 17, FALSE) / VLOOKUP("electricity|PM25|Asthma symptoms wheeze", US_national_yearly!$D:$AM, 10, FALSE), 1)</f>
        <v>3.3899190352946642E-3</v>
      </c>
      <c r="J8" s="7">
        <f>$B8 * IFERROR(VLOOKUP("electricity|PM25|Asthma symptoms wheeze", US_national_yearly!$D:$AM, 18, FALSE) / VLOOKUP("electricity|PM25|Asthma symptoms wheeze", US_national_yearly!$D:$AM, 10, FALSE), 1)</f>
        <v>3.3899190352946642E-3</v>
      </c>
      <c r="K8" s="7">
        <f>$B8 * IFERROR(VLOOKUP("electricity|PM25|Asthma symptoms wheeze", US_national_yearly!$D:$AM, 19, FALSE) / VLOOKUP("electricity|PM25|Asthma symptoms wheeze", US_national_yearly!$D:$AM, 10, FALSE), 1)</f>
        <v>3.3899190352946642E-3</v>
      </c>
      <c r="L8" s="7">
        <f>$B8 * IFERROR(VLOOKUP("electricity|PM25|Asthma symptoms wheeze", US_national_yearly!$D:$AM, 20, FALSE) / VLOOKUP("electricity|PM25|Asthma symptoms wheeze", US_national_yearly!$D:$AM, 10, FALSE), 1)</f>
        <v>3.3899190352946642E-3</v>
      </c>
      <c r="M8" s="7">
        <f>$B8 * IFERROR(VLOOKUP("electricity|PM25|Asthma symptoms wheeze", US_national_yearly!$D:$AM, 21, FALSE) / VLOOKUP("electricity|PM25|Asthma symptoms wheeze", US_national_yearly!$D:$AM, 10, FALSE), 1)</f>
        <v>3.3899190352946642E-3</v>
      </c>
      <c r="N8" s="7">
        <f>$B8 * IFERROR(VLOOKUP("electricity|PM25|Asthma symptoms wheeze", US_national_yearly!$D:$AM, 22, FALSE) / VLOOKUP("electricity|PM25|Asthma symptoms wheeze", US_national_yearly!$D:$AM, 10, FALSE), 1)</f>
        <v>3.3899190352946642E-3</v>
      </c>
      <c r="O8" s="7">
        <f>$B8 * IFERROR(VLOOKUP("electricity|PM25|Asthma symptoms wheeze", US_national_yearly!$D:$AM, 23, FALSE) / VLOOKUP("electricity|PM25|Asthma symptoms wheeze", US_national_yearly!$D:$AM, 10, FALSE), 1)</f>
        <v>3.3899190352946642E-3</v>
      </c>
      <c r="P8" s="7">
        <f>$B8 * IFERROR(VLOOKUP("electricity|PM25|Asthma symptoms wheeze", US_national_yearly!$D:$AM, 24, FALSE) / VLOOKUP("electricity|PM25|Asthma symptoms wheeze", US_national_yearly!$D:$AM, 10, FALSE), 1)</f>
        <v>3.3899190352946642E-3</v>
      </c>
      <c r="Q8" s="7">
        <f>$B8 * IFERROR(VLOOKUP("electricity|PM25|Asthma symptoms wheeze", US_national_yearly!$D:$AM, 25, FALSE) / VLOOKUP("electricity|PM25|Asthma symptoms wheeze", US_national_yearly!$D:$AM, 10, FALSE), 1)</f>
        <v>3.3899190352946642E-3</v>
      </c>
      <c r="R8" s="7">
        <f>$B8 * IFERROR(VLOOKUP("electricity|PM25|Asthma symptoms wheeze", US_national_yearly!$D:$AM, 26, FALSE) / VLOOKUP("electricity|PM25|Asthma symptoms wheeze", US_national_yearly!$D:$AM, 10, FALSE), 1)</f>
        <v>3.3899190352946642E-3</v>
      </c>
      <c r="S8" s="7">
        <f>$B8 * IFERROR(VLOOKUP("electricity|PM25|Asthma symptoms wheeze", US_national_yearly!$D:$AM, 27, FALSE) / VLOOKUP("electricity|PM25|Asthma symptoms wheeze", US_national_yearly!$D:$AM, 10, FALSE), 1)</f>
        <v>3.3899190352946642E-3</v>
      </c>
      <c r="T8" s="7">
        <f>$B8 * IFERROR(VLOOKUP("electricity|PM25|Asthma symptoms wheeze", US_national_yearly!$D:$AM, 28, FALSE) / VLOOKUP("electricity|PM25|Asthma symptoms wheeze", US_national_yearly!$D:$AM, 10, FALSE), 1)</f>
        <v>3.3899190352946642E-3</v>
      </c>
      <c r="U8" s="7">
        <f>$B8 * IFERROR(VLOOKUP("electricity|PM25|Asthma symptoms wheeze", US_national_yearly!$D:$AM, 29, FALSE) / VLOOKUP("electricity|PM25|Asthma symptoms wheeze", US_national_yearly!$D:$AM, 10, FALSE), 1)</f>
        <v>3.3899190352946642E-3</v>
      </c>
      <c r="V8" s="7">
        <f>$B8 * IFERROR(VLOOKUP("electricity|PM25|Asthma symptoms wheeze", US_national_yearly!$D:$AM, 30, FALSE) / VLOOKUP("electricity|PM25|Asthma symptoms wheeze", US_national_yearly!$D:$AM, 10, FALSE), 1)</f>
        <v>3.3899190352946642E-3</v>
      </c>
      <c r="W8" s="7">
        <f>$B8 * IFERROR(VLOOKUP("electricity|PM25|Asthma symptoms wheeze", US_national_yearly!$D:$AM, 31, FALSE) / VLOOKUP("electricity|PM25|Asthma symptoms wheeze", US_national_yearly!$D:$AM, 10, FALSE), 1)</f>
        <v>3.3899190352946642E-3</v>
      </c>
      <c r="X8" s="7">
        <f>$B8 * IFERROR(VLOOKUP("electricity|PM25|Asthma symptoms wheeze", US_national_yearly!$D:$AM, 32, FALSE) / VLOOKUP("electricity|PM25|Asthma symptoms wheeze", US_national_yearly!$D:$AM, 10, FALSE), 1)</f>
        <v>3.3899190352946642E-3</v>
      </c>
      <c r="Y8" s="7">
        <f>$B8 * IFERROR(VLOOKUP("electricity|PM25|Asthma symptoms wheeze", US_national_yearly!$D:$AM, 33, FALSE) / VLOOKUP("electricity|PM25|Asthma symptoms wheeze", US_national_yearly!$D:$AM, 10, FALSE), 1)</f>
        <v>3.3899190352946642E-3</v>
      </c>
      <c r="Z8" s="7">
        <f>$B8 * IFERROR(VLOOKUP("electricity|PM25|Asthma symptoms wheeze", US_national_yearly!$D:$AM, 34, FALSE) / VLOOKUP("electricity|PM25|Asthma symptoms wheeze", US_national_yearly!$D:$AM, 10, FALSE), 1)</f>
        <v>3.3899190352946642E-3</v>
      </c>
      <c r="AA8" s="7">
        <f>$B8 * IFERROR(VLOOKUP("electricity|PM25|Asthma symptoms wheeze", US_national_yearly!$D:$AM, 35, FALSE) / VLOOKUP("electricity|PM25|Asthma symptoms wheeze", US_national_yearly!$D:$AM, 10, FALSE), 1)</f>
        <v>3.3899190352946642E-3</v>
      </c>
      <c r="AB8" s="7">
        <f>$B8 * IFERROR(VLOOKUP("electricity|PM25|Asthma symptoms wheeze", US_national_yearly!$D:$AM, 36, FALSE) / VLOOKUP("electricity|PM25|Asthma symptoms wheeze", US_national_yearly!$D:$AM, 10, FALSE), 1)</f>
        <v>3.3899190352946642E-3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4.3701361563663429E-5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4.3941538926545966E-5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4.418171628942849E-5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4.442189365231104E-5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4.4662071015193563E-5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4.4919535244471088E-5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4.5176999473748613E-5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4.5407017460340283E-5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4.5637035446931933E-5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4.586705343352359E-5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4.6097071420115247E-5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4.6327089406706911E-5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4.6482244706447535E-5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4.6637400006188174E-5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4.6792555305928812E-5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4.6947710605669437E-5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4.7102865905410069E-5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4.7247448946013452E-5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4.7392031986616816E-5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4.7536615027220192E-5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4.7681198067823563E-5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4.7825781108426926E-5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4.7968746201839928E-5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4.8111711295252916E-5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4.8254676388665904E-5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4.8397641482078893E-5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4.8540606575491888E-5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4.495502739693361E-4</v>
      </c>
      <c r="C13" s="7">
        <f>$B13 * IFERROR(VLOOKUP("electricity|PM25|Non-fatal heart attacks", US_national_yearly!$D:$AM, 11, FALSE) / VLOOKUP("electricity|PM25|Non-fatal heart attacks", US_national_yearly!$D:$AM, 10, FALSE), 1)</f>
        <v>4.6257141755508453E-4</v>
      </c>
      <c r="D13" s="7">
        <f>$B13 * IFERROR(VLOOKUP("electricity|PM25|Non-fatal heart attacks", US_national_yearly!$D:$AM, 12, FALSE) / VLOOKUP("electricity|PM25|Non-fatal heart attacks", US_national_yearly!$D:$AM, 10, FALSE), 1)</f>
        <v>4.7559256114083301E-4</v>
      </c>
      <c r="E13" s="7">
        <f>$B13 * IFERROR(VLOOKUP("electricity|PM25|Non-fatal heart attacks", US_national_yearly!$D:$AM, 13, FALSE) / VLOOKUP("electricity|PM25|Non-fatal heart attacks", US_national_yearly!$D:$AM, 10, FALSE), 1)</f>
        <v>4.8861370472658139E-4</v>
      </c>
      <c r="F13" s="7">
        <f>$B13 * IFERROR(VLOOKUP("electricity|PM25|Non-fatal heart attacks", US_national_yearly!$D:$AM, 14, FALSE) / VLOOKUP("electricity|PM25|Non-fatal heart attacks", US_national_yearly!$D:$AM, 10, FALSE), 1)</f>
        <v>5.0163484831232982E-4</v>
      </c>
      <c r="G13" s="7">
        <f>$B13 * IFERROR(VLOOKUP("electricity|PM25|Non-fatal heart attacks", US_national_yearly!$D:$AM, 15, FALSE) / VLOOKUP("electricity|PM25|Non-fatal heart attacks", US_national_yearly!$D:$AM, 10, FALSE), 1)</f>
        <v>5.1399408805183138E-4</v>
      </c>
      <c r="H13" s="7">
        <f>$B13 * IFERROR(VLOOKUP("electricity|PM25|Non-fatal heart attacks", US_national_yearly!$D:$AM, 16, FALSE) / VLOOKUP("electricity|PM25|Non-fatal heart attacks", US_national_yearly!$D:$AM, 10, FALSE), 1)</f>
        <v>5.2635332779133283E-4</v>
      </c>
      <c r="I13" s="7">
        <f>$B13 * IFERROR(VLOOKUP("electricity|PM25|Non-fatal heart attacks", US_national_yearly!$D:$AM, 17, FALSE) / VLOOKUP("electricity|PM25|Non-fatal heart attacks", US_national_yearly!$D:$AM, 10, FALSE), 1)</f>
        <v>5.3643700834141422E-4</v>
      </c>
      <c r="J13" s="7">
        <f>$B13 * IFERROR(VLOOKUP("electricity|PM25|Non-fatal heart attacks", US_national_yearly!$D:$AM, 18, FALSE) / VLOOKUP("electricity|PM25|Non-fatal heart attacks", US_national_yearly!$D:$AM, 10, FALSE), 1)</f>
        <v>5.4652068889149549E-4</v>
      </c>
      <c r="K13" s="7">
        <f>$B13 * IFERROR(VLOOKUP("electricity|PM25|Non-fatal heart attacks", US_national_yearly!$D:$AM, 19, FALSE) / VLOOKUP("electricity|PM25|Non-fatal heart attacks", US_national_yearly!$D:$AM, 10, FALSE), 1)</f>
        <v>5.5660436944157676E-4</v>
      </c>
      <c r="L13" s="7">
        <f>$B13 * IFERROR(VLOOKUP("electricity|PM25|Non-fatal heart attacks", US_national_yearly!$D:$AM, 20, FALSE) / VLOOKUP("electricity|PM25|Non-fatal heart attacks", US_national_yearly!$D:$AM, 10, FALSE), 1)</f>
        <v>5.6668804999165804E-4</v>
      </c>
      <c r="M13" s="7">
        <f>$B13 * IFERROR(VLOOKUP("electricity|PM25|Non-fatal heart attacks", US_national_yearly!$D:$AM, 21, FALSE) / VLOOKUP("electricity|PM25|Non-fatal heart attacks", US_national_yearly!$D:$AM, 10, FALSE), 1)</f>
        <v>5.7677173054173942E-4</v>
      </c>
      <c r="N13" s="7">
        <f>$B13 * IFERROR(VLOOKUP("electricity|PM25|Non-fatal heart attacks", US_national_yearly!$D:$AM, 22, FALSE) / VLOOKUP("electricity|PM25|Non-fatal heart attacks", US_national_yearly!$D:$AM, 10, FALSE), 1)</f>
        <v>5.833147374878447E-4</v>
      </c>
      <c r="O13" s="7">
        <f>$B13 * IFERROR(VLOOKUP("electricity|PM25|Non-fatal heart attacks", US_national_yearly!$D:$AM, 23, FALSE) / VLOOKUP("electricity|PM25|Non-fatal heart attacks", US_national_yearly!$D:$AM, 10, FALSE), 1)</f>
        <v>5.8985774443394987E-4</v>
      </c>
      <c r="P13" s="7">
        <f>$B13 * IFERROR(VLOOKUP("electricity|PM25|Non-fatal heart attacks", US_national_yearly!$D:$AM, 24, FALSE) / VLOOKUP("electricity|PM25|Non-fatal heart attacks", US_national_yearly!$D:$AM, 10, FALSE), 1)</f>
        <v>5.9640075138005504E-4</v>
      </c>
      <c r="Q13" s="7">
        <f>$B13 * IFERROR(VLOOKUP("electricity|PM25|Non-fatal heart attacks", US_national_yearly!$D:$AM, 25, FALSE) / VLOOKUP("electricity|PM25|Non-fatal heart attacks", US_national_yearly!$D:$AM, 10, FALSE), 1)</f>
        <v>6.0294375832616032E-4</v>
      </c>
      <c r="R13" s="7">
        <f>$B13 * IFERROR(VLOOKUP("electricity|PM25|Non-fatal heart attacks", US_national_yearly!$D:$AM, 26, FALSE) / VLOOKUP("electricity|PM25|Non-fatal heart attacks", US_national_yearly!$D:$AM, 10, FALSE), 1)</f>
        <v>6.0948676527226549E-4</v>
      </c>
      <c r="S13" s="7">
        <f>$B13 * IFERROR(VLOOKUP("electricity|PM25|Non-fatal heart attacks", US_national_yearly!$D:$AM, 27, FALSE) / VLOOKUP("electricity|PM25|Non-fatal heart attacks", US_national_yearly!$D:$AM, 10, FALSE), 1)</f>
        <v>6.1308885868725891E-4</v>
      </c>
      <c r="T13" s="7">
        <f>$B13 * IFERROR(VLOOKUP("electricity|PM25|Non-fatal heart attacks", US_national_yearly!$D:$AM, 28, FALSE) / VLOOKUP("electricity|PM25|Non-fatal heart attacks", US_national_yearly!$D:$AM, 10, FALSE), 1)</f>
        <v>6.1669095210225243E-4</v>
      </c>
      <c r="U13" s="7">
        <f>$B13 * IFERROR(VLOOKUP("electricity|PM25|Non-fatal heart attacks", US_national_yearly!$D:$AM, 29, FALSE) / VLOOKUP("electricity|PM25|Non-fatal heart attacks", US_national_yearly!$D:$AM, 10, FALSE), 1)</f>
        <v>6.2029304551724585E-4</v>
      </c>
      <c r="V13" s="7">
        <f>$B13 * IFERROR(VLOOKUP("electricity|PM25|Non-fatal heart attacks", US_national_yearly!$D:$AM, 30, FALSE) / VLOOKUP("electricity|PM25|Non-fatal heart attacks", US_national_yearly!$D:$AM, 10, FALSE), 1)</f>
        <v>6.2389513893223926E-4</v>
      </c>
      <c r="W13" s="7">
        <f>$B13 * IFERROR(VLOOKUP("electricity|PM25|Non-fatal heart attacks", US_national_yearly!$D:$AM, 31, FALSE) / VLOOKUP("electricity|PM25|Non-fatal heart attacks", US_national_yearly!$D:$AM, 10, FALSE), 1)</f>
        <v>6.2749723234723268E-4</v>
      </c>
      <c r="X13" s="7">
        <f>$B13 * IFERROR(VLOOKUP("electricity|PM25|Non-fatal heart attacks", US_national_yearly!$D:$AM, 32, FALSE) / VLOOKUP("electricity|PM25|Non-fatal heart attacks", US_national_yearly!$D:$AM, 10, FALSE), 1)</f>
        <v>6.3031520688690268E-4</v>
      </c>
      <c r="Y13" s="7">
        <f>$B13 * IFERROR(VLOOKUP("electricity|PM25|Non-fatal heart attacks", US_national_yearly!$D:$AM, 33, FALSE) / VLOOKUP("electricity|PM25|Non-fatal heart attacks", US_national_yearly!$D:$AM, 10, FALSE), 1)</f>
        <v>6.3313318142657268E-4</v>
      </c>
      <c r="Z13" s="7">
        <f>$B13 * IFERROR(VLOOKUP("electricity|PM25|Non-fatal heart attacks", US_national_yearly!$D:$AM, 34, FALSE) / VLOOKUP("electricity|PM25|Non-fatal heart attacks", US_national_yearly!$D:$AM, 10, FALSE), 1)</f>
        <v>6.3595115596624258E-4</v>
      </c>
      <c r="AA13" s="7">
        <f>$B13 * IFERROR(VLOOKUP("electricity|PM25|Non-fatal heart attacks", US_national_yearly!$D:$AM, 35, FALSE) / VLOOKUP("electricity|PM25|Non-fatal heart attacks", US_national_yearly!$D:$AM, 10, FALSE), 1)</f>
        <v>6.3876913050591269E-4</v>
      </c>
      <c r="AB13" s="7">
        <f>$B13 * IFERROR(VLOOKUP("electricity|PM25|Non-fatal heart attacks", US_national_yearly!$D:$AM, 36, FALSE) / VLOOKUP("electricity|PM25|Non-fatal heart attacks", US_national_yearly!$D:$AM, 10, FALSE), 1)</f>
        <v>6.4158710504558258E-4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0.18754312237147761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0.18795945549694312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0.18837578862240867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0.18879212174787416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0.1892084548733397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0.18982624498941009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0.19044403510548044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0.19153488422439069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0.19262573334330094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0.19371658246221116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0.19480743158112143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0.19589828070003165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0.19741160303312508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0.19892492536621853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0.20043824769931198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0.20195157003240544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0.20346489236549886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0.20499126787106062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0.20651764337662237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0.2080440188821841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0.20957039438774588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0.21109676989330761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0.21240519230195906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0.21371361471061057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0.21502203711926204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0.21633045952791347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0.217638881936565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3.1838028350821633E-2</v>
      </c>
      <c r="C15" s="7">
        <f>$B15 * IFERROR(VLOOKUP("electricity|PM25|Work loss days", US_national_yearly!$D:$AM, 11, FALSE) / VLOOKUP("electricity|PM25|Work loss days", US_national_yearly!$D:$AM, 10, FALSE), 1)</f>
        <v>3.1929134709340869E-2</v>
      </c>
      <c r="D15" s="7">
        <f>$B15 * IFERROR(VLOOKUP("electricity|PM25|Work loss days", US_national_yearly!$D:$AM, 12, FALSE) / VLOOKUP("electricity|PM25|Work loss days", US_national_yearly!$D:$AM, 10, FALSE), 1)</f>
        <v>3.2020241067860111E-2</v>
      </c>
      <c r="E15" s="7">
        <f>$B15 * IFERROR(VLOOKUP("electricity|PM25|Work loss days", US_national_yearly!$D:$AM, 13, FALSE) / VLOOKUP("electricity|PM25|Work loss days", US_national_yearly!$D:$AM, 10, FALSE), 1)</f>
        <v>3.2111347426379354E-2</v>
      </c>
      <c r="F15" s="7">
        <f>$B15 * IFERROR(VLOOKUP("electricity|PM25|Work loss days", US_national_yearly!$D:$AM, 14, FALSE) / VLOOKUP("electricity|PM25|Work loss days", US_national_yearly!$D:$AM, 10, FALSE), 1)</f>
        <v>3.220245378489859E-2</v>
      </c>
      <c r="G15" s="7">
        <f>$B15 * IFERROR(VLOOKUP("electricity|PM25|Work loss days", US_national_yearly!$D:$AM, 15, FALSE) / VLOOKUP("electricity|PM25|Work loss days", US_national_yearly!$D:$AM, 10, FALSE), 1)</f>
        <v>3.2320477395429377E-2</v>
      </c>
      <c r="H15" s="7">
        <f>$B15 * IFERROR(VLOOKUP("electricity|PM25|Work loss days", US_national_yearly!$D:$AM, 16, FALSE) / VLOOKUP("electricity|PM25|Work loss days", US_national_yearly!$D:$AM, 10, FALSE), 1)</f>
        <v>3.2438501005960171E-2</v>
      </c>
      <c r="I15" s="7">
        <f>$B15 * IFERROR(VLOOKUP("electricity|PM25|Work loss days", US_national_yearly!$D:$AM, 17, FALSE) / VLOOKUP("electricity|PM25|Work loss days", US_national_yearly!$D:$AM, 10, FALSE), 1)</f>
        <v>3.2615929350785E-2</v>
      </c>
      <c r="J15" s="7">
        <f>$B15 * IFERROR(VLOOKUP("electricity|PM25|Work loss days", US_national_yearly!$D:$AM, 18, FALSE) / VLOOKUP("electricity|PM25|Work loss days", US_national_yearly!$D:$AM, 10, FALSE), 1)</f>
        <v>3.2793357695609815E-2</v>
      </c>
      <c r="K15" s="7">
        <f>$B15 * IFERROR(VLOOKUP("electricity|PM25|Work loss days", US_national_yearly!$D:$AM, 19, FALSE) / VLOOKUP("electricity|PM25|Work loss days", US_national_yearly!$D:$AM, 10, FALSE), 1)</f>
        <v>3.2970786040434644E-2</v>
      </c>
      <c r="L15" s="7">
        <f>$B15 * IFERROR(VLOOKUP("electricity|PM25|Work loss days", US_national_yearly!$D:$AM, 20, FALSE) / VLOOKUP("electricity|PM25|Work loss days", US_national_yearly!$D:$AM, 10, FALSE), 1)</f>
        <v>3.3148214385259472E-2</v>
      </c>
      <c r="M15" s="7">
        <f>$B15 * IFERROR(VLOOKUP("electricity|PM25|Work loss days", US_national_yearly!$D:$AM, 21, FALSE) / VLOOKUP("electricity|PM25|Work loss days", US_national_yearly!$D:$AM, 10, FALSE), 1)</f>
        <v>3.3325642730084294E-2</v>
      </c>
      <c r="N15" s="7">
        <f>$B15 * IFERROR(VLOOKUP("electricity|PM25|Work loss days", US_national_yearly!$D:$AM, 22, FALSE) / VLOOKUP("electricity|PM25|Work loss days", US_national_yearly!$D:$AM, 10, FALSE), 1)</f>
        <v>3.3554715040768117E-2</v>
      </c>
      <c r="O15" s="7">
        <f>$B15 * IFERROR(VLOOKUP("electricity|PM25|Work loss days", US_national_yearly!$D:$AM, 23, FALSE) / VLOOKUP("electricity|PM25|Work loss days", US_national_yearly!$D:$AM, 10, FALSE), 1)</f>
        <v>3.3783787351451933E-2</v>
      </c>
      <c r="P15" s="7">
        <f>$B15 * IFERROR(VLOOKUP("electricity|PM25|Work loss days", US_national_yearly!$D:$AM, 24, FALSE) / VLOOKUP("electricity|PM25|Work loss days", US_national_yearly!$D:$AM, 10, FALSE), 1)</f>
        <v>3.4012859662135748E-2</v>
      </c>
      <c r="Q15" s="7">
        <f>$B15 * IFERROR(VLOOKUP("electricity|PM25|Work loss days", US_national_yearly!$D:$AM, 25, FALSE) / VLOOKUP("electricity|PM25|Work loss days", US_national_yearly!$D:$AM, 10, FALSE), 1)</f>
        <v>3.4241931972819557E-2</v>
      </c>
      <c r="R15" s="7">
        <f>$B15 * IFERROR(VLOOKUP("electricity|PM25|Work loss days", US_national_yearly!$D:$AM, 26, FALSE) / VLOOKUP("electricity|PM25|Work loss days", US_national_yearly!$D:$AM, 10, FALSE), 1)</f>
        <v>3.447100428350338E-2</v>
      </c>
      <c r="S15" s="7">
        <f>$B15 * IFERROR(VLOOKUP("electricity|PM25|Work loss days", US_national_yearly!$D:$AM, 27, FALSE) / VLOOKUP("electricity|PM25|Work loss days", US_national_yearly!$D:$AM, 10, FALSE), 1)</f>
        <v>3.4725193659483324E-2</v>
      </c>
      <c r="T15" s="7">
        <f>$B15 * IFERROR(VLOOKUP("electricity|PM25|Work loss days", US_national_yearly!$D:$AM, 28, FALSE) / VLOOKUP("electricity|PM25|Work loss days", US_national_yearly!$D:$AM, 10, FALSE), 1)</f>
        <v>3.4979383035463281E-2</v>
      </c>
      <c r="U15" s="7">
        <f>$B15 * IFERROR(VLOOKUP("electricity|PM25|Work loss days", US_national_yearly!$D:$AM, 29, FALSE) / VLOOKUP("electricity|PM25|Work loss days", US_national_yearly!$D:$AM, 10, FALSE), 1)</f>
        <v>3.5233572411443238E-2</v>
      </c>
      <c r="V15" s="7">
        <f>$B15 * IFERROR(VLOOKUP("electricity|PM25|Work loss days", US_national_yearly!$D:$AM, 30, FALSE) / VLOOKUP("electricity|PM25|Work loss days", US_national_yearly!$D:$AM, 10, FALSE), 1)</f>
        <v>3.5487761787423196E-2</v>
      </c>
      <c r="W15" s="7">
        <f>$B15 * IFERROR(VLOOKUP("electricity|PM25|Work loss days", US_national_yearly!$D:$AM, 31, FALSE) / VLOOKUP("electricity|PM25|Work loss days", US_national_yearly!$D:$AM, 10, FALSE), 1)</f>
        <v>3.5741951163403146E-2</v>
      </c>
      <c r="X15" s="7">
        <f>$B15 * IFERROR(VLOOKUP("electricity|PM25|Work loss days", US_national_yearly!$D:$AM, 32, FALSE) / VLOOKUP("electricity|PM25|Work loss days", US_national_yearly!$D:$AM, 10, FALSE), 1)</f>
        <v>3.5966187901802935E-2</v>
      </c>
      <c r="Y15" s="7">
        <f>$B15 * IFERROR(VLOOKUP("electricity|PM25|Work loss days", US_national_yearly!$D:$AM, 33, FALSE) / VLOOKUP("electricity|PM25|Work loss days", US_national_yearly!$D:$AM, 10, FALSE), 1)</f>
        <v>3.6190424640202709E-2</v>
      </c>
      <c r="Z15" s="7">
        <f>$B15 * IFERROR(VLOOKUP("electricity|PM25|Work loss days", US_national_yearly!$D:$AM, 34, FALSE) / VLOOKUP("electricity|PM25|Work loss days", US_national_yearly!$D:$AM, 10, FALSE), 1)</f>
        <v>3.6414661378602491E-2</v>
      </c>
      <c r="AA15" s="7">
        <f>$B15 * IFERROR(VLOOKUP("electricity|PM25|Work loss days", US_national_yearly!$D:$AM, 35, FALSE) / VLOOKUP("electricity|PM25|Work loss days", US_national_yearly!$D:$AM, 10, FALSE), 1)</f>
        <v>3.6638898117002279E-2</v>
      </c>
      <c r="AB15" s="7">
        <f>$B15 * IFERROR(VLOOKUP("electricity|PM25|Work loss days", US_national_yearly!$D:$AM, 36, FALSE) / VLOOKUP("electricity|PM25|Work loss days", US_national_yearly!$D:$AM, 10, FALSE), 1)</f>
        <v>3.686313485540206E-2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6.6366453622375456E-5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6.8335872105285695E-5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7.0305290588195947E-5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7.2274709071106186E-5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7.4244127554016424E-5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7.6143628625442939E-5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7.804312969686944E-5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7.9688628489555388E-5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8.1334127282241324E-5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8.2979626074927259E-5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8.4625124867613208E-5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8.627062366029913E-5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8.7376765664715818E-5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8.8482907669132493E-5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8.9589049673549168E-5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9.0695191677965856E-5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9.1801333682382531E-5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9.2411814931117576E-5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9.3022296179852594E-5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9.3632777428587639E-5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9.4243258677322671E-5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9.4853739926057689E-5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9.5279644706039728E-5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9.5705549486021753E-5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9.6131454266003779E-5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9.6557359045985831E-5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9.698326382596787E-5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7.1983515521926978E-5</v>
      </c>
      <c r="C2" s="7">
        <f>$B2 * IFERROR(VLOOKUP("electricity|NOx|Premature mortality", US_national_yearly!$D:$AM, 11, FALSE) / VLOOKUP("electricity|NOx|Premature mortality", US_national_yearly!$D:$AM, 10, FALSE), 1)</f>
        <v>7.3072671728267513E-5</v>
      </c>
      <c r="D2" s="7">
        <f>$B2 * IFERROR(VLOOKUP("electricity|NOx|Premature mortality", US_national_yearly!$D:$AM, 12, FALSE) / VLOOKUP("electricity|NOx|Premature mortality", US_national_yearly!$D:$AM, 10, FALSE), 1)</f>
        <v>7.4161827934608076E-5</v>
      </c>
      <c r="E2" s="7">
        <f>$B2 * IFERROR(VLOOKUP("electricity|NOx|Premature mortality", US_national_yearly!$D:$AM, 13, FALSE) / VLOOKUP("electricity|NOx|Premature mortality", US_national_yearly!$D:$AM, 10, FALSE), 1)</f>
        <v>7.5250984140948611E-5</v>
      </c>
      <c r="F2" s="7">
        <f>$B2 * IFERROR(VLOOKUP("electricity|NOx|Premature mortality", US_national_yearly!$D:$AM, 14, FALSE) / VLOOKUP("electricity|NOx|Premature mortality", US_national_yearly!$D:$AM, 10, FALSE), 1)</f>
        <v>7.6340140347289147E-5</v>
      </c>
      <c r="G2" s="7">
        <f>$B2 * IFERROR(VLOOKUP("electricity|NOx|Premature mortality", US_national_yearly!$D:$AM, 15, FALSE) / VLOOKUP("electricity|NOx|Premature mortality", US_national_yearly!$D:$AM, 10, FALSE), 1)</f>
        <v>7.8285774458716965E-5</v>
      </c>
      <c r="H2" s="7">
        <f>$B2 * IFERROR(VLOOKUP("electricity|NOx|Premature mortality", US_national_yearly!$D:$AM, 16, FALSE) / VLOOKUP("electricity|NOx|Premature mortality", US_national_yearly!$D:$AM, 10, FALSE), 1)</f>
        <v>8.0231408570144769E-5</v>
      </c>
      <c r="I2" s="7">
        <f>$B2 * IFERROR(VLOOKUP("electricity|NOx|Premature mortality", US_national_yearly!$D:$AM, 17, FALSE) / VLOOKUP("electricity|NOx|Premature mortality", US_national_yearly!$D:$AM, 10, FALSE), 1)</f>
        <v>8.1524362353725259E-5</v>
      </c>
      <c r="J2" s="7">
        <f>$B2 * IFERROR(VLOOKUP("electricity|NOx|Premature mortality", US_national_yearly!$D:$AM, 18, FALSE) / VLOOKUP("electricity|NOx|Premature mortality", US_national_yearly!$D:$AM, 10, FALSE), 1)</f>
        <v>8.2817316137305763E-5</v>
      </c>
      <c r="K2" s="7">
        <f>$B2 * IFERROR(VLOOKUP("electricity|NOx|Premature mortality", US_national_yearly!$D:$AM, 19, FALSE) / VLOOKUP("electricity|NOx|Premature mortality", US_national_yearly!$D:$AM, 10, FALSE), 1)</f>
        <v>8.4110269920886253E-5</v>
      </c>
      <c r="L2" s="7">
        <f>$B2 * IFERROR(VLOOKUP("electricity|NOx|Premature mortality", US_national_yearly!$D:$AM, 20, FALSE) / VLOOKUP("electricity|NOx|Premature mortality", US_national_yearly!$D:$AM, 10, FALSE), 1)</f>
        <v>8.5403223704466744E-5</v>
      </c>
      <c r="M2" s="7">
        <f>$B2 * IFERROR(VLOOKUP("electricity|NOx|Premature mortality", US_national_yearly!$D:$AM, 21, FALSE) / VLOOKUP("electricity|NOx|Premature mortality", US_national_yearly!$D:$AM, 10, FALSE), 1)</f>
        <v>8.6696177488047234E-5</v>
      </c>
      <c r="N2" s="7">
        <f>$B2 * IFERROR(VLOOKUP("electricity|NOx|Premature mortality", US_national_yearly!$D:$AM, 22, FALSE) / VLOOKUP("electricity|NOx|Premature mortality", US_national_yearly!$D:$AM, 10, FALSE), 1)</f>
        <v>8.7693840803854264E-5</v>
      </c>
      <c r="O2" s="7">
        <f>$B2 * IFERROR(VLOOKUP("electricity|NOx|Premature mortality", US_national_yearly!$D:$AM, 23, FALSE) / VLOOKUP("electricity|NOx|Premature mortality", US_national_yearly!$D:$AM, 10, FALSE), 1)</f>
        <v>8.8691504119661334E-5</v>
      </c>
      <c r="P2" s="7">
        <f>$B2 * IFERROR(VLOOKUP("electricity|NOx|Premature mortality", US_national_yearly!$D:$AM, 24, FALSE) / VLOOKUP("electricity|NOx|Premature mortality", US_national_yearly!$D:$AM, 10, FALSE), 1)</f>
        <v>8.9689167435468364E-5</v>
      </c>
      <c r="Q2" s="7">
        <f>$B2 * IFERROR(VLOOKUP("electricity|NOx|Premature mortality", US_national_yearly!$D:$AM, 25, FALSE) / VLOOKUP("electricity|NOx|Premature mortality", US_national_yearly!$D:$AM, 10, FALSE), 1)</f>
        <v>9.0686830751275421E-5</v>
      </c>
      <c r="R2" s="7">
        <f>$B2 * IFERROR(VLOOKUP("electricity|NOx|Premature mortality", US_national_yearly!$D:$AM, 26, FALSE) / VLOOKUP("electricity|NOx|Premature mortality", US_national_yearly!$D:$AM, 10, FALSE), 1)</f>
        <v>9.1684494067082451E-5</v>
      </c>
      <c r="S2" s="7">
        <f>$B2 * IFERROR(VLOOKUP("electricity|NOx|Premature mortality", US_national_yearly!$D:$AM, 27, FALSE) / VLOOKUP("electricity|NOx|Premature mortality", US_national_yearly!$D:$AM, 10, FALSE), 1)</f>
        <v>9.2200028475226685E-5</v>
      </c>
      <c r="T2" s="7">
        <f>$B2 * IFERROR(VLOOKUP("electricity|NOx|Premature mortality", US_national_yearly!$D:$AM, 28, FALSE) / VLOOKUP("electricity|NOx|Premature mortality", US_national_yearly!$D:$AM, 10, FALSE), 1)</f>
        <v>9.2715562883370918E-5</v>
      </c>
      <c r="U2" s="7">
        <f>$B2 * IFERROR(VLOOKUP("electricity|NOx|Premature mortality", US_national_yearly!$D:$AM, 29, FALSE) / VLOOKUP("electricity|NOx|Premature mortality", US_national_yearly!$D:$AM, 10, FALSE), 1)</f>
        <v>9.3231097291515192E-5</v>
      </c>
      <c r="V2" s="7">
        <f>$B2 * IFERROR(VLOOKUP("electricity|NOx|Premature mortality", US_national_yearly!$D:$AM, 30, FALSE) / VLOOKUP("electricity|NOx|Premature mortality", US_national_yearly!$D:$AM, 10, FALSE), 1)</f>
        <v>9.3746631699659426E-5</v>
      </c>
      <c r="W2" s="7">
        <f>$B2 * IFERROR(VLOOKUP("electricity|NOx|Premature mortality", US_national_yearly!$D:$AM, 31, FALSE) / VLOOKUP("electricity|NOx|Premature mortality", US_national_yearly!$D:$AM, 10, FALSE), 1)</f>
        <v>9.4262166107803659E-5</v>
      </c>
      <c r="X2" s="7">
        <f>$B2 * IFERROR(VLOOKUP("electricity|NOx|Premature mortality", US_national_yearly!$D:$AM, 32, FALSE) / VLOOKUP("electricity|NOx|Premature mortality", US_national_yearly!$D:$AM, 10, FALSE), 1)</f>
        <v>9.43787960066507E-5</v>
      </c>
      <c r="Y2" s="7">
        <f>$B2 * IFERROR(VLOOKUP("electricity|NOx|Premature mortality", US_national_yearly!$D:$AM, 33, FALSE) / VLOOKUP("electricity|NOx|Premature mortality", US_national_yearly!$D:$AM, 10, FALSE), 1)</f>
        <v>9.4495425905497755E-5</v>
      </c>
      <c r="Z2" s="7">
        <f>$B2 * IFERROR(VLOOKUP("electricity|NOx|Premature mortality", US_national_yearly!$D:$AM, 34, FALSE) / VLOOKUP("electricity|NOx|Premature mortality", US_national_yearly!$D:$AM, 10, FALSE), 1)</f>
        <v>9.4612055804344796E-5</v>
      </c>
      <c r="AA2" s="7">
        <f>$B2 * IFERROR(VLOOKUP("electricity|NOx|Premature mortality", US_national_yearly!$D:$AM, 35, FALSE) / VLOOKUP("electricity|NOx|Premature mortality", US_national_yearly!$D:$AM, 10, FALSE), 1)</f>
        <v>9.4728685703191837E-5</v>
      </c>
      <c r="AB2" s="7">
        <f>$B2 * IFERROR(VLOOKUP("electricity|NOx|Premature mortality", US_national_yearly!$D:$AM, 36, FALSE) / VLOOKUP("electricity|NOx|Premature mortality", US_national_yearly!$D:$AM, 10, FALSE), 1)</f>
        <v>9.4845315602038878E-5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1.9999382179309778E-7</v>
      </c>
      <c r="C3" s="7">
        <f>$B3 * IFERROR(VLOOKUP("electricity|NOx|Infant mortality", US_national_yearly!$D:$AM, 11, FALSE) / VLOOKUP("electricity|NOx|Infant mortality", US_national_yearly!$D:$AM, 10, FALSE), 1)</f>
        <v>1.981227653234524E-7</v>
      </c>
      <c r="D3" s="7">
        <f>$B3 * IFERROR(VLOOKUP("electricity|NOx|Infant mortality", US_national_yearly!$D:$AM, 12, FALSE) / VLOOKUP("electricity|NOx|Infant mortality", US_national_yearly!$D:$AM, 10, FALSE), 1)</f>
        <v>1.9625170885380699E-7</v>
      </c>
      <c r="E3" s="7">
        <f>$B3 * IFERROR(VLOOKUP("electricity|NOx|Infant mortality", US_national_yearly!$D:$AM, 13, FALSE) / VLOOKUP("electricity|NOx|Infant mortality", US_national_yearly!$D:$AM, 10, FALSE), 1)</f>
        <v>1.9438065238416164E-7</v>
      </c>
      <c r="F3" s="7">
        <f>$B3 * IFERROR(VLOOKUP("electricity|NOx|Infant mortality", US_national_yearly!$D:$AM, 14, FALSE) / VLOOKUP("electricity|NOx|Infant mortality", US_national_yearly!$D:$AM, 10, FALSE), 1)</f>
        <v>1.925095959145162E-7</v>
      </c>
      <c r="G3" s="7">
        <f>$B3 * IFERROR(VLOOKUP("electricity|NOx|Infant mortality", US_national_yearly!$D:$AM, 15, FALSE) / VLOOKUP("electricity|NOx|Infant mortality", US_national_yearly!$D:$AM, 10, FALSE), 1)</f>
        <v>1.275471449145997E-7</v>
      </c>
      <c r="H3" s="7">
        <f>$B3 * IFERROR(VLOOKUP("electricity|NOx|Infant mortality", US_national_yearly!$D:$AM, 16, FALSE) / VLOOKUP("electricity|NOx|Infant mortality", US_national_yearly!$D:$AM, 10, FALSE), 1)</f>
        <v>6.2584693914683218E-8</v>
      </c>
      <c r="I3" s="7">
        <f>$B3 * IFERROR(VLOOKUP("electricity|NOx|Infant mortality", US_national_yearly!$D:$AM, 17, FALSE) / VLOOKUP("electricity|NOx|Infant mortality", US_national_yearly!$D:$AM, 10, FALSE), 1)</f>
        <v>6.2129543820617137E-8</v>
      </c>
      <c r="J3" s="7">
        <f>$B3 * IFERROR(VLOOKUP("electricity|NOx|Infant mortality", US_national_yearly!$D:$AM, 18, FALSE) / VLOOKUP("electricity|NOx|Infant mortality", US_national_yearly!$D:$AM, 10, FALSE), 1)</f>
        <v>6.1674393726551057E-8</v>
      </c>
      <c r="K3" s="7">
        <f>$B3 * IFERROR(VLOOKUP("electricity|NOx|Infant mortality", US_national_yearly!$D:$AM, 19, FALSE) / VLOOKUP("electricity|NOx|Infant mortality", US_national_yearly!$D:$AM, 10, FALSE), 1)</f>
        <v>6.1219243632484976E-8</v>
      </c>
      <c r="L3" s="7">
        <f>$B3 * IFERROR(VLOOKUP("electricity|NOx|Infant mortality", US_national_yearly!$D:$AM, 20, FALSE) / VLOOKUP("electricity|NOx|Infant mortality", US_national_yearly!$D:$AM, 10, FALSE), 1)</f>
        <v>6.0764093538418896E-8</v>
      </c>
      <c r="M3" s="7">
        <f>$B3 * IFERROR(VLOOKUP("electricity|NOx|Infant mortality", US_national_yearly!$D:$AM, 21, FALSE) / VLOOKUP("electricity|NOx|Infant mortality", US_national_yearly!$D:$AM, 10, FALSE), 1)</f>
        <v>6.0308943444352802E-8</v>
      </c>
      <c r="N3" s="7">
        <f>$B3 * IFERROR(VLOOKUP("electricity|NOx|Infant mortality", US_national_yearly!$D:$AM, 22, FALSE) / VLOOKUP("electricity|NOx|Infant mortality", US_national_yearly!$D:$AM, 10, FALSE), 1)</f>
        <v>6.0003306886657899E-8</v>
      </c>
      <c r="O3" s="7">
        <f>$B3 * IFERROR(VLOOKUP("electricity|NOx|Infant mortality", US_national_yearly!$D:$AM, 23, FALSE) / VLOOKUP("electricity|NOx|Infant mortality", US_national_yearly!$D:$AM, 10, FALSE), 1)</f>
        <v>5.969767032896297E-8</v>
      </c>
      <c r="P3" s="7">
        <f>$B3 * IFERROR(VLOOKUP("electricity|NOx|Infant mortality", US_national_yearly!$D:$AM, 24, FALSE) / VLOOKUP("electricity|NOx|Infant mortality", US_national_yearly!$D:$AM, 10, FALSE), 1)</f>
        <v>5.9392033771268054E-8</v>
      </c>
      <c r="Q3" s="7">
        <f>$B3 * IFERROR(VLOOKUP("electricity|NOx|Infant mortality", US_national_yearly!$D:$AM, 25, FALSE) / VLOOKUP("electricity|NOx|Infant mortality", US_national_yearly!$D:$AM, 10, FALSE), 1)</f>
        <v>5.9086397213573132E-8</v>
      </c>
      <c r="R3" s="7">
        <f>$B3 * IFERROR(VLOOKUP("electricity|NOx|Infant mortality", US_national_yearly!$D:$AM, 26, FALSE) / VLOOKUP("electricity|NOx|Infant mortality", US_national_yearly!$D:$AM, 10, FALSE), 1)</f>
        <v>5.8780760655878223E-8</v>
      </c>
      <c r="S3" s="7">
        <f>$B3 * IFERROR(VLOOKUP("electricity|NOx|Infant mortality", US_national_yearly!$D:$AM, 27, FALSE) / VLOOKUP("electricity|NOx|Infant mortality", US_national_yearly!$D:$AM, 10, FALSE), 1)</f>
        <v>5.841791683697737E-8</v>
      </c>
      <c r="T3" s="7">
        <f>$B3 * IFERROR(VLOOKUP("electricity|NOx|Infant mortality", US_national_yearly!$D:$AM, 28, FALSE) / VLOOKUP("electricity|NOx|Infant mortality", US_national_yearly!$D:$AM, 10, FALSE), 1)</f>
        <v>5.8055073018076523E-8</v>
      </c>
      <c r="U3" s="7">
        <f>$B3 * IFERROR(VLOOKUP("electricity|NOx|Infant mortality", US_national_yearly!$D:$AM, 29, FALSE) / VLOOKUP("electricity|NOx|Infant mortality", US_national_yearly!$D:$AM, 10, FALSE), 1)</f>
        <v>5.769222919917569E-8</v>
      </c>
      <c r="V3" s="7">
        <f>$B3 * IFERROR(VLOOKUP("electricity|NOx|Infant mortality", US_national_yearly!$D:$AM, 30, FALSE) / VLOOKUP("electricity|NOx|Infant mortality", US_national_yearly!$D:$AM, 10, FALSE), 1)</f>
        <v>5.732938538027485E-8</v>
      </c>
      <c r="W3" s="7">
        <f>$B3 * IFERROR(VLOOKUP("electricity|NOx|Infant mortality", US_national_yearly!$D:$AM, 31, FALSE) / VLOOKUP("electricity|NOx|Infant mortality", US_national_yearly!$D:$AM, 10, FALSE), 1)</f>
        <v>5.6966541561374003E-8</v>
      </c>
      <c r="X3" s="7">
        <f>$B3 * IFERROR(VLOOKUP("electricity|NOx|Infant mortality", US_national_yearly!$D:$AM, 32, FALSE) / VLOOKUP("electricity|NOx|Infant mortality", US_national_yearly!$D:$AM, 10, FALSE), 1)</f>
        <v>5.6592930579969693E-8</v>
      </c>
      <c r="Y3" s="7">
        <f>$B3 * IFERROR(VLOOKUP("electricity|NOx|Infant mortality", US_national_yearly!$D:$AM, 33, FALSE) / VLOOKUP("electricity|NOx|Infant mortality", US_national_yearly!$D:$AM, 10, FALSE), 1)</f>
        <v>5.6219319598565389E-8</v>
      </c>
      <c r="Z3" s="7">
        <f>$B3 * IFERROR(VLOOKUP("electricity|NOx|Infant mortality", US_national_yearly!$D:$AM, 34, FALSE) / VLOOKUP("electricity|NOx|Infant mortality", US_national_yearly!$D:$AM, 10, FALSE), 1)</f>
        <v>5.5845708617161085E-8</v>
      </c>
      <c r="AA3" s="7">
        <f>$B3 * IFERROR(VLOOKUP("electricity|NOx|Infant mortality", US_national_yearly!$D:$AM, 35, FALSE) / VLOOKUP("electricity|NOx|Infant mortality", US_national_yearly!$D:$AM, 10, FALSE), 1)</f>
        <v>5.5472097635756781E-8</v>
      </c>
      <c r="AB3" s="7">
        <f>$B3 * IFERROR(VLOOKUP("electricity|NOx|Infant mortality", US_national_yearly!$D:$AM, 36, FALSE) / VLOOKUP("electricity|NOx|Infant mortality", US_national_yearly!$D:$AM, 10, FALSE), 1)</f>
        <v>5.5098486654352464E-8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1.86738506168902E-4</v>
      </c>
      <c r="C6" s="7">
        <f>$B6 * IFERROR(VLOOKUP("electricity|NOx|Asthma symptoms cough", US_national_yearly!$D:$AM, 11, FALSE) / VLOOKUP("electricity|NOx|Asthma symptoms cough", US_national_yearly!$D:$AM, 10, FALSE), 1)</f>
        <v>1.8930218887736313E-4</v>
      </c>
      <c r="D6" s="7">
        <f>$B6 * IFERROR(VLOOKUP("electricity|NOx|Asthma symptoms cough", US_national_yearly!$D:$AM, 12, FALSE) / VLOOKUP("electricity|NOx|Asthma symptoms cough", US_national_yearly!$D:$AM, 10, FALSE), 1)</f>
        <v>1.9186587158582429E-4</v>
      </c>
      <c r="E6" s="7">
        <f>$B6 * IFERROR(VLOOKUP("electricity|NOx|Asthma symptoms cough", US_national_yearly!$D:$AM, 13, FALSE) / VLOOKUP("electricity|NOx|Asthma symptoms cough", US_national_yearly!$D:$AM, 10, FALSE), 1)</f>
        <v>1.9442955429428542E-4</v>
      </c>
      <c r="F6" s="7">
        <f>$B6 * IFERROR(VLOOKUP("electricity|NOx|Asthma symptoms cough", US_national_yearly!$D:$AM, 14, FALSE) / VLOOKUP("electricity|NOx|Asthma symptoms cough", US_national_yearly!$D:$AM, 10, FALSE), 1)</f>
        <v>1.9699323700274655E-4</v>
      </c>
      <c r="G6" s="7">
        <f>$B6 * IFERROR(VLOOKUP("electricity|NOx|Asthma symptoms cough", US_national_yearly!$D:$AM, 15, FALSE) / VLOOKUP("electricity|NOx|Asthma symptoms cough", US_national_yearly!$D:$AM, 10, FALSE), 1)</f>
        <v>1.9907764697692674E-4</v>
      </c>
      <c r="H6" s="7">
        <f>$B6 * IFERROR(VLOOKUP("electricity|NOx|Asthma symptoms cough", US_national_yearly!$D:$AM, 16, FALSE) / VLOOKUP("electricity|NOx|Asthma symptoms cough", US_national_yearly!$D:$AM, 10, FALSE), 1)</f>
        <v>2.0116205695110693E-4</v>
      </c>
      <c r="I6" s="7">
        <f>$B6 * IFERROR(VLOOKUP("electricity|NOx|Asthma symptoms cough", US_national_yearly!$D:$AM, 17, FALSE) / VLOOKUP("electricity|NOx|Asthma symptoms cough", US_national_yearly!$D:$AM, 10, FALSE), 1)</f>
        <v>2.0193691143465914E-4</v>
      </c>
      <c r="J6" s="7">
        <f>$B6 * IFERROR(VLOOKUP("electricity|NOx|Asthma symptoms cough", US_national_yearly!$D:$AM, 18, FALSE) / VLOOKUP("electricity|NOx|Asthma symptoms cough", US_national_yearly!$D:$AM, 10, FALSE), 1)</f>
        <v>2.0271176591821135E-4</v>
      </c>
      <c r="K6" s="7">
        <f>$B6 * IFERROR(VLOOKUP("electricity|NOx|Asthma symptoms cough", US_national_yearly!$D:$AM, 19, FALSE) / VLOOKUP("electricity|NOx|Asthma symptoms cough", US_national_yearly!$D:$AM, 10, FALSE), 1)</f>
        <v>2.0348662040176361E-4</v>
      </c>
      <c r="L6" s="7">
        <f>$B6 * IFERROR(VLOOKUP("electricity|NOx|Asthma symptoms cough", US_national_yearly!$D:$AM, 20, FALSE) / VLOOKUP("electricity|NOx|Asthma symptoms cough", US_national_yearly!$D:$AM, 10, FALSE), 1)</f>
        <v>2.0426147488531582E-4</v>
      </c>
      <c r="M6" s="7">
        <f>$B6 * IFERROR(VLOOKUP("electricity|NOx|Asthma symptoms cough", US_national_yearly!$D:$AM, 21, FALSE) / VLOOKUP("electricity|NOx|Asthma symptoms cough", US_national_yearly!$D:$AM, 10, FALSE), 1)</f>
        <v>2.0503632936886806E-4</v>
      </c>
      <c r="N6" s="7">
        <f>$B6 * IFERROR(VLOOKUP("electricity|NOx|Asthma symptoms cough", US_national_yearly!$D:$AM, 22, FALSE) / VLOOKUP("electricity|NOx|Asthma symptoms cough", US_national_yearly!$D:$AM, 10, FALSE), 1)</f>
        <v>2.0589486168247291E-4</v>
      </c>
      <c r="O6" s="7">
        <f>$B6 * IFERROR(VLOOKUP("electricity|NOx|Asthma symptoms cough", US_national_yearly!$D:$AM, 23, FALSE) / VLOOKUP("electricity|NOx|Asthma symptoms cough", US_national_yearly!$D:$AM, 10, FALSE), 1)</f>
        <v>2.0675339399607782E-4</v>
      </c>
      <c r="P6" s="7">
        <f>$B6 * IFERROR(VLOOKUP("electricity|NOx|Asthma symptoms cough", US_national_yearly!$D:$AM, 24, FALSE) / VLOOKUP("electricity|NOx|Asthma symptoms cough", US_national_yearly!$D:$AM, 10, FALSE), 1)</f>
        <v>2.0761192630968267E-4</v>
      </c>
      <c r="Q6" s="7">
        <f>$B6 * IFERROR(VLOOKUP("electricity|NOx|Asthma symptoms cough", US_national_yearly!$D:$AM, 25, FALSE) / VLOOKUP("electricity|NOx|Asthma symptoms cough", US_national_yearly!$D:$AM, 10, FALSE), 1)</f>
        <v>2.0847045862328756E-4</v>
      </c>
      <c r="R6" s="7">
        <f>$B6 * IFERROR(VLOOKUP("electricity|NOx|Asthma symptoms cough", US_national_yearly!$D:$AM, 26, FALSE) / VLOOKUP("electricity|NOx|Asthma symptoms cough", US_national_yearly!$D:$AM, 10, FALSE), 1)</f>
        <v>2.0932899093689241E-4</v>
      </c>
      <c r="S6" s="7">
        <f>$B6 * IFERROR(VLOOKUP("electricity|NOx|Asthma symptoms cough", US_national_yearly!$D:$AM, 27, FALSE) / VLOOKUP("electricity|NOx|Asthma symptoms cough", US_national_yearly!$D:$AM, 10, FALSE), 1)</f>
        <v>2.1040008905855197E-4</v>
      </c>
      <c r="T6" s="7">
        <f>$B6 * IFERROR(VLOOKUP("electricity|NOx|Asthma symptoms cough", US_national_yearly!$D:$AM, 28, FALSE) / VLOOKUP("electricity|NOx|Asthma symptoms cough", US_national_yearly!$D:$AM, 10, FALSE), 1)</f>
        <v>2.1147118718021151E-4</v>
      </c>
      <c r="U6" s="7">
        <f>$B6 * IFERROR(VLOOKUP("electricity|NOx|Asthma symptoms cough", US_national_yearly!$D:$AM, 29, FALSE) / VLOOKUP("electricity|NOx|Asthma symptoms cough", US_national_yearly!$D:$AM, 10, FALSE), 1)</f>
        <v>2.125422853018711E-4</v>
      </c>
      <c r="V6" s="7">
        <f>$B6 * IFERROR(VLOOKUP("electricity|NOx|Asthma symptoms cough", US_national_yearly!$D:$AM, 30, FALSE) / VLOOKUP("electricity|NOx|Asthma symptoms cough", US_national_yearly!$D:$AM, 10, FALSE), 1)</f>
        <v>2.1361338342353064E-4</v>
      </c>
      <c r="W6" s="7">
        <f>$B6 * IFERROR(VLOOKUP("electricity|NOx|Asthma symptoms cough", US_national_yearly!$D:$AM, 31, FALSE) / VLOOKUP("electricity|NOx|Asthma symptoms cough", US_national_yearly!$D:$AM, 10, FALSE), 1)</f>
        <v>2.146844815451902E-4</v>
      </c>
      <c r="X6" s="7">
        <f>$B6 * IFERROR(VLOOKUP("electricity|NOx|Asthma symptoms cough", US_national_yearly!$D:$AM, 32, FALSE) / VLOOKUP("electricity|NOx|Asthma symptoms cough", US_national_yearly!$D:$AM, 10, FALSE), 1)</f>
        <v>2.1567129139444226E-4</v>
      </c>
      <c r="Y6" s="7">
        <f>$B6 * IFERROR(VLOOKUP("electricity|NOx|Asthma symptoms cough", US_national_yearly!$D:$AM, 33, FALSE) / VLOOKUP("electricity|NOx|Asthma symptoms cough", US_national_yearly!$D:$AM, 10, FALSE), 1)</f>
        <v>2.1665810124369433E-4</v>
      </c>
      <c r="Z6" s="7">
        <f>$B6 * IFERROR(VLOOKUP("electricity|NOx|Asthma symptoms cough", US_national_yearly!$D:$AM, 34, FALSE) / VLOOKUP("electricity|NOx|Asthma symptoms cough", US_national_yearly!$D:$AM, 10, FALSE), 1)</f>
        <v>2.1764491109294641E-4</v>
      </c>
      <c r="AA6" s="7">
        <f>$B6 * IFERROR(VLOOKUP("electricity|NOx|Asthma symptoms cough", US_national_yearly!$D:$AM, 35, FALSE) / VLOOKUP("electricity|NOx|Asthma symptoms cough", US_national_yearly!$D:$AM, 10, FALSE), 1)</f>
        <v>2.1863172094219844E-4</v>
      </c>
      <c r="AB6" s="7">
        <f>$B6 * IFERROR(VLOOKUP("electricity|NOx|Asthma symptoms cough", US_national_yearly!$D:$AM, 36, FALSE) / VLOOKUP("electricity|NOx|Asthma symptoms cough", US_national_yearly!$D:$AM, 10, FALSE), 1)</f>
        <v>2.1961853079145052E-4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2.5146730055108907E-4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2.5491962745564581E-4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2.583719543602026E-4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2.6182428126475939E-4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2.6527660816931612E-4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2.6808353298925355E-4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2.7089045780919098E-4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2.7193389854050944E-4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2.7297733927182779E-4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2.740207800031462E-4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2.7506422073446456E-4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2.7610766146578296E-4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2.7726378510687614E-4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2.7841990874796942E-4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2.7957603238906259E-4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2.8073215603015582E-4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2.8188827967124899E-4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2.8333065038221546E-4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2.8477302109318183E-4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2.862153918041483E-4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2.8765776251511472E-4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2.8910013322608113E-4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2.9042899898937052E-4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2.9175786475265996E-4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2.9308673051594935E-4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2.9441559627923868E-4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2.9574446204252812E-4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3.8421080856613457E-4</v>
      </c>
      <c r="C8" s="7">
        <f>$B8 * IFERROR(VLOOKUP("electricity|NOx|Asthma symptoms wheeze", US_national_yearly!$D:$AM, 11, FALSE) / VLOOKUP("electricity|NOx|Asthma symptoms wheeze", US_national_yearly!$D:$AM, 10, FALSE), 1)</f>
        <v>3.8948553538213637E-4</v>
      </c>
      <c r="D8" s="7">
        <f>$B8 * IFERROR(VLOOKUP("electricity|NOx|Asthma symptoms wheeze", US_national_yearly!$D:$AM, 12, FALSE) / VLOOKUP("electricity|NOx|Asthma symptoms wheeze", US_national_yearly!$D:$AM, 10, FALSE), 1)</f>
        <v>3.9476026219813811E-4</v>
      </c>
      <c r="E8" s="7">
        <f>$B8 * IFERROR(VLOOKUP("electricity|NOx|Asthma symptoms wheeze", US_national_yearly!$D:$AM, 13, FALSE) / VLOOKUP("electricity|NOx|Asthma symptoms wheeze", US_national_yearly!$D:$AM, 10, FALSE), 1)</f>
        <v>4.0003498901413991E-4</v>
      </c>
      <c r="F8" s="7">
        <f>$B8 * IFERROR(VLOOKUP("electricity|NOx|Asthma symptoms wheeze", US_national_yearly!$D:$AM, 14, FALSE) / VLOOKUP("electricity|NOx|Asthma symptoms wheeze", US_national_yearly!$D:$AM, 10, FALSE), 1)</f>
        <v>4.0530971583014176E-4</v>
      </c>
      <c r="G8" s="7">
        <f>$B8 * IFERROR(VLOOKUP("electricity|NOx|Asthma symptoms wheeze", US_national_yearly!$D:$AM, 15, FALSE) / VLOOKUP("electricity|NOx|Asthma symptoms wheeze", US_national_yearly!$D:$AM, 10, FALSE), 1)</f>
        <v>4.0959834840843324E-4</v>
      </c>
      <c r="H8" s="7">
        <f>$B8 * IFERROR(VLOOKUP("electricity|NOx|Asthma symptoms wheeze", US_national_yearly!$D:$AM, 16, FALSE) / VLOOKUP("electricity|NOx|Asthma symptoms wheeze", US_national_yearly!$D:$AM, 10, FALSE), 1)</f>
        <v>4.1388698098672477E-4</v>
      </c>
      <c r="I8" s="7">
        <f>$B8 * IFERROR(VLOOKUP("electricity|NOx|Asthma symptoms wheeze", US_national_yearly!$D:$AM, 17, FALSE) / VLOOKUP("electricity|NOx|Asthma symptoms wheeze", US_national_yearly!$D:$AM, 10, FALSE), 1)</f>
        <v>4.1548122886415841E-4</v>
      </c>
      <c r="J8" s="7">
        <f>$B8 * IFERROR(VLOOKUP("electricity|NOx|Asthma symptoms wheeze", US_national_yearly!$D:$AM, 18, FALSE) / VLOOKUP("electricity|NOx|Asthma symptoms wheeze", US_national_yearly!$D:$AM, 10, FALSE), 1)</f>
        <v>4.1707547674159205E-4</v>
      </c>
      <c r="K8" s="7">
        <f>$B8 * IFERROR(VLOOKUP("electricity|NOx|Asthma symptoms wheeze", US_national_yearly!$D:$AM, 19, FALSE) / VLOOKUP("electricity|NOx|Asthma symptoms wheeze", US_national_yearly!$D:$AM, 10, FALSE), 1)</f>
        <v>4.1866972461902585E-4</v>
      </c>
      <c r="L8" s="7">
        <f>$B8 * IFERROR(VLOOKUP("electricity|NOx|Asthma symptoms wheeze", US_national_yearly!$D:$AM, 20, FALSE) / VLOOKUP("electricity|NOx|Asthma symptoms wheeze", US_national_yearly!$D:$AM, 10, FALSE), 1)</f>
        <v>4.2026397249645949E-4</v>
      </c>
      <c r="M8" s="7">
        <f>$B8 * IFERROR(VLOOKUP("electricity|NOx|Asthma symptoms wheeze", US_national_yearly!$D:$AM, 21, FALSE) / VLOOKUP("electricity|NOx|Asthma symptoms wheeze", US_national_yearly!$D:$AM, 10, FALSE), 1)</f>
        <v>4.2185822037389312E-4</v>
      </c>
      <c r="N8" s="7">
        <f>$B8 * IFERROR(VLOOKUP("electricity|NOx|Asthma symptoms wheeze", US_national_yearly!$D:$AM, 22, FALSE) / VLOOKUP("electricity|NOx|Asthma symptoms wheeze", US_national_yearly!$D:$AM, 10, FALSE), 1)</f>
        <v>4.2362463374295904E-4</v>
      </c>
      <c r="O8" s="7">
        <f>$B8 * IFERROR(VLOOKUP("electricity|NOx|Asthma symptoms wheeze", US_national_yearly!$D:$AM, 23, FALSE) / VLOOKUP("electricity|NOx|Asthma symptoms wheeze", US_national_yearly!$D:$AM, 10, FALSE), 1)</f>
        <v>4.2539104711202495E-4</v>
      </c>
      <c r="P8" s="7">
        <f>$B8 * IFERROR(VLOOKUP("electricity|NOx|Asthma symptoms wheeze", US_national_yearly!$D:$AM, 24, FALSE) / VLOOKUP("electricity|NOx|Asthma symptoms wheeze", US_national_yearly!$D:$AM, 10, FALSE), 1)</f>
        <v>4.2715746048109092E-4</v>
      </c>
      <c r="Q8" s="7">
        <f>$B8 * IFERROR(VLOOKUP("electricity|NOx|Asthma symptoms wheeze", US_national_yearly!$D:$AM, 25, FALSE) / VLOOKUP("electricity|NOx|Asthma symptoms wheeze", US_national_yearly!$D:$AM, 10, FALSE), 1)</f>
        <v>4.2892387385015679E-4</v>
      </c>
      <c r="R8" s="7">
        <f>$B8 * IFERROR(VLOOKUP("electricity|NOx|Asthma symptoms wheeze", US_national_yearly!$D:$AM, 26, FALSE) / VLOOKUP("electricity|NOx|Asthma symptoms wheeze", US_national_yearly!$D:$AM, 10, FALSE), 1)</f>
        <v>4.3069028721922265E-4</v>
      </c>
      <c r="S8" s="7">
        <f>$B8 * IFERROR(VLOOKUP("electricity|NOx|Asthma symptoms wheeze", US_national_yearly!$D:$AM, 27, FALSE) / VLOOKUP("electricity|NOx|Asthma symptoms wheeze", US_national_yearly!$D:$AM, 10, FALSE), 1)</f>
        <v>4.3289405056308027E-4</v>
      </c>
      <c r="T8" s="7">
        <f>$B8 * IFERROR(VLOOKUP("electricity|NOx|Asthma symptoms wheeze", US_national_yearly!$D:$AM, 28, FALSE) / VLOOKUP("electricity|NOx|Asthma symptoms wheeze", US_national_yearly!$D:$AM, 10, FALSE), 1)</f>
        <v>4.3509781390693784E-4</v>
      </c>
      <c r="U8" s="7">
        <f>$B8 * IFERROR(VLOOKUP("electricity|NOx|Asthma symptoms wheeze", US_national_yearly!$D:$AM, 29, FALSE) / VLOOKUP("electricity|NOx|Asthma symptoms wheeze", US_national_yearly!$D:$AM, 10, FALSE), 1)</f>
        <v>4.3730157725079536E-4</v>
      </c>
      <c r="V8" s="7">
        <f>$B8 * IFERROR(VLOOKUP("electricity|NOx|Asthma symptoms wheeze", US_national_yearly!$D:$AM, 30, FALSE) / VLOOKUP("electricity|NOx|Asthma symptoms wheeze", US_national_yearly!$D:$AM, 10, FALSE), 1)</f>
        <v>4.3950534059465299E-4</v>
      </c>
      <c r="W8" s="7">
        <f>$B8 * IFERROR(VLOOKUP("electricity|NOx|Asthma symptoms wheeze", US_national_yearly!$D:$AM, 31, FALSE) / VLOOKUP("electricity|NOx|Asthma symptoms wheeze", US_national_yearly!$D:$AM, 10, FALSE), 1)</f>
        <v>4.4170910393851061E-4</v>
      </c>
      <c r="X8" s="7">
        <f>$B8 * IFERROR(VLOOKUP("electricity|NOx|Asthma symptoms wheeze", US_national_yearly!$D:$AM, 32, FALSE) / VLOOKUP("electricity|NOx|Asthma symptoms wheeze", US_national_yearly!$D:$AM, 10, FALSE), 1)</f>
        <v>4.4373944581737527E-4</v>
      </c>
      <c r="Y8" s="7">
        <f>$B8 * IFERROR(VLOOKUP("electricity|NOx|Asthma symptoms wheeze", US_national_yearly!$D:$AM, 33, FALSE) / VLOOKUP("electricity|NOx|Asthma symptoms wheeze", US_national_yearly!$D:$AM, 10, FALSE), 1)</f>
        <v>4.457697876962401E-4</v>
      </c>
      <c r="Z8" s="7">
        <f>$B8 * IFERROR(VLOOKUP("electricity|NOx|Asthma symptoms wheeze", US_national_yearly!$D:$AM, 34, FALSE) / VLOOKUP("electricity|NOx|Asthma symptoms wheeze", US_national_yearly!$D:$AM, 10, FALSE), 1)</f>
        <v>4.478001295751047E-4</v>
      </c>
      <c r="AA8" s="7">
        <f>$B8 * IFERROR(VLOOKUP("electricity|NOx|Asthma symptoms wheeze", US_national_yearly!$D:$AM, 35, FALSE) / VLOOKUP("electricity|NOx|Asthma symptoms wheeze", US_national_yearly!$D:$AM, 10, FALSE), 1)</f>
        <v>4.4983047145396947E-4</v>
      </c>
      <c r="AB8" s="7">
        <f>$B8 * IFERROR(VLOOKUP("electricity|NOx|Asthma symptoms wheeze", US_national_yearly!$D:$AM, 36, FALSE) / VLOOKUP("electricity|NOx|Asthma symptoms wheeze", US_national_yearly!$D:$AM, 10, FALSE), 1)</f>
        <v>4.5186081333283419E-4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4.8577435751827705E-6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4.9821585017270842E-6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5.1065734282713988E-6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5.2309883548157125E-6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5.3554032813600254E-6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5.4751718435020798E-6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5.5949404056441359E-6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5.6979315159207758E-6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5.8009226261974149E-6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5.9039137364740566E-6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6.0069048467506957E-6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6.1098959570273365E-6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6.1804770581687289E-6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6.2510581593101222E-6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6.3216392604515154E-6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6.3922203615929087E-6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6.4628014627343011E-6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6.5029996515966542E-6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6.5431978404590072E-6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6.5833960293213586E-6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6.6235942181837117E-6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6.6637924070460639E-6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6.6930303825464349E-6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6.7222683580468051E-6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6.7515063335471778E-6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6.7807443090475489E-6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6.8099822845479191E-6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5.0024817499430544E-5</v>
      </c>
      <c r="C13" s="7">
        <f>$B13 * IFERROR(VLOOKUP("electricity|NOx|Non-fatal heart attacks", US_national_yearly!$D:$AM, 11, FALSE) / VLOOKUP("electricity|NOx|Non-fatal heart attacks", US_national_yearly!$D:$AM, 10, FALSE), 1)</f>
        <v>5.1460391945820091E-5</v>
      </c>
      <c r="D13" s="7">
        <f>$B13 * IFERROR(VLOOKUP("electricity|NOx|Non-fatal heart attacks", US_national_yearly!$D:$AM, 12, FALSE) / VLOOKUP("electricity|NOx|Non-fatal heart attacks", US_national_yearly!$D:$AM, 10, FALSE), 1)</f>
        <v>5.2895966392209638E-5</v>
      </c>
      <c r="E13" s="7">
        <f>$B13 * IFERROR(VLOOKUP("electricity|NOx|Non-fatal heart attacks", US_national_yearly!$D:$AM, 13, FALSE) / VLOOKUP("electricity|NOx|Non-fatal heart attacks", US_national_yearly!$D:$AM, 10, FALSE), 1)</f>
        <v>5.4331540838599185E-5</v>
      </c>
      <c r="F13" s="7">
        <f>$B13 * IFERROR(VLOOKUP("electricity|NOx|Non-fatal heart attacks", US_national_yearly!$D:$AM, 14, FALSE) / VLOOKUP("electricity|NOx|Non-fatal heart attacks", US_national_yearly!$D:$AM, 10, FALSE), 1)</f>
        <v>5.5767115284988746E-5</v>
      </c>
      <c r="G13" s="7">
        <f>$B13 * IFERROR(VLOOKUP("electricity|NOx|Non-fatal heart attacks", US_national_yearly!$D:$AM, 15, FALSE) / VLOOKUP("electricity|NOx|Non-fatal heart attacks", US_national_yearly!$D:$AM, 10, FALSE), 1)</f>
        <v>5.711948149410438E-5</v>
      </c>
      <c r="H13" s="7">
        <f>$B13 * IFERROR(VLOOKUP("electricity|NOx|Non-fatal heart attacks", US_national_yearly!$D:$AM, 16, FALSE) / VLOOKUP("electricity|NOx|Non-fatal heart attacks", US_national_yearly!$D:$AM, 10, FALSE), 1)</f>
        <v>5.8471847703220021E-5</v>
      </c>
      <c r="I13" s="7">
        <f>$B13 * IFERROR(VLOOKUP("electricity|NOx|Non-fatal heart attacks", US_national_yearly!$D:$AM, 17, FALSE) / VLOOKUP("electricity|NOx|Non-fatal heart attacks", US_national_yearly!$D:$AM, 10, FALSE), 1)</f>
        <v>5.9556308584967689E-5</v>
      </c>
      <c r="J13" s="7">
        <f>$B13 * IFERROR(VLOOKUP("electricity|NOx|Non-fatal heart attacks", US_national_yearly!$D:$AM, 18, FALSE) / VLOOKUP("electricity|NOx|Non-fatal heart attacks", US_national_yearly!$D:$AM, 10, FALSE), 1)</f>
        <v>6.0640769466715363E-5</v>
      </c>
      <c r="K13" s="7">
        <f>$B13 * IFERROR(VLOOKUP("electricity|NOx|Non-fatal heart attacks", US_national_yearly!$D:$AM, 19, FALSE) / VLOOKUP("electricity|NOx|Non-fatal heart attacks", US_national_yearly!$D:$AM, 10, FALSE), 1)</f>
        <v>6.1725230348462983E-5</v>
      </c>
      <c r="L13" s="7">
        <f>$B13 * IFERROR(VLOOKUP("electricity|NOx|Non-fatal heart attacks", US_national_yearly!$D:$AM, 20, FALSE) / VLOOKUP("electricity|NOx|Non-fatal heart attacks", US_national_yearly!$D:$AM, 10, FALSE), 1)</f>
        <v>6.2809691230210658E-5</v>
      </c>
      <c r="M13" s="7">
        <f>$B13 * IFERROR(VLOOKUP("electricity|NOx|Non-fatal heart attacks", US_national_yearly!$D:$AM, 21, FALSE) / VLOOKUP("electricity|NOx|Non-fatal heart attacks", US_national_yearly!$D:$AM, 10, FALSE), 1)</f>
        <v>6.3894152111958332E-5</v>
      </c>
      <c r="N13" s="7">
        <f>$B13 * IFERROR(VLOOKUP("electricity|NOx|Non-fatal heart attacks", US_national_yearly!$D:$AM, 22, FALSE) / VLOOKUP("electricity|NOx|Non-fatal heart attacks", US_national_yearly!$D:$AM, 10, FALSE), 1)</f>
        <v>6.4562961670062386E-5</v>
      </c>
      <c r="O13" s="7">
        <f>$B13 * IFERROR(VLOOKUP("electricity|NOx|Non-fatal heart attacks", US_national_yearly!$D:$AM, 23, FALSE) / VLOOKUP("electricity|NOx|Non-fatal heart attacks", US_national_yearly!$D:$AM, 10, FALSE), 1)</f>
        <v>6.5231771228166453E-5</v>
      </c>
      <c r="P13" s="7">
        <f>$B13 * IFERROR(VLOOKUP("electricity|NOx|Non-fatal heart attacks", US_national_yearly!$D:$AM, 24, FALSE) / VLOOKUP("electricity|NOx|Non-fatal heart attacks", US_national_yearly!$D:$AM, 10, FALSE), 1)</f>
        <v>6.5900580786270506E-5</v>
      </c>
      <c r="Q13" s="7">
        <f>$B13 * IFERROR(VLOOKUP("electricity|NOx|Non-fatal heart attacks", US_national_yearly!$D:$AM, 25, FALSE) / VLOOKUP("electricity|NOx|Non-fatal heart attacks", US_national_yearly!$D:$AM, 10, FALSE), 1)</f>
        <v>6.6569390344374559E-5</v>
      </c>
      <c r="R13" s="7">
        <f>$B13 * IFERROR(VLOOKUP("electricity|NOx|Non-fatal heart attacks", US_national_yearly!$D:$AM, 26, FALSE) / VLOOKUP("electricity|NOx|Non-fatal heart attacks", US_national_yearly!$D:$AM, 10, FALSE), 1)</f>
        <v>6.7238199902478613E-5</v>
      </c>
      <c r="S13" s="7">
        <f>$B13 * IFERROR(VLOOKUP("electricity|NOx|Non-fatal heart attacks", US_national_yearly!$D:$AM, 27, FALSE) / VLOOKUP("electricity|NOx|Non-fatal heart attacks", US_national_yearly!$D:$AM, 10, FALSE), 1)</f>
        <v>6.7564978024417779E-5</v>
      </c>
      <c r="T13" s="7">
        <f>$B13 * IFERROR(VLOOKUP("electricity|NOx|Non-fatal heart attacks", US_national_yearly!$D:$AM, 28, FALSE) / VLOOKUP("electricity|NOx|Non-fatal heart attacks", US_national_yearly!$D:$AM, 10, FALSE), 1)</f>
        <v>6.7891756146356931E-5</v>
      </c>
      <c r="U13" s="7">
        <f>$B13 * IFERROR(VLOOKUP("electricity|NOx|Non-fatal heart attacks", US_national_yearly!$D:$AM, 29, FALSE) / VLOOKUP("electricity|NOx|Non-fatal heart attacks", US_national_yearly!$D:$AM, 10, FALSE), 1)</f>
        <v>6.8218534268296111E-5</v>
      </c>
      <c r="V13" s="7">
        <f>$B13 * IFERROR(VLOOKUP("electricity|NOx|Non-fatal heart attacks", US_national_yearly!$D:$AM, 30, FALSE) / VLOOKUP("electricity|NOx|Non-fatal heart attacks", US_national_yearly!$D:$AM, 10, FALSE), 1)</f>
        <v>6.8545312390235264E-5</v>
      </c>
      <c r="W13" s="7">
        <f>$B13 * IFERROR(VLOOKUP("electricity|NOx|Non-fatal heart attacks", US_national_yearly!$D:$AM, 31, FALSE) / VLOOKUP("electricity|NOx|Non-fatal heart attacks", US_national_yearly!$D:$AM, 10, FALSE), 1)</f>
        <v>6.8872090512174443E-5</v>
      </c>
      <c r="X13" s="7">
        <f>$B13 * IFERROR(VLOOKUP("electricity|NOx|Non-fatal heart attacks", US_national_yearly!$D:$AM, 32, FALSE) / VLOOKUP("electricity|NOx|Non-fatal heart attacks", US_national_yearly!$D:$AM, 10, FALSE), 1)</f>
        <v>6.9100172957117933E-5</v>
      </c>
      <c r="Y13" s="7">
        <f>$B13 * IFERROR(VLOOKUP("electricity|NOx|Non-fatal heart attacks", US_national_yearly!$D:$AM, 33, FALSE) / VLOOKUP("electricity|NOx|Non-fatal heart attacks", US_national_yearly!$D:$AM, 10, FALSE), 1)</f>
        <v>6.9328255402061449E-5</v>
      </c>
      <c r="Z13" s="7">
        <f>$B13 * IFERROR(VLOOKUP("electricity|NOx|Non-fatal heart attacks", US_national_yearly!$D:$AM, 34, FALSE) / VLOOKUP("electricity|NOx|Non-fatal heart attacks", US_national_yearly!$D:$AM, 10, FALSE), 1)</f>
        <v>6.9556337847004939E-5</v>
      </c>
      <c r="AA13" s="7">
        <f>$B13 * IFERROR(VLOOKUP("electricity|NOx|Non-fatal heart attacks", US_national_yearly!$D:$AM, 35, FALSE) / VLOOKUP("electricity|NOx|Non-fatal heart attacks", US_national_yearly!$D:$AM, 10, FALSE), 1)</f>
        <v>6.9784420291948428E-5</v>
      </c>
      <c r="AB13" s="7">
        <f>$B13 * IFERROR(VLOOKUP("electricity|NOx|Non-fatal heart attacks", US_national_yearly!$D:$AM, 36, FALSE) / VLOOKUP("electricity|NOx|Non-fatal heart attacks", US_national_yearly!$D:$AM, 10, FALSE), 1)</f>
        <v>7.0012502736891931E-5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2.1255493282446369E-2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2.1288082594580333E-2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2.13206719067143E-2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2.1353261218848264E-2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2.1385850530982235E-2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2.1442697679928516E-2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2.1499544828874794E-2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2.1612016528087641E-2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2.1724488227300481E-2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2.1836959926513327E-2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2.1949431625726167E-2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2.2061903324939014E-2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2.2224546851912691E-2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2.2387190378886361E-2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2.2549833905860035E-2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2.2712477432833708E-2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2.2875120959807385E-2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2.303899444957011E-2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2.3202867939332832E-2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2.3366741429095561E-2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2.3530614918858286E-2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2.3694488408621008E-2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2.3833076816704633E-2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2.3971665224788243E-2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2.4110253632871885E-2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2.4248842040955506E-2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2.4387430449039123E-2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3.6093355484359741E-3</v>
      </c>
      <c r="C15" s="7">
        <f>$B15 * IFERROR(VLOOKUP("electricity|NOx|Work loss days", US_national_yearly!$D:$AM, 11, FALSE) / VLOOKUP("electricity|NOx|Work loss days", US_national_yearly!$D:$AM, 10, FALSE), 1)</f>
        <v>3.6173856566868185E-3</v>
      </c>
      <c r="D15" s="7">
        <f>$B15 * IFERROR(VLOOKUP("electricity|NOx|Work loss days", US_national_yearly!$D:$AM, 12, FALSE) / VLOOKUP("electricity|NOx|Work loss days", US_national_yearly!$D:$AM, 10, FALSE), 1)</f>
        <v>3.6254357649376629E-3</v>
      </c>
      <c r="E15" s="7">
        <f>$B15 * IFERROR(VLOOKUP("electricity|NOx|Work loss days", US_national_yearly!$D:$AM, 13, FALSE) / VLOOKUP("electricity|NOx|Work loss days", US_national_yearly!$D:$AM, 10, FALSE), 1)</f>
        <v>3.6334858731885073E-3</v>
      </c>
      <c r="F15" s="7">
        <f>$B15 * IFERROR(VLOOKUP("electricity|NOx|Work loss days", US_national_yearly!$D:$AM, 14, FALSE) / VLOOKUP("electricity|NOx|Work loss days", US_national_yearly!$D:$AM, 10, FALSE), 1)</f>
        <v>3.6415359814393517E-3</v>
      </c>
      <c r="G15" s="7">
        <f>$B15 * IFERROR(VLOOKUP("electricity|NOx|Work loss days", US_national_yearly!$D:$AM, 15, FALSE) / VLOOKUP("electricity|NOx|Work loss days", US_national_yearly!$D:$AM, 10, FALSE), 1)</f>
        <v>3.6528847886514912E-3</v>
      </c>
      <c r="H15" s="7">
        <f>$B15 * IFERROR(VLOOKUP("electricity|NOx|Work loss days", US_national_yearly!$D:$AM, 16, FALSE) / VLOOKUP("electricity|NOx|Work loss days", US_national_yearly!$D:$AM, 10, FALSE), 1)</f>
        <v>3.6642335958636304E-3</v>
      </c>
      <c r="I15" s="7">
        <f>$B15 * IFERROR(VLOOKUP("electricity|NOx|Work loss days", US_national_yearly!$D:$AM, 17, FALSE) / VLOOKUP("electricity|NOx|Work loss days", US_national_yearly!$D:$AM, 10, FALSE), 1)</f>
        <v>3.6826610122167986E-3</v>
      </c>
      <c r="J15" s="7">
        <f>$B15 * IFERROR(VLOOKUP("electricity|NOx|Work loss days", US_national_yearly!$D:$AM, 18, FALSE) / VLOOKUP("electricity|NOx|Work loss days", US_national_yearly!$D:$AM, 10, FALSE), 1)</f>
        <v>3.7010884285699668E-3</v>
      </c>
      <c r="K15" s="7">
        <f>$B15 * IFERROR(VLOOKUP("electricity|NOx|Work loss days", US_national_yearly!$D:$AM, 19, FALSE) / VLOOKUP("electricity|NOx|Work loss days", US_national_yearly!$D:$AM, 10, FALSE), 1)</f>
        <v>3.7195158449231341E-3</v>
      </c>
      <c r="L15" s="7">
        <f>$B15 * IFERROR(VLOOKUP("electricity|NOx|Work loss days", US_national_yearly!$D:$AM, 20, FALSE) / VLOOKUP("electricity|NOx|Work loss days", US_national_yearly!$D:$AM, 10, FALSE), 1)</f>
        <v>3.7379432612763019E-3</v>
      </c>
      <c r="M15" s="7">
        <f>$B15 * IFERROR(VLOOKUP("electricity|NOx|Work loss days", US_national_yearly!$D:$AM, 21, FALSE) / VLOOKUP("electricity|NOx|Work loss days", US_national_yearly!$D:$AM, 10, FALSE), 1)</f>
        <v>3.7563706776294692E-3</v>
      </c>
      <c r="N15" s="7">
        <f>$B15 * IFERROR(VLOOKUP("electricity|NOx|Work loss days", US_national_yearly!$D:$AM, 22, FALSE) / VLOOKUP("electricity|NOx|Work loss days", US_national_yearly!$D:$AM, 10, FALSE), 1)</f>
        <v>3.7806832406690255E-3</v>
      </c>
      <c r="O15" s="7">
        <f>$B15 * IFERROR(VLOOKUP("electricity|NOx|Work loss days", US_national_yearly!$D:$AM, 23, FALSE) / VLOOKUP("electricity|NOx|Work loss days", US_national_yearly!$D:$AM, 10, FALSE), 1)</f>
        <v>3.8049958037085813E-3</v>
      </c>
      <c r="P15" s="7">
        <f>$B15 * IFERROR(VLOOKUP("electricity|NOx|Work loss days", US_national_yearly!$D:$AM, 24, FALSE) / VLOOKUP("electricity|NOx|Work loss days", US_national_yearly!$D:$AM, 10, FALSE), 1)</f>
        <v>3.829308366748138E-3</v>
      </c>
      <c r="Q15" s="7">
        <f>$B15 * IFERROR(VLOOKUP("electricity|NOx|Work loss days", US_national_yearly!$D:$AM, 25, FALSE) / VLOOKUP("electricity|NOx|Work loss days", US_national_yearly!$D:$AM, 10, FALSE), 1)</f>
        <v>3.8536209297876942E-3</v>
      </c>
      <c r="R15" s="7">
        <f>$B15 * IFERROR(VLOOKUP("electricity|NOx|Work loss days", US_national_yearly!$D:$AM, 26, FALSE) / VLOOKUP("electricity|NOx|Work loss days", US_national_yearly!$D:$AM, 10, FALSE), 1)</f>
        <v>3.8779334928272491E-3</v>
      </c>
      <c r="S15" s="7">
        <f>$B15 * IFERROR(VLOOKUP("electricity|NOx|Work loss days", US_national_yearly!$D:$AM, 27, FALSE) / VLOOKUP("electricity|NOx|Work loss days", US_national_yearly!$D:$AM, 10, FALSE), 1)</f>
        <v>3.9051788156782602E-3</v>
      </c>
      <c r="T15" s="7">
        <f>$B15 * IFERROR(VLOOKUP("electricity|NOx|Work loss days", US_national_yearly!$D:$AM, 28, FALSE) / VLOOKUP("electricity|NOx|Work loss days", US_national_yearly!$D:$AM, 10, FALSE), 1)</f>
        <v>3.9324241385292709E-3</v>
      </c>
      <c r="U15" s="7">
        <f>$B15 * IFERROR(VLOOKUP("electricity|NOx|Work loss days", US_national_yearly!$D:$AM, 29, FALSE) / VLOOKUP("electricity|NOx|Work loss days", US_national_yearly!$D:$AM, 10, FALSE), 1)</f>
        <v>3.9596694613802811E-3</v>
      </c>
      <c r="V15" s="7">
        <f>$B15 * IFERROR(VLOOKUP("electricity|NOx|Work loss days", US_national_yearly!$D:$AM, 30, FALSE) / VLOOKUP("electricity|NOx|Work loss days", US_national_yearly!$D:$AM, 10, FALSE), 1)</f>
        <v>3.9869147842312913E-3</v>
      </c>
      <c r="W15" s="7">
        <f>$B15 * IFERROR(VLOOKUP("electricity|NOx|Work loss days", US_national_yearly!$D:$AM, 31, FALSE) / VLOOKUP("electricity|NOx|Work loss days", US_national_yearly!$D:$AM, 10, FALSE), 1)</f>
        <v>4.0141601070823024E-3</v>
      </c>
      <c r="X15" s="7">
        <f>$B15 * IFERROR(VLOOKUP("electricity|NOx|Work loss days", US_national_yearly!$D:$AM, 32, FALSE) / VLOOKUP("electricity|NOx|Work loss days", US_national_yearly!$D:$AM, 10, FALSE), 1)</f>
        <v>4.0379099729742178E-3</v>
      </c>
      <c r="Y15" s="7">
        <f>$B15 * IFERROR(VLOOKUP("electricity|NOx|Work loss days", US_national_yearly!$D:$AM, 33, FALSE) / VLOOKUP("electricity|NOx|Work loss days", US_national_yearly!$D:$AM, 10, FALSE), 1)</f>
        <v>4.0616598388661324E-3</v>
      </c>
      <c r="Z15" s="7">
        <f>$B15 * IFERROR(VLOOKUP("electricity|NOx|Work loss days", US_national_yearly!$D:$AM, 34, FALSE) / VLOOKUP("electricity|NOx|Work loss days", US_national_yearly!$D:$AM, 10, FALSE), 1)</f>
        <v>4.085409704758047E-3</v>
      </c>
      <c r="AA15" s="7">
        <f>$B15 * IFERROR(VLOOKUP("electricity|NOx|Work loss days", US_national_yearly!$D:$AM, 35, FALSE) / VLOOKUP("electricity|NOx|Work loss days", US_national_yearly!$D:$AM, 10, FALSE), 1)</f>
        <v>4.1091595706499633E-3</v>
      </c>
      <c r="AB15" s="7">
        <f>$B15 * IFERROR(VLOOKUP("electricity|NOx|Work loss days", US_national_yearly!$D:$AM, 36, FALSE) / VLOOKUP("electricity|NOx|Work loss days", US_national_yearly!$D:$AM, 10, FALSE), 1)</f>
        <v>4.1329094365418779E-3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7.3946624191317143E-6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7.6124842791826438E-6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7.830306139233575E-6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8.0481279992845045E-6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8.2659498593354357E-6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8.474531202761061E-6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8.6831125461866881E-6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8.8611474302707135E-6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9.0391823143547406E-6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9.2172171984387677E-6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9.3952520825227948E-6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9.5732869666068202E-6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9.687544792274414E-6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9.8018026179420078E-6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9.9160604436095999E-6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1.0030318269277194E-5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1.0144576094944787E-5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1.020080438454373E-5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1.0257032674142675E-5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1.031326096374162E-5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1.0369489253340566E-5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1.0425717542939509E-5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1.0459417292650739E-5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1.0493117042361967E-5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1.0526816792073195E-5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1.0560516541784425E-5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1.0594216291495653E-5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6.7722147923124243E-5</v>
      </c>
      <c r="C2" s="7">
        <f>$B2 * IFERROR(VLOOKUP("electricity|SO2|Premature mortality", US_national_yearly!$D:$AM, 11, FALSE) / VLOOKUP("electricity|SO2|Premature mortality", US_national_yearly!$D:$AM, 10, FALSE), 1)</f>
        <v>6.859036148343923E-5</v>
      </c>
      <c r="D2" s="7">
        <f>$B2 * IFERROR(VLOOKUP("electricity|SO2|Premature mortality", US_national_yearly!$D:$AM, 12, FALSE) / VLOOKUP("electricity|SO2|Premature mortality", US_national_yearly!$D:$AM, 10, FALSE), 1)</f>
        <v>6.9458575043754189E-5</v>
      </c>
      <c r="E2" s="7">
        <f>$B2 * IFERROR(VLOOKUP("electricity|SO2|Premature mortality", US_national_yearly!$D:$AM, 13, FALSE) / VLOOKUP("electricity|SO2|Premature mortality", US_national_yearly!$D:$AM, 10, FALSE), 1)</f>
        <v>7.0326788604069176E-5</v>
      </c>
      <c r="F2" s="7">
        <f>$B2 * IFERROR(VLOOKUP("electricity|SO2|Premature mortality", US_national_yearly!$D:$AM, 14, FALSE) / VLOOKUP("electricity|SO2|Premature mortality", US_national_yearly!$D:$AM, 10, FALSE), 1)</f>
        <v>7.1195002164384135E-5</v>
      </c>
      <c r="G2" s="7">
        <f>$B2 * IFERROR(VLOOKUP("electricity|SO2|Premature mortality", US_national_yearly!$D:$AM, 15, FALSE) / VLOOKUP("electricity|SO2|Premature mortality", US_national_yearly!$D:$AM, 10, FALSE), 1)</f>
        <v>7.2867529718202278E-5</v>
      </c>
      <c r="H2" s="7">
        <f>$B2 * IFERROR(VLOOKUP("electricity|SO2|Premature mortality", US_national_yearly!$D:$AM, 16, FALSE) / VLOOKUP("electricity|SO2|Premature mortality", US_national_yearly!$D:$AM, 10, FALSE), 1)</f>
        <v>7.4540057272020406E-5</v>
      </c>
      <c r="I2" s="7">
        <f>$B2 * IFERROR(VLOOKUP("electricity|SO2|Premature mortality", US_national_yearly!$D:$AM, 17, FALSE) / VLOOKUP("electricity|SO2|Premature mortality", US_national_yearly!$D:$AM, 10, FALSE), 1)</f>
        <v>7.5665899319285018E-5</v>
      </c>
      <c r="J2" s="7">
        <f>$B2 * IFERROR(VLOOKUP("electricity|SO2|Premature mortality", US_national_yearly!$D:$AM, 18, FALSE) / VLOOKUP("electricity|SO2|Premature mortality", US_national_yearly!$D:$AM, 10, FALSE), 1)</f>
        <v>7.6791741366549629E-5</v>
      </c>
      <c r="K2" s="7">
        <f>$B2 * IFERROR(VLOOKUP("electricity|SO2|Premature mortality", US_national_yearly!$D:$AM, 19, FALSE) / VLOOKUP("electricity|SO2|Premature mortality", US_national_yearly!$D:$AM, 10, FALSE), 1)</f>
        <v>7.7917583413814227E-5</v>
      </c>
      <c r="L2" s="7">
        <f>$B2 * IFERROR(VLOOKUP("electricity|SO2|Premature mortality", US_national_yearly!$D:$AM, 20, FALSE) / VLOOKUP("electricity|SO2|Premature mortality", US_national_yearly!$D:$AM, 10, FALSE), 1)</f>
        <v>7.9043425461078852E-5</v>
      </c>
      <c r="M2" s="7">
        <f>$B2 * IFERROR(VLOOKUP("electricity|SO2|Premature mortality", US_national_yearly!$D:$AM, 21, FALSE) / VLOOKUP("electricity|SO2|Premature mortality", US_national_yearly!$D:$AM, 10, FALSE), 1)</f>
        <v>8.0169267508343437E-5</v>
      </c>
      <c r="N2" s="7">
        <f>$B2 * IFERROR(VLOOKUP("electricity|SO2|Premature mortality", US_national_yearly!$D:$AM, 22, FALSE) / VLOOKUP("electricity|SO2|Premature mortality", US_national_yearly!$D:$AM, 10, FALSE), 1)</f>
        <v>8.1071540174706421E-5</v>
      </c>
      <c r="O2" s="7">
        <f>$B2 * IFERROR(VLOOKUP("electricity|SO2|Premature mortality", US_national_yearly!$D:$AM, 23, FALSE) / VLOOKUP("electricity|SO2|Premature mortality", US_national_yearly!$D:$AM, 10, FALSE), 1)</f>
        <v>8.1973812841069419E-5</v>
      </c>
      <c r="P2" s="7">
        <f>$B2 * IFERROR(VLOOKUP("electricity|SO2|Premature mortality", US_national_yearly!$D:$AM, 24, FALSE) / VLOOKUP("electricity|SO2|Premature mortality", US_national_yearly!$D:$AM, 10, FALSE), 1)</f>
        <v>8.287608550743239E-5</v>
      </c>
      <c r="Q2" s="7">
        <f>$B2 * IFERROR(VLOOKUP("electricity|SO2|Premature mortality", US_national_yearly!$D:$AM, 25, FALSE) / VLOOKUP("electricity|SO2|Premature mortality", US_national_yearly!$D:$AM, 10, FALSE), 1)</f>
        <v>8.3778358173795375E-5</v>
      </c>
      <c r="R2" s="7">
        <f>$B2 * IFERROR(VLOOKUP("electricity|SO2|Premature mortality", US_national_yearly!$D:$AM, 26, FALSE) / VLOOKUP("electricity|SO2|Premature mortality", US_national_yearly!$D:$AM, 10, FALSE), 1)</f>
        <v>8.4680630840158359E-5</v>
      </c>
      <c r="S2" s="7">
        <f>$B2 * IFERROR(VLOOKUP("electricity|SO2|Premature mortality", US_national_yearly!$D:$AM, 27, FALSE) / VLOOKUP("electricity|SO2|Premature mortality", US_national_yearly!$D:$AM, 10, FALSE), 1)</f>
        <v>8.5197930114758804E-5</v>
      </c>
      <c r="T2" s="7">
        <f>$B2 * IFERROR(VLOOKUP("electricity|SO2|Premature mortality", US_national_yearly!$D:$AM, 28, FALSE) / VLOOKUP("electricity|SO2|Premature mortality", US_national_yearly!$D:$AM, 10, FALSE), 1)</f>
        <v>8.5715229389359262E-5</v>
      </c>
      <c r="U2" s="7">
        <f>$B2 * IFERROR(VLOOKUP("electricity|SO2|Premature mortality", US_national_yearly!$D:$AM, 29, FALSE) / VLOOKUP("electricity|SO2|Premature mortality", US_national_yearly!$D:$AM, 10, FALSE), 1)</f>
        <v>8.6232528663959706E-5</v>
      </c>
      <c r="V2" s="7">
        <f>$B2 * IFERROR(VLOOKUP("electricity|SO2|Premature mortality", US_national_yearly!$D:$AM, 30, FALSE) / VLOOKUP("electricity|SO2|Premature mortality", US_national_yearly!$D:$AM, 10, FALSE), 1)</f>
        <v>8.6749827938560164E-5</v>
      </c>
      <c r="W2" s="7">
        <f>$B2 * IFERROR(VLOOKUP("electricity|SO2|Premature mortality", US_national_yearly!$D:$AM, 31, FALSE) / VLOOKUP("electricity|SO2|Premature mortality", US_national_yearly!$D:$AM, 10, FALSE), 1)</f>
        <v>8.7267127213160609E-5</v>
      </c>
      <c r="X2" s="7">
        <f>$B2 * IFERROR(VLOOKUP("electricity|SO2|Premature mortality", US_national_yearly!$D:$AM, 32, FALSE) / VLOOKUP("electricity|SO2|Premature mortality", US_national_yearly!$D:$AM, 10, FALSE), 1)</f>
        <v>8.7419547203666261E-5</v>
      </c>
      <c r="Y2" s="7">
        <f>$B2 * IFERROR(VLOOKUP("electricity|SO2|Premature mortality", US_national_yearly!$D:$AM, 33, FALSE) / VLOOKUP("electricity|SO2|Premature mortality", US_national_yearly!$D:$AM, 10, FALSE), 1)</f>
        <v>8.7571967194171913E-5</v>
      </c>
      <c r="Z2" s="7">
        <f>$B2 * IFERROR(VLOOKUP("electricity|SO2|Premature mortality", US_national_yearly!$D:$AM, 34, FALSE) / VLOOKUP("electricity|SO2|Premature mortality", US_national_yearly!$D:$AM, 10, FALSE), 1)</f>
        <v>8.7724387184677551E-5</v>
      </c>
      <c r="AA2" s="7">
        <f>$B2 * IFERROR(VLOOKUP("electricity|SO2|Premature mortality", US_national_yearly!$D:$AM, 35, FALSE) / VLOOKUP("electricity|SO2|Premature mortality", US_national_yearly!$D:$AM, 10, FALSE), 1)</f>
        <v>8.7876807175183216E-5</v>
      </c>
      <c r="AB2" s="7">
        <f>$B2 * IFERROR(VLOOKUP("electricity|SO2|Premature mortality", US_national_yearly!$D:$AM, 36, FALSE) / VLOOKUP("electricity|SO2|Premature mortality", US_national_yearly!$D:$AM, 10, FALSE), 1)</f>
        <v>8.8029227165688855E-5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1.9193606940189203E-7</v>
      </c>
      <c r="C3" s="7">
        <f>$B3 * IFERROR(VLOOKUP("electricity|SO2|Infant mortality", US_national_yearly!$D:$AM, 11, FALSE) / VLOOKUP("electricity|SO2|Infant mortality", US_national_yearly!$D:$AM, 10, FALSE), 1)</f>
        <v>1.9031457455603392E-7</v>
      </c>
      <c r="D3" s="7">
        <f>$B3 * IFERROR(VLOOKUP("electricity|SO2|Infant mortality", US_national_yearly!$D:$AM, 12, FALSE) / VLOOKUP("electricity|SO2|Infant mortality", US_national_yearly!$D:$AM, 10, FALSE), 1)</f>
        <v>1.8869307971017577E-7</v>
      </c>
      <c r="E3" s="7">
        <f>$B3 * IFERROR(VLOOKUP("electricity|SO2|Infant mortality", US_national_yearly!$D:$AM, 13, FALSE) / VLOOKUP("electricity|SO2|Infant mortality", US_national_yearly!$D:$AM, 10, FALSE), 1)</f>
        <v>1.8707158486431766E-7</v>
      </c>
      <c r="F3" s="7">
        <f>$B3 * IFERROR(VLOOKUP("electricity|SO2|Infant mortality", US_national_yearly!$D:$AM, 14, FALSE) / VLOOKUP("electricity|SO2|Infant mortality", US_national_yearly!$D:$AM, 10, FALSE), 1)</f>
        <v>1.8545009001845957E-7</v>
      </c>
      <c r="G3" s="7">
        <f>$B3 * IFERROR(VLOOKUP("electricity|SO2|Infant mortality", US_national_yearly!$D:$AM, 15, FALSE) / VLOOKUP("electricity|SO2|Infant mortality", US_national_yearly!$D:$AM, 10, FALSE), 1)</f>
        <v>1.2333391641186077E-7</v>
      </c>
      <c r="H3" s="7">
        <f>$B3 * IFERROR(VLOOKUP("electricity|SO2|Infant mortality", US_national_yearly!$D:$AM, 16, FALSE) / VLOOKUP("electricity|SO2|Infant mortality", US_national_yearly!$D:$AM, 10, FALSE), 1)</f>
        <v>6.1217742805261971E-8</v>
      </c>
      <c r="I3" s="7">
        <f>$B3 * IFERROR(VLOOKUP("electricity|SO2|Infant mortality", US_national_yearly!$D:$AM, 17, FALSE) / VLOOKUP("electricity|SO2|Infant mortality", US_national_yearly!$D:$AM, 10, FALSE), 1)</f>
        <v>6.0826103480867812E-8</v>
      </c>
      <c r="J3" s="7">
        <f>$B3 * IFERROR(VLOOKUP("electricity|SO2|Infant mortality", US_national_yearly!$D:$AM, 18, FALSE) / VLOOKUP("electricity|SO2|Infant mortality", US_national_yearly!$D:$AM, 10, FALSE), 1)</f>
        <v>6.043446415647364E-8</v>
      </c>
      <c r="K3" s="7">
        <f>$B3 * IFERROR(VLOOKUP("electricity|SO2|Infant mortality", US_national_yearly!$D:$AM, 19, FALSE) / VLOOKUP("electricity|SO2|Infant mortality", US_national_yearly!$D:$AM, 10, FALSE), 1)</f>
        <v>6.0042824832079481E-8</v>
      </c>
      <c r="L3" s="7">
        <f>$B3 * IFERROR(VLOOKUP("electricity|SO2|Infant mortality", US_national_yearly!$D:$AM, 20, FALSE) / VLOOKUP("electricity|SO2|Infant mortality", US_national_yearly!$D:$AM, 10, FALSE), 1)</f>
        <v>5.9651185507685309E-8</v>
      </c>
      <c r="M3" s="7">
        <f>$B3 * IFERROR(VLOOKUP("electricity|SO2|Infant mortality", US_national_yearly!$D:$AM, 21, FALSE) / VLOOKUP("electricity|SO2|Infant mortality", US_national_yearly!$D:$AM, 10, FALSE), 1)</f>
        <v>5.925954618329115E-8</v>
      </c>
      <c r="N3" s="7">
        <f>$B3 * IFERROR(VLOOKUP("electricity|SO2|Infant mortality", US_national_yearly!$D:$AM, 22, FALSE) / VLOOKUP("electricity|SO2|Infant mortality", US_national_yearly!$D:$AM, 10, FALSE), 1)</f>
        <v>5.9011386152630032E-8</v>
      </c>
      <c r="O3" s="7">
        <f>$B3 * IFERROR(VLOOKUP("electricity|SO2|Infant mortality", US_national_yearly!$D:$AM, 23, FALSE) / VLOOKUP("electricity|SO2|Infant mortality", US_national_yearly!$D:$AM, 10, FALSE), 1)</f>
        <v>5.8763226121968907E-8</v>
      </c>
      <c r="P3" s="7">
        <f>$B3 * IFERROR(VLOOKUP("electricity|SO2|Infant mortality", US_national_yearly!$D:$AM, 24, FALSE) / VLOOKUP("electricity|SO2|Infant mortality", US_national_yearly!$D:$AM, 10, FALSE), 1)</f>
        <v>5.8515066091307775E-8</v>
      </c>
      <c r="Q3" s="7">
        <f>$B3 * IFERROR(VLOOKUP("electricity|SO2|Infant mortality", US_national_yearly!$D:$AM, 25, FALSE) / VLOOKUP("electricity|SO2|Infant mortality", US_national_yearly!$D:$AM, 10, FALSE), 1)</f>
        <v>5.8266906060646664E-8</v>
      </c>
      <c r="R3" s="7">
        <f>$B3 * IFERROR(VLOOKUP("electricity|SO2|Infant mortality", US_national_yearly!$D:$AM, 26, FALSE) / VLOOKUP("electricity|SO2|Infant mortality", US_national_yearly!$D:$AM, 10, FALSE), 1)</f>
        <v>5.8018746029985545E-8</v>
      </c>
      <c r="S3" s="7">
        <f>$B3 * IFERROR(VLOOKUP("electricity|SO2|Infant mortality", US_national_yearly!$D:$AM, 27, FALSE) / VLOOKUP("electricity|SO2|Infant mortality", US_national_yearly!$D:$AM, 10, FALSE), 1)</f>
        <v>5.7709445996326776E-8</v>
      </c>
      <c r="T3" s="7">
        <f>$B3 * IFERROR(VLOOKUP("electricity|SO2|Infant mortality", US_national_yearly!$D:$AM, 28, FALSE) / VLOOKUP("electricity|SO2|Infant mortality", US_national_yearly!$D:$AM, 10, FALSE), 1)</f>
        <v>5.740014596266802E-8</v>
      </c>
      <c r="U3" s="7">
        <f>$B3 * IFERROR(VLOOKUP("electricity|SO2|Infant mortality", US_national_yearly!$D:$AM, 29, FALSE) / VLOOKUP("electricity|SO2|Infant mortality", US_national_yearly!$D:$AM, 10, FALSE), 1)</f>
        <v>5.7090845929009264E-8</v>
      </c>
      <c r="V3" s="7">
        <f>$B3 * IFERROR(VLOOKUP("electricity|SO2|Infant mortality", US_national_yearly!$D:$AM, 30, FALSE) / VLOOKUP("electricity|SO2|Infant mortality", US_national_yearly!$D:$AM, 10, FALSE), 1)</f>
        <v>5.6781545895350508E-8</v>
      </c>
      <c r="W3" s="7">
        <f>$B3 * IFERROR(VLOOKUP("electricity|SO2|Infant mortality", US_national_yearly!$D:$AM, 31, FALSE) / VLOOKUP("electricity|SO2|Infant mortality", US_national_yearly!$D:$AM, 10, FALSE), 1)</f>
        <v>5.6472245861691745E-8</v>
      </c>
      <c r="X3" s="7">
        <f>$B3 * IFERROR(VLOOKUP("electricity|SO2|Infant mortality", US_national_yearly!$D:$AM, 32, FALSE) / VLOOKUP("electricity|SO2|Infant mortality", US_national_yearly!$D:$AM, 10, FALSE), 1)</f>
        <v>5.6142231783294338E-8</v>
      </c>
      <c r="Y3" s="7">
        <f>$B3 * IFERROR(VLOOKUP("electricity|SO2|Infant mortality", US_national_yearly!$D:$AM, 33, FALSE) / VLOOKUP("electricity|SO2|Infant mortality", US_national_yearly!$D:$AM, 10, FALSE), 1)</f>
        <v>5.5812217704896905E-8</v>
      </c>
      <c r="Z3" s="7">
        <f>$B3 * IFERROR(VLOOKUP("electricity|SO2|Infant mortality", US_national_yearly!$D:$AM, 34, FALSE) / VLOOKUP("electricity|SO2|Infant mortality", US_national_yearly!$D:$AM, 10, FALSE), 1)</f>
        <v>5.5482203626499497E-8</v>
      </c>
      <c r="AA3" s="7">
        <f>$B3 * IFERROR(VLOOKUP("electricity|SO2|Infant mortality", US_national_yearly!$D:$AM, 35, FALSE) / VLOOKUP("electricity|SO2|Infant mortality", US_national_yearly!$D:$AM, 10, FALSE), 1)</f>
        <v>5.515218954810209E-8</v>
      </c>
      <c r="AB3" s="7">
        <f>$B3 * IFERROR(VLOOKUP("electricity|SO2|Infant mortality", US_national_yearly!$D:$AM, 36, FALSE) / VLOOKUP("electricity|SO2|Infant mortality", US_national_yearly!$D:$AM, 10, FALSE), 1)</f>
        <v>5.4822175469704676E-8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1.7659449509519943E-4</v>
      </c>
      <c r="C6" s="7">
        <f>$B6 * IFERROR(VLOOKUP("electricity|SO2|Asthma symptoms cough", US_national_yearly!$D:$AM, 11, FALSE) / VLOOKUP("electricity|SO2|Asthma symptoms cough", US_national_yearly!$D:$AM, 10, FALSE), 1)</f>
        <v>1.7659449509519943E-4</v>
      </c>
      <c r="D6" s="7">
        <f>$B6 * IFERROR(VLOOKUP("electricity|SO2|Asthma symptoms cough", US_national_yearly!$D:$AM, 12, FALSE) / VLOOKUP("electricity|SO2|Asthma symptoms cough", US_national_yearly!$D:$AM, 10, FALSE), 1)</f>
        <v>1.7659449509519943E-4</v>
      </c>
      <c r="E6" s="7">
        <f>$B6 * IFERROR(VLOOKUP("electricity|SO2|Asthma symptoms cough", US_national_yearly!$D:$AM, 13, FALSE) / VLOOKUP("electricity|SO2|Asthma symptoms cough", US_national_yearly!$D:$AM, 10, FALSE), 1)</f>
        <v>1.7659449509519943E-4</v>
      </c>
      <c r="F6" s="7">
        <f>$B6 * IFERROR(VLOOKUP("electricity|SO2|Asthma symptoms cough", US_national_yearly!$D:$AM, 14, FALSE) / VLOOKUP("electricity|SO2|Asthma symptoms cough", US_national_yearly!$D:$AM, 10, FALSE), 1)</f>
        <v>1.7659449509519943E-4</v>
      </c>
      <c r="G6" s="7">
        <f>$B6 * IFERROR(VLOOKUP("electricity|SO2|Asthma symptoms cough", US_national_yearly!$D:$AM, 15, FALSE) / VLOOKUP("electricity|SO2|Asthma symptoms cough", US_national_yearly!$D:$AM, 10, FALSE), 1)</f>
        <v>1.7659449509519943E-4</v>
      </c>
      <c r="H6" s="7">
        <f>$B6 * IFERROR(VLOOKUP("electricity|SO2|Asthma symptoms cough", US_national_yearly!$D:$AM, 16, FALSE) / VLOOKUP("electricity|SO2|Asthma symptoms cough", US_national_yearly!$D:$AM, 10, FALSE), 1)</f>
        <v>1.7659449509519943E-4</v>
      </c>
      <c r="I6" s="7">
        <f>$B6 * IFERROR(VLOOKUP("electricity|SO2|Asthma symptoms cough", US_national_yearly!$D:$AM, 17, FALSE) / VLOOKUP("electricity|SO2|Asthma symptoms cough", US_national_yearly!$D:$AM, 10, FALSE), 1)</f>
        <v>1.7659449509519943E-4</v>
      </c>
      <c r="J6" s="7">
        <f>$B6 * IFERROR(VLOOKUP("electricity|SO2|Asthma symptoms cough", US_national_yearly!$D:$AM, 18, FALSE) / VLOOKUP("electricity|SO2|Asthma symptoms cough", US_national_yearly!$D:$AM, 10, FALSE), 1)</f>
        <v>1.7659449509519943E-4</v>
      </c>
      <c r="K6" s="7">
        <f>$B6 * IFERROR(VLOOKUP("electricity|SO2|Asthma symptoms cough", US_national_yearly!$D:$AM, 19, FALSE) / VLOOKUP("electricity|SO2|Asthma symptoms cough", US_national_yearly!$D:$AM, 10, FALSE), 1)</f>
        <v>1.7659449509519943E-4</v>
      </c>
      <c r="L6" s="7">
        <f>$B6 * IFERROR(VLOOKUP("electricity|SO2|Asthma symptoms cough", US_national_yearly!$D:$AM, 20, FALSE) / VLOOKUP("electricity|SO2|Asthma symptoms cough", US_national_yearly!$D:$AM, 10, FALSE), 1)</f>
        <v>1.7659449509519943E-4</v>
      </c>
      <c r="M6" s="7">
        <f>$B6 * IFERROR(VLOOKUP("electricity|SO2|Asthma symptoms cough", US_national_yearly!$D:$AM, 21, FALSE) / VLOOKUP("electricity|SO2|Asthma symptoms cough", US_national_yearly!$D:$AM, 10, FALSE), 1)</f>
        <v>1.7659449509519943E-4</v>
      </c>
      <c r="N6" s="7">
        <f>$B6 * IFERROR(VLOOKUP("electricity|SO2|Asthma symptoms cough", US_national_yearly!$D:$AM, 22, FALSE) / VLOOKUP("electricity|SO2|Asthma symptoms cough", US_national_yearly!$D:$AM, 10, FALSE), 1)</f>
        <v>1.7659449509519943E-4</v>
      </c>
      <c r="O6" s="7">
        <f>$B6 * IFERROR(VLOOKUP("electricity|SO2|Asthma symptoms cough", US_national_yearly!$D:$AM, 23, FALSE) / VLOOKUP("electricity|SO2|Asthma symptoms cough", US_national_yearly!$D:$AM, 10, FALSE), 1)</f>
        <v>1.7659449509519943E-4</v>
      </c>
      <c r="P6" s="7">
        <f>$B6 * IFERROR(VLOOKUP("electricity|SO2|Asthma symptoms cough", US_national_yearly!$D:$AM, 24, FALSE) / VLOOKUP("electricity|SO2|Asthma symptoms cough", US_national_yearly!$D:$AM, 10, FALSE), 1)</f>
        <v>1.7659449509519943E-4</v>
      </c>
      <c r="Q6" s="7">
        <f>$B6 * IFERROR(VLOOKUP("electricity|SO2|Asthma symptoms cough", US_national_yearly!$D:$AM, 25, FALSE) / VLOOKUP("electricity|SO2|Asthma symptoms cough", US_national_yearly!$D:$AM, 10, FALSE), 1)</f>
        <v>1.7659449509519943E-4</v>
      </c>
      <c r="R6" s="7">
        <f>$B6 * IFERROR(VLOOKUP("electricity|SO2|Asthma symptoms cough", US_national_yearly!$D:$AM, 26, FALSE) / VLOOKUP("electricity|SO2|Asthma symptoms cough", US_national_yearly!$D:$AM, 10, FALSE), 1)</f>
        <v>1.7659449509519943E-4</v>
      </c>
      <c r="S6" s="7">
        <f>$B6 * IFERROR(VLOOKUP("electricity|SO2|Asthma symptoms cough", US_national_yearly!$D:$AM, 27, FALSE) / VLOOKUP("electricity|SO2|Asthma symptoms cough", US_national_yearly!$D:$AM, 10, FALSE), 1)</f>
        <v>1.7659449509519943E-4</v>
      </c>
      <c r="T6" s="7">
        <f>$B6 * IFERROR(VLOOKUP("electricity|SO2|Asthma symptoms cough", US_national_yearly!$D:$AM, 28, FALSE) / VLOOKUP("electricity|SO2|Asthma symptoms cough", US_national_yearly!$D:$AM, 10, FALSE), 1)</f>
        <v>1.7659449509519943E-4</v>
      </c>
      <c r="U6" s="7">
        <f>$B6 * IFERROR(VLOOKUP("electricity|SO2|Asthma symptoms cough", US_national_yearly!$D:$AM, 29, FALSE) / VLOOKUP("electricity|SO2|Asthma symptoms cough", US_national_yearly!$D:$AM, 10, FALSE), 1)</f>
        <v>1.7659449509519943E-4</v>
      </c>
      <c r="V6" s="7">
        <f>$B6 * IFERROR(VLOOKUP("electricity|SO2|Asthma symptoms cough", US_national_yearly!$D:$AM, 30, FALSE) / VLOOKUP("electricity|SO2|Asthma symptoms cough", US_national_yearly!$D:$AM, 10, FALSE), 1)</f>
        <v>1.7659449509519943E-4</v>
      </c>
      <c r="W6" s="7">
        <f>$B6 * IFERROR(VLOOKUP("electricity|SO2|Asthma symptoms cough", US_national_yearly!$D:$AM, 31, FALSE) / VLOOKUP("electricity|SO2|Asthma symptoms cough", US_national_yearly!$D:$AM, 10, FALSE), 1)</f>
        <v>1.7659449509519943E-4</v>
      </c>
      <c r="X6" s="7">
        <f>$B6 * IFERROR(VLOOKUP("electricity|SO2|Asthma symptoms cough", US_national_yearly!$D:$AM, 32, FALSE) / VLOOKUP("electricity|SO2|Asthma symptoms cough", US_national_yearly!$D:$AM, 10, FALSE), 1)</f>
        <v>1.7659449509519943E-4</v>
      </c>
      <c r="Y6" s="7">
        <f>$B6 * IFERROR(VLOOKUP("electricity|SO2|Asthma symptoms cough", US_national_yearly!$D:$AM, 33, FALSE) / VLOOKUP("electricity|SO2|Asthma symptoms cough", US_national_yearly!$D:$AM, 10, FALSE), 1)</f>
        <v>1.7659449509519943E-4</v>
      </c>
      <c r="Z6" s="7">
        <f>$B6 * IFERROR(VLOOKUP("electricity|SO2|Asthma symptoms cough", US_national_yearly!$D:$AM, 34, FALSE) / VLOOKUP("electricity|SO2|Asthma symptoms cough", US_national_yearly!$D:$AM, 10, FALSE), 1)</f>
        <v>1.7659449509519943E-4</v>
      </c>
      <c r="AA6" s="7">
        <f>$B6 * IFERROR(VLOOKUP("electricity|SO2|Asthma symptoms cough", US_national_yearly!$D:$AM, 35, FALSE) / VLOOKUP("electricity|SO2|Asthma symptoms cough", US_national_yearly!$D:$AM, 10, FALSE), 1)</f>
        <v>1.7659449509519943E-4</v>
      </c>
      <c r="AB6" s="7">
        <f>$B6 * IFERROR(VLOOKUP("electricity|SO2|Asthma symptoms cough", US_national_yearly!$D:$AM, 36, FALSE) / VLOOKUP("electricity|SO2|Asthma symptoms cough", US_national_yearly!$D:$AM, 10, FALSE), 1)</f>
        <v>1.7659449509519943E-4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2.3780893865419018E-4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2.3780893865419018E-4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2.3780893865419018E-4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2.3780893865419018E-4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2.3780893865419018E-4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2.3780893865419018E-4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2.3780893865419018E-4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2.3780893865419018E-4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2.3780893865419018E-4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2.3780893865419018E-4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2.3780893865419018E-4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2.3780893865419018E-4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2.3780893865419018E-4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2.3780893865419018E-4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2.3780893865419018E-4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2.3780893865419018E-4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2.3780893865419018E-4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2.3780893865419018E-4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2.3780893865419018E-4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2.3780893865419018E-4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2.3780893865419018E-4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2.3780893865419018E-4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2.3780893865419018E-4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2.3780893865419018E-4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2.3780893865419018E-4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2.3780893865419018E-4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2.3780893865419018E-4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3.6333594236998592E-4</v>
      </c>
      <c r="C8" s="7">
        <f>$B8 * IFERROR(VLOOKUP("electricity|SO2|Asthma symptoms wheeze", US_national_yearly!$D:$AM, 11, FALSE) / VLOOKUP("electricity|SO2|Asthma symptoms wheeze", US_national_yearly!$D:$AM, 10, FALSE), 1)</f>
        <v>3.6333594236998592E-4</v>
      </c>
      <c r="D8" s="7">
        <f>$B8 * IFERROR(VLOOKUP("electricity|SO2|Asthma symptoms wheeze", US_national_yearly!$D:$AM, 12, FALSE) / VLOOKUP("electricity|SO2|Asthma symptoms wheeze", US_national_yearly!$D:$AM, 10, FALSE), 1)</f>
        <v>3.6333594236998592E-4</v>
      </c>
      <c r="E8" s="7">
        <f>$B8 * IFERROR(VLOOKUP("electricity|SO2|Asthma symptoms wheeze", US_national_yearly!$D:$AM, 13, FALSE) / VLOOKUP("electricity|SO2|Asthma symptoms wheeze", US_national_yearly!$D:$AM, 10, FALSE), 1)</f>
        <v>3.6333594236998592E-4</v>
      </c>
      <c r="F8" s="7">
        <f>$B8 * IFERROR(VLOOKUP("electricity|SO2|Asthma symptoms wheeze", US_national_yearly!$D:$AM, 14, FALSE) / VLOOKUP("electricity|SO2|Asthma symptoms wheeze", US_national_yearly!$D:$AM, 10, FALSE), 1)</f>
        <v>3.6333594236998592E-4</v>
      </c>
      <c r="G8" s="7">
        <f>$B8 * IFERROR(VLOOKUP("electricity|SO2|Asthma symptoms wheeze", US_national_yearly!$D:$AM, 15, FALSE) / VLOOKUP("electricity|SO2|Asthma symptoms wheeze", US_national_yearly!$D:$AM, 10, FALSE), 1)</f>
        <v>3.6333594236998592E-4</v>
      </c>
      <c r="H8" s="7">
        <f>$B8 * IFERROR(VLOOKUP("electricity|SO2|Asthma symptoms wheeze", US_national_yearly!$D:$AM, 16, FALSE) / VLOOKUP("electricity|SO2|Asthma symptoms wheeze", US_national_yearly!$D:$AM, 10, FALSE), 1)</f>
        <v>3.6333594236998592E-4</v>
      </c>
      <c r="I8" s="7">
        <f>$B8 * IFERROR(VLOOKUP("electricity|SO2|Asthma symptoms wheeze", US_national_yearly!$D:$AM, 17, FALSE) / VLOOKUP("electricity|SO2|Asthma symptoms wheeze", US_national_yearly!$D:$AM, 10, FALSE), 1)</f>
        <v>3.6333594236998592E-4</v>
      </c>
      <c r="J8" s="7">
        <f>$B8 * IFERROR(VLOOKUP("electricity|SO2|Asthma symptoms wheeze", US_national_yearly!$D:$AM, 18, FALSE) / VLOOKUP("electricity|SO2|Asthma symptoms wheeze", US_national_yearly!$D:$AM, 10, FALSE), 1)</f>
        <v>3.6333594236998592E-4</v>
      </c>
      <c r="K8" s="7">
        <f>$B8 * IFERROR(VLOOKUP("electricity|SO2|Asthma symptoms wheeze", US_national_yearly!$D:$AM, 19, FALSE) / VLOOKUP("electricity|SO2|Asthma symptoms wheeze", US_national_yearly!$D:$AM, 10, FALSE), 1)</f>
        <v>3.6333594236998592E-4</v>
      </c>
      <c r="L8" s="7">
        <f>$B8 * IFERROR(VLOOKUP("electricity|SO2|Asthma symptoms wheeze", US_national_yearly!$D:$AM, 20, FALSE) / VLOOKUP("electricity|SO2|Asthma symptoms wheeze", US_national_yearly!$D:$AM, 10, FALSE), 1)</f>
        <v>3.6333594236998592E-4</v>
      </c>
      <c r="M8" s="7">
        <f>$B8 * IFERROR(VLOOKUP("electricity|SO2|Asthma symptoms wheeze", US_national_yearly!$D:$AM, 21, FALSE) / VLOOKUP("electricity|SO2|Asthma symptoms wheeze", US_national_yearly!$D:$AM, 10, FALSE), 1)</f>
        <v>3.6333594236998592E-4</v>
      </c>
      <c r="N8" s="7">
        <f>$B8 * IFERROR(VLOOKUP("electricity|SO2|Asthma symptoms wheeze", US_national_yearly!$D:$AM, 22, FALSE) / VLOOKUP("electricity|SO2|Asthma symptoms wheeze", US_national_yearly!$D:$AM, 10, FALSE), 1)</f>
        <v>3.6333594236998592E-4</v>
      </c>
      <c r="O8" s="7">
        <f>$B8 * IFERROR(VLOOKUP("electricity|SO2|Asthma symptoms wheeze", US_national_yearly!$D:$AM, 23, FALSE) / VLOOKUP("electricity|SO2|Asthma symptoms wheeze", US_national_yearly!$D:$AM, 10, FALSE), 1)</f>
        <v>3.6333594236998592E-4</v>
      </c>
      <c r="P8" s="7">
        <f>$B8 * IFERROR(VLOOKUP("electricity|SO2|Asthma symptoms wheeze", US_national_yearly!$D:$AM, 24, FALSE) / VLOOKUP("electricity|SO2|Asthma symptoms wheeze", US_national_yearly!$D:$AM, 10, FALSE), 1)</f>
        <v>3.6333594236998592E-4</v>
      </c>
      <c r="Q8" s="7">
        <f>$B8 * IFERROR(VLOOKUP("electricity|SO2|Asthma symptoms wheeze", US_national_yearly!$D:$AM, 25, FALSE) / VLOOKUP("electricity|SO2|Asthma symptoms wheeze", US_national_yearly!$D:$AM, 10, FALSE), 1)</f>
        <v>3.6333594236998592E-4</v>
      </c>
      <c r="R8" s="7">
        <f>$B8 * IFERROR(VLOOKUP("electricity|SO2|Asthma symptoms wheeze", US_national_yearly!$D:$AM, 26, FALSE) / VLOOKUP("electricity|SO2|Asthma symptoms wheeze", US_national_yearly!$D:$AM, 10, FALSE), 1)</f>
        <v>3.6333594236998592E-4</v>
      </c>
      <c r="S8" s="7">
        <f>$B8 * IFERROR(VLOOKUP("electricity|SO2|Asthma symptoms wheeze", US_national_yearly!$D:$AM, 27, FALSE) / VLOOKUP("electricity|SO2|Asthma symptoms wheeze", US_national_yearly!$D:$AM, 10, FALSE), 1)</f>
        <v>3.6333594236998592E-4</v>
      </c>
      <c r="T8" s="7">
        <f>$B8 * IFERROR(VLOOKUP("electricity|SO2|Asthma symptoms wheeze", US_national_yearly!$D:$AM, 28, FALSE) / VLOOKUP("electricity|SO2|Asthma symptoms wheeze", US_national_yearly!$D:$AM, 10, FALSE), 1)</f>
        <v>3.6333594236998592E-4</v>
      </c>
      <c r="U8" s="7">
        <f>$B8 * IFERROR(VLOOKUP("electricity|SO2|Asthma symptoms wheeze", US_national_yearly!$D:$AM, 29, FALSE) / VLOOKUP("electricity|SO2|Asthma symptoms wheeze", US_national_yearly!$D:$AM, 10, FALSE), 1)</f>
        <v>3.6333594236998592E-4</v>
      </c>
      <c r="V8" s="7">
        <f>$B8 * IFERROR(VLOOKUP("electricity|SO2|Asthma symptoms wheeze", US_national_yearly!$D:$AM, 30, FALSE) / VLOOKUP("electricity|SO2|Asthma symptoms wheeze", US_national_yearly!$D:$AM, 10, FALSE), 1)</f>
        <v>3.6333594236998592E-4</v>
      </c>
      <c r="W8" s="7">
        <f>$B8 * IFERROR(VLOOKUP("electricity|SO2|Asthma symptoms wheeze", US_national_yearly!$D:$AM, 31, FALSE) / VLOOKUP("electricity|SO2|Asthma symptoms wheeze", US_national_yearly!$D:$AM, 10, FALSE), 1)</f>
        <v>3.6333594236998592E-4</v>
      </c>
      <c r="X8" s="7">
        <f>$B8 * IFERROR(VLOOKUP("electricity|SO2|Asthma symptoms wheeze", US_national_yearly!$D:$AM, 32, FALSE) / VLOOKUP("electricity|SO2|Asthma symptoms wheeze", US_national_yearly!$D:$AM, 10, FALSE), 1)</f>
        <v>3.6333594236998592E-4</v>
      </c>
      <c r="Y8" s="7">
        <f>$B8 * IFERROR(VLOOKUP("electricity|SO2|Asthma symptoms wheeze", US_national_yearly!$D:$AM, 33, FALSE) / VLOOKUP("electricity|SO2|Asthma symptoms wheeze", US_national_yearly!$D:$AM, 10, FALSE), 1)</f>
        <v>3.6333594236998592E-4</v>
      </c>
      <c r="Z8" s="7">
        <f>$B8 * IFERROR(VLOOKUP("electricity|SO2|Asthma symptoms wheeze", US_national_yearly!$D:$AM, 34, FALSE) / VLOOKUP("electricity|SO2|Asthma symptoms wheeze", US_national_yearly!$D:$AM, 10, FALSE), 1)</f>
        <v>3.6333594236998592E-4</v>
      </c>
      <c r="AA8" s="7">
        <f>$B8 * IFERROR(VLOOKUP("electricity|SO2|Asthma symptoms wheeze", US_national_yearly!$D:$AM, 35, FALSE) / VLOOKUP("electricity|SO2|Asthma symptoms wheeze", US_national_yearly!$D:$AM, 10, FALSE), 1)</f>
        <v>3.6333594236998592E-4</v>
      </c>
      <c r="AB8" s="7">
        <f>$B8 * IFERROR(VLOOKUP("electricity|SO2|Asthma symptoms wheeze", US_national_yearly!$D:$AM, 36, FALSE) / VLOOKUP("electricity|SO2|Asthma symptoms wheeze", US_national_yearly!$D:$AM, 10, FALSE), 1)</f>
        <v>3.6333594236998592E-4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4.6080552213833147E-6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4.6351949658838208E-6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4.6623347103843286E-6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4.6894744548848348E-6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4.7166141993853418E-6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4.7461882585578728E-6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4.7757623177304038E-6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4.8042129948560251E-6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4.8326636719816472E-6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4.8611143491072701E-6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4.8895650262328914E-6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4.9180157033585135E-6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4.9384222474742867E-6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4.9588287915900616E-6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4.9792353357058347E-6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4.9996418798216088E-6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5.0200484239373836E-6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5.0393091977563788E-6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5.0585699715753748E-6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5.07783074539437E-6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5.097091519213366E-6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5.1163522930323621E-6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5.1348296722588401E-6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5.1533070514853199E-6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5.1717844307117997E-6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5.190261809938277E-6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5.2087391891647568E-6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4.7434865452095013E-5</v>
      </c>
      <c r="C13" s="7">
        <f>$B13 * IFERROR(VLOOKUP("electricity|SO2|Non-fatal heart attacks", US_national_yearly!$D:$AM, 11, FALSE) / VLOOKUP("electricity|SO2|Non-fatal heart attacks", US_national_yearly!$D:$AM, 10, FALSE), 1)</f>
        <v>4.8832086428964242E-5</v>
      </c>
      <c r="D13" s="7">
        <f>$B13 * IFERROR(VLOOKUP("electricity|SO2|Non-fatal heart attacks", US_national_yearly!$D:$AM, 12, FALSE) / VLOOKUP("electricity|SO2|Non-fatal heart attacks", US_national_yearly!$D:$AM, 10, FALSE), 1)</f>
        <v>5.0229307405833451E-5</v>
      </c>
      <c r="E13" s="7">
        <f>$B13 * IFERROR(VLOOKUP("electricity|SO2|Non-fatal heart attacks", US_national_yearly!$D:$AM, 13, FALSE) / VLOOKUP("electricity|SO2|Non-fatal heart attacks", US_national_yearly!$D:$AM, 10, FALSE), 1)</f>
        <v>5.1626528382702687E-5</v>
      </c>
      <c r="F13" s="7">
        <f>$B13 * IFERROR(VLOOKUP("electricity|SO2|Non-fatal heart attacks", US_national_yearly!$D:$AM, 14, FALSE) / VLOOKUP("electricity|SO2|Non-fatal heart attacks", US_national_yearly!$D:$AM, 10, FALSE), 1)</f>
        <v>5.3023749359571902E-5</v>
      </c>
      <c r="G13" s="7">
        <f>$B13 * IFERROR(VLOOKUP("electricity|SO2|Non-fatal heart attacks", US_national_yearly!$D:$AM, 15, FALSE) / VLOOKUP("electricity|SO2|Non-fatal heart attacks", US_national_yearly!$D:$AM, 10, FALSE), 1)</f>
        <v>5.434975398753074E-5</v>
      </c>
      <c r="H13" s="7">
        <f>$B13 * IFERROR(VLOOKUP("electricity|SO2|Non-fatal heart attacks", US_national_yearly!$D:$AM, 16, FALSE) / VLOOKUP("electricity|SO2|Non-fatal heart attacks", US_national_yearly!$D:$AM, 10, FALSE), 1)</f>
        <v>5.5675758615489591E-5</v>
      </c>
      <c r="I13" s="7">
        <f>$B13 * IFERROR(VLOOKUP("electricity|SO2|Non-fatal heart attacks", US_national_yearly!$D:$AM, 17, FALSE) / VLOOKUP("electricity|SO2|Non-fatal heart attacks", US_national_yearly!$D:$AM, 10, FALSE), 1)</f>
        <v>5.6755637608122321E-5</v>
      </c>
      <c r="J13" s="7">
        <f>$B13 * IFERROR(VLOOKUP("electricity|SO2|Non-fatal heart attacks", US_national_yearly!$D:$AM, 18, FALSE) / VLOOKUP("electricity|SO2|Non-fatal heart attacks", US_national_yearly!$D:$AM, 10, FALSE), 1)</f>
        <v>5.7835516600755044E-5</v>
      </c>
      <c r="K13" s="7">
        <f>$B13 * IFERROR(VLOOKUP("electricity|SO2|Non-fatal heart attacks", US_national_yearly!$D:$AM, 19, FALSE) / VLOOKUP("electricity|SO2|Non-fatal heart attacks", US_national_yearly!$D:$AM, 10, FALSE), 1)</f>
        <v>5.8915395593387774E-5</v>
      </c>
      <c r="L13" s="7">
        <f>$B13 * IFERROR(VLOOKUP("electricity|SO2|Non-fatal heart attacks", US_national_yearly!$D:$AM, 20, FALSE) / VLOOKUP("electricity|SO2|Non-fatal heart attacks", US_national_yearly!$D:$AM, 10, FALSE), 1)</f>
        <v>5.999527458602049E-5</v>
      </c>
      <c r="M13" s="7">
        <f>$B13 * IFERROR(VLOOKUP("electricity|SO2|Non-fatal heart attacks", US_national_yearly!$D:$AM, 21, FALSE) / VLOOKUP("electricity|SO2|Non-fatal heart attacks", US_national_yearly!$D:$AM, 10, FALSE), 1)</f>
        <v>6.107515357865322E-5</v>
      </c>
      <c r="N13" s="7">
        <f>$B13 * IFERROR(VLOOKUP("electricity|SO2|Non-fatal heart attacks", US_national_yearly!$D:$AM, 22, FALSE) / VLOOKUP("electricity|SO2|Non-fatal heart attacks", US_national_yearly!$D:$AM, 10, FALSE), 1)</f>
        <v>6.1787282935269136E-5</v>
      </c>
      <c r="O13" s="7">
        <f>$B13 * IFERROR(VLOOKUP("electricity|SO2|Non-fatal heart attacks", US_national_yearly!$D:$AM, 23, FALSE) / VLOOKUP("electricity|SO2|Non-fatal heart attacks", US_national_yearly!$D:$AM, 10, FALSE), 1)</f>
        <v>6.2499412291885026E-5</v>
      </c>
      <c r="P13" s="7">
        <f>$B13 * IFERROR(VLOOKUP("electricity|SO2|Non-fatal heart attacks", US_national_yearly!$D:$AM, 24, FALSE) / VLOOKUP("electricity|SO2|Non-fatal heart attacks", US_national_yearly!$D:$AM, 10, FALSE), 1)</f>
        <v>6.3211541648500942E-5</v>
      </c>
      <c r="Q13" s="7">
        <f>$B13 * IFERROR(VLOOKUP("electricity|SO2|Non-fatal heart attacks", US_national_yearly!$D:$AM, 25, FALSE) / VLOOKUP("electricity|SO2|Non-fatal heart attacks", US_national_yearly!$D:$AM, 10, FALSE), 1)</f>
        <v>6.3923671005116845E-5</v>
      </c>
      <c r="R13" s="7">
        <f>$B13 * IFERROR(VLOOKUP("electricity|SO2|Non-fatal heart attacks", US_national_yearly!$D:$AM, 26, FALSE) / VLOOKUP("electricity|SO2|Non-fatal heart attacks", US_national_yearly!$D:$AM, 10, FALSE), 1)</f>
        <v>6.4635800361732747E-5</v>
      </c>
      <c r="S13" s="7">
        <f>$B13 * IFERROR(VLOOKUP("electricity|SO2|Non-fatal heart attacks", US_national_yearly!$D:$AM, 27, FALSE) / VLOOKUP("electricity|SO2|Non-fatal heart attacks", US_national_yearly!$D:$AM, 10, FALSE), 1)</f>
        <v>6.5023324211042972E-5</v>
      </c>
      <c r="T13" s="7">
        <f>$B13 * IFERROR(VLOOKUP("electricity|SO2|Non-fatal heart attacks", US_national_yearly!$D:$AM, 28, FALSE) / VLOOKUP("electricity|SO2|Non-fatal heart attacks", US_national_yearly!$D:$AM, 10, FALSE), 1)</f>
        <v>6.5410848060353197E-5</v>
      </c>
      <c r="U13" s="7">
        <f>$B13 * IFERROR(VLOOKUP("electricity|SO2|Non-fatal heart attacks", US_national_yearly!$D:$AM, 29, FALSE) / VLOOKUP("electricity|SO2|Non-fatal heart attacks", US_national_yearly!$D:$AM, 10, FALSE), 1)</f>
        <v>6.5798371909663421E-5</v>
      </c>
      <c r="V13" s="7">
        <f>$B13 * IFERROR(VLOOKUP("electricity|SO2|Non-fatal heart attacks", US_national_yearly!$D:$AM, 30, FALSE) / VLOOKUP("electricity|SO2|Non-fatal heart attacks", US_national_yearly!$D:$AM, 10, FALSE), 1)</f>
        <v>6.6185895758973619E-5</v>
      </c>
      <c r="W13" s="7">
        <f>$B13 * IFERROR(VLOOKUP("electricity|SO2|Non-fatal heart attacks", US_national_yearly!$D:$AM, 31, FALSE) / VLOOKUP("electricity|SO2|Non-fatal heart attacks", US_national_yearly!$D:$AM, 10, FALSE), 1)</f>
        <v>6.6573419608283857E-5</v>
      </c>
      <c r="X13" s="7">
        <f>$B13 * IFERROR(VLOOKUP("electricity|SO2|Non-fatal heart attacks", US_national_yearly!$D:$AM, 32, FALSE) / VLOOKUP("electricity|SO2|Non-fatal heart attacks", US_national_yearly!$D:$AM, 10, FALSE), 1)</f>
        <v>6.6871102620079322E-5</v>
      </c>
      <c r="Y13" s="7">
        <f>$B13 * IFERROR(VLOOKUP("electricity|SO2|Non-fatal heart attacks", US_national_yearly!$D:$AM, 33, FALSE) / VLOOKUP("electricity|SO2|Non-fatal heart attacks", US_national_yearly!$D:$AM, 10, FALSE), 1)</f>
        <v>6.7168785631874814E-5</v>
      </c>
      <c r="Z13" s="7">
        <f>$B13 * IFERROR(VLOOKUP("electricity|SO2|Non-fatal heart attacks", US_national_yearly!$D:$AM, 34, FALSE) / VLOOKUP("electricity|SO2|Non-fatal heart attacks", US_national_yearly!$D:$AM, 10, FALSE), 1)</f>
        <v>6.7466468643670265E-5</v>
      </c>
      <c r="AA13" s="7">
        <f>$B13 * IFERROR(VLOOKUP("electricity|SO2|Non-fatal heart attacks", US_national_yearly!$D:$AM, 35, FALSE) / VLOOKUP("electricity|SO2|Non-fatal heart attacks", US_national_yearly!$D:$AM, 10, FALSE), 1)</f>
        <v>6.7764151655465743E-5</v>
      </c>
      <c r="AB13" s="7">
        <f>$B13 * IFERROR(VLOOKUP("electricity|SO2|Non-fatal heart attacks", US_national_yearly!$D:$AM, 36, FALSE) / VLOOKUP("electricity|SO2|Non-fatal heart attacks", US_national_yearly!$D:$AM, 10, FALSE), 1)</f>
        <v>6.8061834667261222E-5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2.011486203790689E-2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2.0165409723964193E-2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2.0215957410021496E-2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2.0266505096078802E-2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2.0317052782136101E-2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2.039008326040944E-2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2.0463113738682776E-2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2.0588366631624666E-2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2.0713619524566559E-2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2.0838872417508449E-2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2.096412531045035E-2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2.1089378203392236E-2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2.1261869529433434E-2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2.1434360855474621E-2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2.1606852181515812E-2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2.1779343507557006E-2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2.1951834833598197E-2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2.2128665637531762E-2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2.2305496441465327E-2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2.2482327245398889E-2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2.2659158049332453E-2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2.2835988853266018E-2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2.2991580580523984E-2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2.3147172307781943E-2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2.3302764035039905E-2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2.3458355762297867E-2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2.361394748955583E-2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3.4160686511422538E-3</v>
      </c>
      <c r="C15" s="7">
        <f>$B15 * IFERROR(VLOOKUP("electricity|SO2|Work loss days", US_national_yearly!$D:$AM, 11, FALSE) / VLOOKUP("electricity|SO2|Work loss days", US_national_yearly!$D:$AM, 10, FALSE), 1)</f>
        <v>3.4271299847474044E-3</v>
      </c>
      <c r="D15" s="7">
        <f>$B15 * IFERROR(VLOOKUP("electricity|SO2|Work loss days", US_national_yearly!$D:$AM, 12, FALSE) / VLOOKUP("electricity|SO2|Work loss days", US_national_yearly!$D:$AM, 10, FALSE), 1)</f>
        <v>3.438191318352555E-3</v>
      </c>
      <c r="E15" s="7">
        <f>$B15 * IFERROR(VLOOKUP("electricity|SO2|Work loss days", US_national_yearly!$D:$AM, 13, FALSE) / VLOOKUP("electricity|SO2|Work loss days", US_national_yearly!$D:$AM, 10, FALSE), 1)</f>
        <v>3.449252651957706E-3</v>
      </c>
      <c r="F15" s="7">
        <f>$B15 * IFERROR(VLOOKUP("electricity|SO2|Work loss days", US_national_yearly!$D:$AM, 14, FALSE) / VLOOKUP("electricity|SO2|Work loss days", US_national_yearly!$D:$AM, 10, FALSE), 1)</f>
        <v>3.4603139855628566E-3</v>
      </c>
      <c r="G15" s="7">
        <f>$B15 * IFERROR(VLOOKUP("electricity|SO2|Work loss days", US_national_yearly!$D:$AM, 15, FALSE) / VLOOKUP("electricity|SO2|Work loss days", US_national_yearly!$D:$AM, 10, FALSE), 1)</f>
        <v>3.4744842393149601E-3</v>
      </c>
      <c r="H15" s="7">
        <f>$B15 * IFERROR(VLOOKUP("electricity|SO2|Work loss days", US_national_yearly!$D:$AM, 16, FALSE) / VLOOKUP("electricity|SO2|Work loss days", US_national_yearly!$D:$AM, 10, FALSE), 1)</f>
        <v>3.4886544930670636E-3</v>
      </c>
      <c r="I15" s="7">
        <f>$B15 * IFERROR(VLOOKUP("electricity|SO2|Work loss days", US_national_yearly!$D:$AM, 17, FALSE) / VLOOKUP("electricity|SO2|Work loss days", US_national_yearly!$D:$AM, 10, FALSE), 1)</f>
        <v>3.5093872411400035E-3</v>
      </c>
      <c r="J15" s="7">
        <f>$B15 * IFERROR(VLOOKUP("electricity|SO2|Work loss days", US_national_yearly!$D:$AM, 18, FALSE) / VLOOKUP("electricity|SO2|Work loss days", US_national_yearly!$D:$AM, 10, FALSE), 1)</f>
        <v>3.5301199892129429E-3</v>
      </c>
      <c r="K15" s="7">
        <f>$B15 * IFERROR(VLOOKUP("electricity|SO2|Work loss days", US_national_yearly!$D:$AM, 19, FALSE) / VLOOKUP("electricity|SO2|Work loss days", US_national_yearly!$D:$AM, 10, FALSE), 1)</f>
        <v>3.5508527372858836E-3</v>
      </c>
      <c r="L15" s="7">
        <f>$B15 * IFERROR(VLOOKUP("electricity|SO2|Work loss days", US_national_yearly!$D:$AM, 20, FALSE) / VLOOKUP("electricity|SO2|Work loss days", US_national_yearly!$D:$AM, 10, FALSE), 1)</f>
        <v>3.571585485358823E-3</v>
      </c>
      <c r="M15" s="7">
        <f>$B15 * IFERROR(VLOOKUP("electricity|SO2|Work loss days", US_national_yearly!$D:$AM, 21, FALSE) / VLOOKUP("electricity|SO2|Work loss days", US_national_yearly!$D:$AM, 10, FALSE), 1)</f>
        <v>3.5923182334317637E-3</v>
      </c>
      <c r="N15" s="7">
        <f>$B15 * IFERROR(VLOOKUP("electricity|SO2|Work loss days", US_national_yearly!$D:$AM, 22, FALSE) / VLOOKUP("electricity|SO2|Work loss days", US_national_yearly!$D:$AM, 10, FALSE), 1)</f>
        <v>3.6185503158590775E-3</v>
      </c>
      <c r="O15" s="7">
        <f>$B15 * IFERROR(VLOOKUP("electricity|SO2|Work loss days", US_national_yearly!$D:$AM, 23, FALSE) / VLOOKUP("electricity|SO2|Work loss days", US_national_yearly!$D:$AM, 10, FALSE), 1)</f>
        <v>3.6447823982863922E-3</v>
      </c>
      <c r="P15" s="7">
        <f>$B15 * IFERROR(VLOOKUP("electricity|SO2|Work loss days", US_national_yearly!$D:$AM, 24, FALSE) / VLOOKUP("electricity|SO2|Work loss days", US_national_yearly!$D:$AM, 10, FALSE), 1)</f>
        <v>3.6710144807137069E-3</v>
      </c>
      <c r="Q15" s="7">
        <f>$B15 * IFERROR(VLOOKUP("electricity|SO2|Work loss days", US_national_yearly!$D:$AM, 25, FALSE) / VLOOKUP("electricity|SO2|Work loss days", US_national_yearly!$D:$AM, 10, FALSE), 1)</f>
        <v>3.6972465631410212E-3</v>
      </c>
      <c r="R15" s="7">
        <f>$B15 * IFERROR(VLOOKUP("electricity|SO2|Work loss days", US_national_yearly!$D:$AM, 26, FALSE) / VLOOKUP("electricity|SO2|Work loss days", US_national_yearly!$D:$AM, 10, FALSE), 1)</f>
        <v>3.7234786455683359E-3</v>
      </c>
      <c r="S15" s="7">
        <f>$B15 * IFERROR(VLOOKUP("electricity|SO2|Work loss days", US_national_yearly!$D:$AM, 27, FALSE) / VLOOKUP("electricity|SO2|Work loss days", US_national_yearly!$D:$AM, 10, FALSE), 1)</f>
        <v>3.7528872578702515E-3</v>
      </c>
      <c r="T15" s="7">
        <f>$B15 * IFERROR(VLOOKUP("electricity|SO2|Work loss days", US_national_yearly!$D:$AM, 28, FALSE) / VLOOKUP("electricity|SO2|Work loss days", US_national_yearly!$D:$AM, 10, FALSE), 1)</f>
        <v>3.782295870172168E-3</v>
      </c>
      <c r="U15" s="7">
        <f>$B15 * IFERROR(VLOOKUP("electricity|SO2|Work loss days", US_national_yearly!$D:$AM, 29, FALSE) / VLOOKUP("electricity|SO2|Work loss days", US_national_yearly!$D:$AM, 10, FALSE), 1)</f>
        <v>3.8117044824740845E-3</v>
      </c>
      <c r="V15" s="7">
        <f>$B15 * IFERROR(VLOOKUP("electricity|SO2|Work loss days", US_national_yearly!$D:$AM, 30, FALSE) / VLOOKUP("electricity|SO2|Work loss days", US_national_yearly!$D:$AM, 10, FALSE), 1)</f>
        <v>3.841113094776001E-3</v>
      </c>
      <c r="W15" s="7">
        <f>$B15 * IFERROR(VLOOKUP("electricity|SO2|Work loss days", US_national_yearly!$D:$AM, 31, FALSE) / VLOOKUP("electricity|SO2|Work loss days", US_national_yearly!$D:$AM, 10, FALSE), 1)</f>
        <v>3.8705217070779175E-3</v>
      </c>
      <c r="X15" s="7">
        <f>$B15 * IFERROR(VLOOKUP("electricity|SO2|Work loss days", US_national_yearly!$D:$AM, 32, FALSE) / VLOOKUP("electricity|SO2|Work loss days", US_national_yearly!$D:$AM, 10, FALSE), 1)</f>
        <v>3.8970159580774509E-3</v>
      </c>
      <c r="Y15" s="7">
        <f>$B15 * IFERROR(VLOOKUP("electricity|SO2|Work loss days", US_national_yearly!$D:$AM, 33, FALSE) / VLOOKUP("electricity|SO2|Work loss days", US_national_yearly!$D:$AM, 10, FALSE), 1)</f>
        <v>3.9235102090769847E-3</v>
      </c>
      <c r="Z15" s="7">
        <f>$B15 * IFERROR(VLOOKUP("electricity|SO2|Work loss days", US_national_yearly!$D:$AM, 34, FALSE) / VLOOKUP("electricity|SO2|Work loss days", US_national_yearly!$D:$AM, 10, FALSE), 1)</f>
        <v>3.9500044600765168E-3</v>
      </c>
      <c r="AA15" s="7">
        <f>$B15 * IFERROR(VLOOKUP("electricity|SO2|Work loss days", US_national_yearly!$D:$AM, 35, FALSE) / VLOOKUP("electricity|SO2|Work loss days", US_national_yearly!$D:$AM, 10, FALSE), 1)</f>
        <v>3.9764987110760507E-3</v>
      </c>
      <c r="AB15" s="7">
        <f>$B15 * IFERROR(VLOOKUP("electricity|SO2|Work loss days", US_national_yearly!$D:$AM, 36, FALSE) / VLOOKUP("electricity|SO2|Work loss days", US_national_yearly!$D:$AM, 10, FALSE), 1)</f>
        <v>4.0029929620755845E-3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7.0113907762683823E-6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7.2238554072076782E-6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7.4363200381469741E-6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7.6487846690862717E-6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7.8612493000255676E-6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8.0660516656755139E-6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8.2708540313254602E-6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8.4481597419552298E-6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8.6254654525849994E-6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8.8027711632147706E-6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8.9800768738445385E-6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9.1573825844743098E-6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9.2783932592614691E-6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9.3994039340486284E-6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9.5204146088357911E-6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9.6414252836229487E-6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9.7624359584101081E-6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9.8287762271674814E-6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9.8951164959248513E-6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9.9614567646822229E-6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1.0027797033439593E-5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1.0094137302196964E-5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1.01399311817627E-5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1.0185725061328434E-5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1.0231518940894169E-5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1.0277312820459904E-5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1.032310670002564E-5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1.6178798989920369E-3</v>
      </c>
      <c r="C2" s="7">
        <f>$B2 * IFERROR(VLOOKUP("buildings|PM25|Premature mortality", US_national_yearly!$D:$AM, 11, FALSE) / VLOOKUP("buildings|PM25|Premature mortality", US_national_yearly!$D:$AM, 10, FALSE), 1)</f>
        <v>1.6379525925805361E-3</v>
      </c>
      <c r="D2" s="7">
        <f>$B2 * IFERROR(VLOOKUP("buildings|PM25|Premature mortality", US_national_yearly!$D:$AM, 12, FALSE) / VLOOKUP("buildings|PM25|Premature mortality", US_national_yearly!$D:$AM, 10, FALSE), 1)</f>
        <v>1.6580252861690356E-3</v>
      </c>
      <c r="E2" s="7">
        <f>$B2 * IFERROR(VLOOKUP("buildings|PM25|Premature mortality", US_national_yearly!$D:$AM, 13, FALSE) / VLOOKUP("buildings|PM25|Premature mortality", US_national_yearly!$D:$AM, 10, FALSE), 1)</f>
        <v>1.6780979797575348E-3</v>
      </c>
      <c r="F2" s="7">
        <f>$B2 * IFERROR(VLOOKUP("buildings|PM25|Premature mortality", US_national_yearly!$D:$AM, 14, FALSE) / VLOOKUP("buildings|PM25|Premature mortality", US_national_yearly!$D:$AM, 10, FALSE), 1)</f>
        <v>1.698170673346034E-3</v>
      </c>
      <c r="G2" s="7">
        <f>$B2 * IFERROR(VLOOKUP("buildings|PM25|Premature mortality", US_national_yearly!$D:$AM, 15, FALSE) / VLOOKUP("buildings|PM25|Premature mortality", US_national_yearly!$D:$AM, 10, FALSE), 1)</f>
        <v>1.7372563240917326E-3</v>
      </c>
      <c r="H2" s="7">
        <f>$B2 * IFERROR(VLOOKUP("buildings|PM25|Premature mortality", US_national_yearly!$D:$AM, 16, FALSE) / VLOOKUP("buildings|PM25|Premature mortality", US_national_yearly!$D:$AM, 10, FALSE), 1)</f>
        <v>1.7763419748374309E-3</v>
      </c>
      <c r="I2" s="7">
        <f>$B2 * IFERROR(VLOOKUP("buildings|PM25|Premature mortality", US_national_yearly!$D:$AM, 17, FALSE) / VLOOKUP("buildings|PM25|Premature mortality", US_national_yearly!$D:$AM, 10, FALSE), 1)</f>
        <v>1.8020479341202393E-3</v>
      </c>
      <c r="J2" s="7">
        <f>$B2 * IFERROR(VLOOKUP("buildings|PM25|Premature mortality", US_national_yearly!$D:$AM, 18, FALSE) / VLOOKUP("buildings|PM25|Premature mortality", US_national_yearly!$D:$AM, 10, FALSE), 1)</f>
        <v>1.8277538934030476E-3</v>
      </c>
      <c r="K2" s="7">
        <f>$B2 * IFERROR(VLOOKUP("buildings|PM25|Premature mortality", US_national_yearly!$D:$AM, 19, FALSE) / VLOOKUP("buildings|PM25|Premature mortality", US_national_yearly!$D:$AM, 10, FALSE), 1)</f>
        <v>1.8534598526858562E-3</v>
      </c>
      <c r="L2" s="7">
        <f>$B2 * IFERROR(VLOOKUP("buildings|PM25|Premature mortality", US_national_yearly!$D:$AM, 20, FALSE) / VLOOKUP("buildings|PM25|Premature mortality", US_national_yearly!$D:$AM, 10, FALSE), 1)</f>
        <v>1.8791658119686645E-3</v>
      </c>
      <c r="M2" s="7">
        <f>$B2 * IFERROR(VLOOKUP("buildings|PM25|Premature mortality", US_national_yearly!$D:$AM, 21, FALSE) / VLOOKUP("buildings|PM25|Premature mortality", US_national_yearly!$D:$AM, 10, FALSE), 1)</f>
        <v>1.9048717712514729E-3</v>
      </c>
      <c r="N2" s="7">
        <f>$B2 * IFERROR(VLOOKUP("buildings|PM25|Premature mortality", US_national_yearly!$D:$AM, 22, FALSE) / VLOOKUP("buildings|PM25|Premature mortality", US_national_yearly!$D:$AM, 10, FALSE), 1)</f>
        <v>1.924861011600755E-3</v>
      </c>
      <c r="O2" s="7">
        <f>$B2 * IFERROR(VLOOKUP("buildings|PM25|Premature mortality", US_national_yearly!$D:$AM, 23, FALSE) / VLOOKUP("buildings|PM25|Premature mortality", US_national_yearly!$D:$AM, 10, FALSE), 1)</f>
        <v>1.9448502519500374E-3</v>
      </c>
      <c r="P2" s="7">
        <f>$B2 * IFERROR(VLOOKUP("buildings|PM25|Premature mortality", US_national_yearly!$D:$AM, 24, FALSE) / VLOOKUP("buildings|PM25|Premature mortality", US_national_yearly!$D:$AM, 10, FALSE), 1)</f>
        <v>1.9648394922993193E-3</v>
      </c>
      <c r="Q2" s="7">
        <f>$B2 * IFERROR(VLOOKUP("buildings|PM25|Premature mortality", US_national_yearly!$D:$AM, 25, FALSE) / VLOOKUP("buildings|PM25|Premature mortality", US_national_yearly!$D:$AM, 10, FALSE), 1)</f>
        <v>1.9848287326486021E-3</v>
      </c>
      <c r="R2" s="7">
        <f>$B2 * IFERROR(VLOOKUP("buildings|PM25|Premature mortality", US_national_yearly!$D:$AM, 26, FALSE) / VLOOKUP("buildings|PM25|Premature mortality", US_national_yearly!$D:$AM, 10, FALSE), 1)</f>
        <v>2.004817972997884E-3</v>
      </c>
      <c r="S2" s="7">
        <f>$B2 * IFERROR(VLOOKUP("buildings|PM25|Premature mortality", US_national_yearly!$D:$AM, 27, FALSE) / VLOOKUP("buildings|PM25|Premature mortality", US_national_yearly!$D:$AM, 10, FALSE), 1)</f>
        <v>2.0154424527942085E-3</v>
      </c>
      <c r="T2" s="7">
        <f>$B2 * IFERROR(VLOOKUP("buildings|PM25|Premature mortality", US_national_yearly!$D:$AM, 28, FALSE) / VLOOKUP("buildings|PM25|Premature mortality", US_national_yearly!$D:$AM, 10, FALSE), 1)</f>
        <v>2.026066932590533E-3</v>
      </c>
      <c r="U2" s="7">
        <f>$B2 * IFERROR(VLOOKUP("buildings|PM25|Premature mortality", US_national_yearly!$D:$AM, 29, FALSE) / VLOOKUP("buildings|PM25|Premature mortality", US_national_yearly!$D:$AM, 10, FALSE), 1)</f>
        <v>2.0366914123868579E-3</v>
      </c>
      <c r="V2" s="7">
        <f>$B2 * IFERROR(VLOOKUP("buildings|PM25|Premature mortality", US_national_yearly!$D:$AM, 30, FALSE) / VLOOKUP("buildings|PM25|Premature mortality", US_national_yearly!$D:$AM, 10, FALSE), 1)</f>
        <v>2.0473158921831824E-3</v>
      </c>
      <c r="W2" s="7">
        <f>$B2 * IFERROR(VLOOKUP("buildings|PM25|Premature mortality", US_national_yearly!$D:$AM, 31, FALSE) / VLOOKUP("buildings|PM25|Premature mortality", US_national_yearly!$D:$AM, 10, FALSE), 1)</f>
        <v>2.0579403719795069E-3</v>
      </c>
      <c r="X2" s="7">
        <f>$B2 * IFERROR(VLOOKUP("buildings|PM25|Premature mortality", US_national_yearly!$D:$AM, 32, FALSE) / VLOOKUP("buildings|PM25|Premature mortality", US_national_yearly!$D:$AM, 10, FALSE), 1)</f>
        <v>2.0598473808078671E-3</v>
      </c>
      <c r="Y2" s="7">
        <f>$B2 * IFERROR(VLOOKUP("buildings|PM25|Premature mortality", US_national_yearly!$D:$AM, 33, FALSE) / VLOOKUP("buildings|PM25|Premature mortality", US_national_yearly!$D:$AM, 10, FALSE), 1)</f>
        <v>2.0617543896362272E-3</v>
      </c>
      <c r="Z2" s="7">
        <f>$B2 * IFERROR(VLOOKUP("buildings|PM25|Premature mortality", US_national_yearly!$D:$AM, 34, FALSE) / VLOOKUP("buildings|PM25|Premature mortality", US_national_yearly!$D:$AM, 10, FALSE), 1)</f>
        <v>2.0636613984645873E-3</v>
      </c>
      <c r="AA2" s="7">
        <f>$B2 * IFERROR(VLOOKUP("buildings|PM25|Premature mortality", US_national_yearly!$D:$AM, 35, FALSE) / VLOOKUP("buildings|PM25|Premature mortality", US_national_yearly!$D:$AM, 10, FALSE), 1)</f>
        <v>2.0655684072929475E-3</v>
      </c>
      <c r="AB2" s="7">
        <f>$B2 * IFERROR(VLOOKUP("buildings|PM25|Premature mortality", US_national_yearly!$D:$AM, 36, FALSE) / VLOOKUP("buildings|PM25|Premature mortality", US_national_yearly!$D:$AM, 10, FALSE), 1)</f>
        <v>2.0674754161213076E-3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4.5638428132322272E-6</v>
      </c>
      <c r="C3" s="7">
        <f>$B3 * IFERROR(VLOOKUP("buildings|PM25|Infant mortality", US_national_yearly!$D:$AM, 11, FALSE) / VLOOKUP("buildings|PM25|Infant mortality", US_national_yearly!$D:$AM, 10, FALSE), 1)</f>
        <v>4.5243125517612204E-6</v>
      </c>
      <c r="D3" s="7">
        <f>$B3 * IFERROR(VLOOKUP("buildings|PM25|Infant mortality", US_national_yearly!$D:$AM, 12, FALSE) / VLOOKUP("buildings|PM25|Infant mortality", US_national_yearly!$D:$AM, 10, FALSE), 1)</f>
        <v>4.4847822902902144E-6</v>
      </c>
      <c r="E3" s="7">
        <f>$B3 * IFERROR(VLOOKUP("buildings|PM25|Infant mortality", US_national_yearly!$D:$AM, 13, FALSE) / VLOOKUP("buildings|PM25|Infant mortality", US_national_yearly!$D:$AM, 10, FALSE), 1)</f>
        <v>4.4452520288192076E-6</v>
      </c>
      <c r="F3" s="7">
        <f>$B3 * IFERROR(VLOOKUP("buildings|PM25|Infant mortality", US_national_yearly!$D:$AM, 14, FALSE) / VLOOKUP("buildings|PM25|Infant mortality", US_national_yearly!$D:$AM, 10, FALSE), 1)</f>
        <v>4.4057217673482016E-6</v>
      </c>
      <c r="G3" s="7">
        <f>$B3 * IFERROR(VLOOKUP("buildings|PM25|Infant mortality", US_national_yearly!$D:$AM, 15, FALSE) / VLOOKUP("buildings|PM25|Infant mortality", US_national_yearly!$D:$AM, 10, FALSE), 1)</f>
        <v>2.9296451393345766E-6</v>
      </c>
      <c r="H3" s="7">
        <f>$B3 * IFERROR(VLOOKUP("buildings|PM25|Infant mortality", US_national_yearly!$D:$AM, 16, FALSE) / VLOOKUP("buildings|PM25|Infant mortality", US_national_yearly!$D:$AM, 10, FALSE), 1)</f>
        <v>1.4535685113209515E-6</v>
      </c>
      <c r="I3" s="7">
        <f>$B3 * IFERROR(VLOOKUP("buildings|PM25|Infant mortality", US_national_yearly!$D:$AM, 17, FALSE) / VLOOKUP("buildings|PM25|Infant mortality", US_national_yearly!$D:$AM, 10, FALSE), 1)</f>
        <v>1.4440964692889734E-6</v>
      </c>
      <c r="J3" s="7">
        <f>$B3 * IFERROR(VLOOKUP("buildings|PM25|Infant mortality", US_national_yearly!$D:$AM, 18, FALSE) / VLOOKUP("buildings|PM25|Infant mortality", US_national_yearly!$D:$AM, 10, FALSE), 1)</f>
        <v>1.4346244272569951E-6</v>
      </c>
      <c r="K3" s="7">
        <f>$B3 * IFERROR(VLOOKUP("buildings|PM25|Infant mortality", US_national_yearly!$D:$AM, 19, FALSE) / VLOOKUP("buildings|PM25|Infant mortality", US_national_yearly!$D:$AM, 10, FALSE), 1)</f>
        <v>1.4251523852250167E-6</v>
      </c>
      <c r="L3" s="7">
        <f>$B3 * IFERROR(VLOOKUP("buildings|PM25|Infant mortality", US_national_yearly!$D:$AM, 20, FALSE) / VLOOKUP("buildings|PM25|Infant mortality", US_national_yearly!$D:$AM, 10, FALSE), 1)</f>
        <v>1.4156803431930384E-6</v>
      </c>
      <c r="M3" s="7">
        <f>$B3 * IFERROR(VLOOKUP("buildings|PM25|Infant mortality", US_national_yearly!$D:$AM, 21, FALSE) / VLOOKUP("buildings|PM25|Infant mortality", US_national_yearly!$D:$AM, 10, FALSE), 1)</f>
        <v>1.4062083011610601E-6</v>
      </c>
      <c r="N3" s="7">
        <f>$B3 * IFERROR(VLOOKUP("buildings|PM25|Infant mortality", US_national_yearly!$D:$AM, 22, FALSE) / VLOOKUP("buildings|PM25|Infant mortality", US_national_yearly!$D:$AM, 10, FALSE), 1)</f>
        <v>1.4002816851121331E-6</v>
      </c>
      <c r="O3" s="7">
        <f>$B3 * IFERROR(VLOOKUP("buildings|PM25|Infant mortality", US_national_yearly!$D:$AM, 23, FALSE) / VLOOKUP("buildings|PM25|Infant mortality", US_national_yearly!$D:$AM, 10, FALSE), 1)</f>
        <v>1.3943550690632061E-6</v>
      </c>
      <c r="P3" s="7">
        <f>$B3 * IFERROR(VLOOKUP("buildings|PM25|Infant mortality", US_national_yearly!$D:$AM, 24, FALSE) / VLOOKUP("buildings|PM25|Infant mortality", US_national_yearly!$D:$AM, 10, FALSE), 1)</f>
        <v>1.3884284530142792E-6</v>
      </c>
      <c r="Q3" s="7">
        <f>$B3 * IFERROR(VLOOKUP("buildings|PM25|Infant mortality", US_national_yearly!$D:$AM, 25, FALSE) / VLOOKUP("buildings|PM25|Infant mortality", US_national_yearly!$D:$AM, 10, FALSE), 1)</f>
        <v>1.382501836965352E-6</v>
      </c>
      <c r="R3" s="7">
        <f>$B3 * IFERROR(VLOOKUP("buildings|PM25|Infant mortality", US_national_yearly!$D:$AM, 26, FALSE) / VLOOKUP("buildings|PM25|Infant mortality", US_national_yearly!$D:$AM, 10, FALSE), 1)</f>
        <v>1.376575220916425E-6</v>
      </c>
      <c r="S3" s="7">
        <f>$B3 * IFERROR(VLOOKUP("buildings|PM25|Infant mortality", US_national_yearly!$D:$AM, 27, FALSE) / VLOOKUP("buildings|PM25|Infant mortality", US_national_yearly!$D:$AM, 10, FALSE), 1)</f>
        <v>1.3691754332499186E-6</v>
      </c>
      <c r="T3" s="7">
        <f>$B3 * IFERROR(VLOOKUP("buildings|PM25|Infant mortality", US_national_yearly!$D:$AM, 28, FALSE) / VLOOKUP("buildings|PM25|Infant mortality", US_national_yearly!$D:$AM, 10, FALSE), 1)</f>
        <v>1.3617756455834122E-6</v>
      </c>
      <c r="U3" s="7">
        <f>$B3 * IFERROR(VLOOKUP("buildings|PM25|Infant mortality", US_national_yearly!$D:$AM, 29, FALSE) / VLOOKUP("buildings|PM25|Infant mortality", US_national_yearly!$D:$AM, 10, FALSE), 1)</f>
        <v>1.3543758579169056E-6</v>
      </c>
      <c r="V3" s="7">
        <f>$B3 * IFERROR(VLOOKUP("buildings|PM25|Infant mortality", US_national_yearly!$D:$AM, 30, FALSE) / VLOOKUP("buildings|PM25|Infant mortality", US_national_yearly!$D:$AM, 10, FALSE), 1)</f>
        <v>1.3469760702503992E-6</v>
      </c>
      <c r="W3" s="7">
        <f>$B3 * IFERROR(VLOOKUP("buildings|PM25|Infant mortality", US_national_yearly!$D:$AM, 31, FALSE) / VLOOKUP("buildings|PM25|Infant mortality", US_national_yearly!$D:$AM, 10, FALSE), 1)</f>
        <v>1.3395762825838928E-6</v>
      </c>
      <c r="X3" s="7">
        <f>$B3 * IFERROR(VLOOKUP("buildings|PM25|Infant mortality", US_national_yearly!$D:$AM, 32, FALSE) / VLOOKUP("buildings|PM25|Infant mortality", US_national_yearly!$D:$AM, 10, FALSE), 1)</f>
        <v>1.3316094584098724E-6</v>
      </c>
      <c r="Y3" s="7">
        <f>$B3 * IFERROR(VLOOKUP("buildings|PM25|Infant mortality", US_national_yearly!$D:$AM, 33, FALSE) / VLOOKUP("buildings|PM25|Infant mortality", US_national_yearly!$D:$AM, 10, FALSE), 1)</f>
        <v>1.3236426342358523E-6</v>
      </c>
      <c r="Z3" s="7">
        <f>$B3 * IFERROR(VLOOKUP("buildings|PM25|Infant mortality", US_national_yearly!$D:$AM, 34, FALSE) / VLOOKUP("buildings|PM25|Infant mortality", US_national_yearly!$D:$AM, 10, FALSE), 1)</f>
        <v>1.3156758100618318E-6</v>
      </c>
      <c r="AA3" s="7">
        <f>$B3 * IFERROR(VLOOKUP("buildings|PM25|Infant mortality", US_national_yearly!$D:$AM, 35, FALSE) / VLOOKUP("buildings|PM25|Infant mortality", US_national_yearly!$D:$AM, 10, FALSE), 1)</f>
        <v>1.3077089858878113E-6</v>
      </c>
      <c r="AB3" s="7">
        <f>$B3 * IFERROR(VLOOKUP("buildings|PM25|Infant mortality", US_national_yearly!$D:$AM, 36, FALSE) / VLOOKUP("buildings|PM25|Infant mortality", US_national_yearly!$D:$AM, 10, FALSE), 1)</f>
        <v>1.2997421617137912E-6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5.009146463253923E-3</v>
      </c>
      <c r="C6" s="7">
        <f>$B6 * IFERROR(VLOOKUP("buildings|PM25|Asthma symptoms cough", US_national_yearly!$D:$AM, 11, FALSE) / VLOOKUP("buildings|PM25|Asthma symptoms cough", US_national_yearly!$D:$AM, 10, FALSE), 1)</f>
        <v>5.009146463253923E-3</v>
      </c>
      <c r="D6" s="7">
        <f>$B6 * IFERROR(VLOOKUP("buildings|PM25|Asthma symptoms cough", US_national_yearly!$D:$AM, 12, FALSE) / VLOOKUP("buildings|PM25|Asthma symptoms cough", US_national_yearly!$D:$AM, 10, FALSE), 1)</f>
        <v>5.009146463253923E-3</v>
      </c>
      <c r="E6" s="7">
        <f>$B6 * IFERROR(VLOOKUP("buildings|PM25|Asthma symptoms cough", US_national_yearly!$D:$AM, 13, FALSE) / VLOOKUP("buildings|PM25|Asthma symptoms cough", US_national_yearly!$D:$AM, 10, FALSE), 1)</f>
        <v>5.009146463253923E-3</v>
      </c>
      <c r="F6" s="7">
        <f>$B6 * IFERROR(VLOOKUP("buildings|PM25|Asthma symptoms cough", US_national_yearly!$D:$AM, 14, FALSE) / VLOOKUP("buildings|PM25|Asthma symptoms cough", US_national_yearly!$D:$AM, 10, FALSE), 1)</f>
        <v>5.009146463253923E-3</v>
      </c>
      <c r="G6" s="7">
        <f>$B6 * IFERROR(VLOOKUP("buildings|PM25|Asthma symptoms cough", US_national_yearly!$D:$AM, 15, FALSE) / VLOOKUP("buildings|PM25|Asthma symptoms cough", US_national_yearly!$D:$AM, 10, FALSE), 1)</f>
        <v>5.009146463253923E-3</v>
      </c>
      <c r="H6" s="7">
        <f>$B6 * IFERROR(VLOOKUP("buildings|PM25|Asthma symptoms cough", US_national_yearly!$D:$AM, 16, FALSE) / VLOOKUP("buildings|PM25|Asthma symptoms cough", US_national_yearly!$D:$AM, 10, FALSE), 1)</f>
        <v>5.009146463253923E-3</v>
      </c>
      <c r="I6" s="7">
        <f>$B6 * IFERROR(VLOOKUP("buildings|PM25|Asthma symptoms cough", US_national_yearly!$D:$AM, 17, FALSE) / VLOOKUP("buildings|PM25|Asthma symptoms cough", US_national_yearly!$D:$AM, 10, FALSE), 1)</f>
        <v>5.009146463253923E-3</v>
      </c>
      <c r="J6" s="7">
        <f>$B6 * IFERROR(VLOOKUP("buildings|PM25|Asthma symptoms cough", US_national_yearly!$D:$AM, 18, FALSE) / VLOOKUP("buildings|PM25|Asthma symptoms cough", US_national_yearly!$D:$AM, 10, FALSE), 1)</f>
        <v>5.009146463253923E-3</v>
      </c>
      <c r="K6" s="7">
        <f>$B6 * IFERROR(VLOOKUP("buildings|PM25|Asthma symptoms cough", US_national_yearly!$D:$AM, 19, FALSE) / VLOOKUP("buildings|PM25|Asthma symptoms cough", US_national_yearly!$D:$AM, 10, FALSE), 1)</f>
        <v>5.009146463253923E-3</v>
      </c>
      <c r="L6" s="7">
        <f>$B6 * IFERROR(VLOOKUP("buildings|PM25|Asthma symptoms cough", US_national_yearly!$D:$AM, 20, FALSE) / VLOOKUP("buildings|PM25|Asthma symptoms cough", US_national_yearly!$D:$AM, 10, FALSE), 1)</f>
        <v>5.009146463253923E-3</v>
      </c>
      <c r="M6" s="7">
        <f>$B6 * IFERROR(VLOOKUP("buildings|PM25|Asthma symptoms cough", US_national_yearly!$D:$AM, 21, FALSE) / VLOOKUP("buildings|PM25|Asthma symptoms cough", US_national_yearly!$D:$AM, 10, FALSE), 1)</f>
        <v>5.009146463253923E-3</v>
      </c>
      <c r="N6" s="7">
        <f>$B6 * IFERROR(VLOOKUP("buildings|PM25|Asthma symptoms cough", US_national_yearly!$D:$AM, 22, FALSE) / VLOOKUP("buildings|PM25|Asthma symptoms cough", US_national_yearly!$D:$AM, 10, FALSE), 1)</f>
        <v>5.009146463253923E-3</v>
      </c>
      <c r="O6" s="7">
        <f>$B6 * IFERROR(VLOOKUP("buildings|PM25|Asthma symptoms cough", US_national_yearly!$D:$AM, 23, FALSE) / VLOOKUP("buildings|PM25|Asthma symptoms cough", US_national_yearly!$D:$AM, 10, FALSE), 1)</f>
        <v>5.009146463253923E-3</v>
      </c>
      <c r="P6" s="7">
        <f>$B6 * IFERROR(VLOOKUP("buildings|PM25|Asthma symptoms cough", US_national_yearly!$D:$AM, 24, FALSE) / VLOOKUP("buildings|PM25|Asthma symptoms cough", US_national_yearly!$D:$AM, 10, FALSE), 1)</f>
        <v>5.009146463253923E-3</v>
      </c>
      <c r="Q6" s="7">
        <f>$B6 * IFERROR(VLOOKUP("buildings|PM25|Asthma symptoms cough", US_national_yearly!$D:$AM, 25, FALSE) / VLOOKUP("buildings|PM25|Asthma symptoms cough", US_national_yearly!$D:$AM, 10, FALSE), 1)</f>
        <v>5.009146463253923E-3</v>
      </c>
      <c r="R6" s="7">
        <f>$B6 * IFERROR(VLOOKUP("buildings|PM25|Asthma symptoms cough", US_national_yearly!$D:$AM, 26, FALSE) / VLOOKUP("buildings|PM25|Asthma symptoms cough", US_national_yearly!$D:$AM, 10, FALSE), 1)</f>
        <v>5.009146463253923E-3</v>
      </c>
      <c r="S6" s="7">
        <f>$B6 * IFERROR(VLOOKUP("buildings|PM25|Asthma symptoms cough", US_national_yearly!$D:$AM, 27, FALSE) / VLOOKUP("buildings|PM25|Asthma symptoms cough", US_national_yearly!$D:$AM, 10, FALSE), 1)</f>
        <v>5.009146463253923E-3</v>
      </c>
      <c r="T6" s="7">
        <f>$B6 * IFERROR(VLOOKUP("buildings|PM25|Asthma symptoms cough", US_national_yearly!$D:$AM, 28, FALSE) / VLOOKUP("buildings|PM25|Asthma symptoms cough", US_national_yearly!$D:$AM, 10, FALSE), 1)</f>
        <v>5.009146463253923E-3</v>
      </c>
      <c r="U6" s="7">
        <f>$B6 * IFERROR(VLOOKUP("buildings|PM25|Asthma symptoms cough", US_national_yearly!$D:$AM, 29, FALSE) / VLOOKUP("buildings|PM25|Asthma symptoms cough", US_national_yearly!$D:$AM, 10, FALSE), 1)</f>
        <v>5.009146463253923E-3</v>
      </c>
      <c r="V6" s="7">
        <f>$B6 * IFERROR(VLOOKUP("buildings|PM25|Asthma symptoms cough", US_national_yearly!$D:$AM, 30, FALSE) / VLOOKUP("buildings|PM25|Asthma symptoms cough", US_national_yearly!$D:$AM, 10, FALSE), 1)</f>
        <v>5.009146463253923E-3</v>
      </c>
      <c r="W6" s="7">
        <f>$B6 * IFERROR(VLOOKUP("buildings|PM25|Asthma symptoms cough", US_national_yearly!$D:$AM, 31, FALSE) / VLOOKUP("buildings|PM25|Asthma symptoms cough", US_national_yearly!$D:$AM, 10, FALSE), 1)</f>
        <v>5.009146463253923E-3</v>
      </c>
      <c r="X6" s="7">
        <f>$B6 * IFERROR(VLOOKUP("buildings|PM25|Asthma symptoms cough", US_national_yearly!$D:$AM, 32, FALSE) / VLOOKUP("buildings|PM25|Asthma symptoms cough", US_national_yearly!$D:$AM, 10, FALSE), 1)</f>
        <v>5.009146463253923E-3</v>
      </c>
      <c r="Y6" s="7">
        <f>$B6 * IFERROR(VLOOKUP("buildings|PM25|Asthma symptoms cough", US_national_yearly!$D:$AM, 33, FALSE) / VLOOKUP("buildings|PM25|Asthma symptoms cough", US_national_yearly!$D:$AM, 10, FALSE), 1)</f>
        <v>5.009146463253923E-3</v>
      </c>
      <c r="Z6" s="7">
        <f>$B6 * IFERROR(VLOOKUP("buildings|PM25|Asthma symptoms cough", US_national_yearly!$D:$AM, 34, FALSE) / VLOOKUP("buildings|PM25|Asthma symptoms cough", US_national_yearly!$D:$AM, 10, FALSE), 1)</f>
        <v>5.009146463253923E-3</v>
      </c>
      <c r="AA6" s="7">
        <f>$B6 * IFERROR(VLOOKUP("buildings|PM25|Asthma symptoms cough", US_national_yearly!$D:$AM, 35, FALSE) / VLOOKUP("buildings|PM25|Asthma symptoms cough", US_national_yearly!$D:$AM, 10, FALSE), 1)</f>
        <v>5.009146463253923E-3</v>
      </c>
      <c r="AB6" s="7">
        <f>$B6 * IFERROR(VLOOKUP("buildings|PM25|Asthma symptoms cough", US_national_yearly!$D:$AM, 36, FALSE) / VLOOKUP("buildings|PM25|Asthma symptoms cough", US_national_yearly!$D:$AM, 10, FALSE), 1)</f>
        <v>5.009146463253923E-3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6.7455508543715209E-3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6.7455508543715209E-3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6.7455508543715209E-3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6.7455508543715209E-3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6.7455508543715209E-3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6.7455508543715209E-3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6.7455508543715209E-3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6.7455508543715209E-3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6.7455508543715209E-3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6.7455508543715209E-3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6.7455508543715209E-3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6.7455508543715209E-3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6.7455508543715209E-3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6.7455508543715209E-3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6.7455508543715209E-3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6.7455508543715209E-3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6.7455508543715209E-3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6.7455508543715209E-3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6.7455508543715209E-3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6.7455508543715209E-3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6.7455508543715209E-3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6.7455508543715209E-3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6.7455508543715209E-3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6.7455508543715209E-3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6.7455508543715209E-3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6.7455508543715209E-3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6.7455508543715209E-3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1.0306028843897296E-2</v>
      </c>
      <c r="C8" s="7">
        <f>$B8 * IFERROR(VLOOKUP("buildings|PM25|Asthma symptoms wheeze", US_national_yearly!$D:$AM, 11, FALSE) / VLOOKUP("buildings|PM25|Asthma symptoms wheeze", US_national_yearly!$D:$AM, 10, FALSE), 1)</f>
        <v>1.0306028843897296E-2</v>
      </c>
      <c r="D8" s="7">
        <f>$B8 * IFERROR(VLOOKUP("buildings|PM25|Asthma symptoms wheeze", US_national_yearly!$D:$AM, 12, FALSE) / VLOOKUP("buildings|PM25|Asthma symptoms wheeze", US_national_yearly!$D:$AM, 10, FALSE), 1)</f>
        <v>1.0306028843897296E-2</v>
      </c>
      <c r="E8" s="7">
        <f>$B8 * IFERROR(VLOOKUP("buildings|PM25|Asthma symptoms wheeze", US_national_yearly!$D:$AM, 13, FALSE) / VLOOKUP("buildings|PM25|Asthma symptoms wheeze", US_national_yearly!$D:$AM, 10, FALSE), 1)</f>
        <v>1.0306028843897296E-2</v>
      </c>
      <c r="F8" s="7">
        <f>$B8 * IFERROR(VLOOKUP("buildings|PM25|Asthma symptoms wheeze", US_national_yearly!$D:$AM, 14, FALSE) / VLOOKUP("buildings|PM25|Asthma symptoms wheeze", US_national_yearly!$D:$AM, 10, FALSE), 1)</f>
        <v>1.0306028843897296E-2</v>
      </c>
      <c r="G8" s="7">
        <f>$B8 * IFERROR(VLOOKUP("buildings|PM25|Asthma symptoms wheeze", US_national_yearly!$D:$AM, 15, FALSE) / VLOOKUP("buildings|PM25|Asthma symptoms wheeze", US_national_yearly!$D:$AM, 10, FALSE), 1)</f>
        <v>1.0306028843897296E-2</v>
      </c>
      <c r="H8" s="7">
        <f>$B8 * IFERROR(VLOOKUP("buildings|PM25|Asthma symptoms wheeze", US_national_yearly!$D:$AM, 16, FALSE) / VLOOKUP("buildings|PM25|Asthma symptoms wheeze", US_national_yearly!$D:$AM, 10, FALSE), 1)</f>
        <v>1.0306028843897296E-2</v>
      </c>
      <c r="I8" s="7">
        <f>$B8 * IFERROR(VLOOKUP("buildings|PM25|Asthma symptoms wheeze", US_national_yearly!$D:$AM, 17, FALSE) / VLOOKUP("buildings|PM25|Asthma symptoms wheeze", US_national_yearly!$D:$AM, 10, FALSE), 1)</f>
        <v>1.0306028843897296E-2</v>
      </c>
      <c r="J8" s="7">
        <f>$B8 * IFERROR(VLOOKUP("buildings|PM25|Asthma symptoms wheeze", US_national_yearly!$D:$AM, 18, FALSE) / VLOOKUP("buildings|PM25|Asthma symptoms wheeze", US_national_yearly!$D:$AM, 10, FALSE), 1)</f>
        <v>1.0306028843897296E-2</v>
      </c>
      <c r="K8" s="7">
        <f>$B8 * IFERROR(VLOOKUP("buildings|PM25|Asthma symptoms wheeze", US_national_yearly!$D:$AM, 19, FALSE) / VLOOKUP("buildings|PM25|Asthma symptoms wheeze", US_national_yearly!$D:$AM, 10, FALSE), 1)</f>
        <v>1.0306028843897296E-2</v>
      </c>
      <c r="L8" s="7">
        <f>$B8 * IFERROR(VLOOKUP("buildings|PM25|Asthma symptoms wheeze", US_national_yearly!$D:$AM, 20, FALSE) / VLOOKUP("buildings|PM25|Asthma symptoms wheeze", US_national_yearly!$D:$AM, 10, FALSE), 1)</f>
        <v>1.0306028843897296E-2</v>
      </c>
      <c r="M8" s="7">
        <f>$B8 * IFERROR(VLOOKUP("buildings|PM25|Asthma symptoms wheeze", US_national_yearly!$D:$AM, 21, FALSE) / VLOOKUP("buildings|PM25|Asthma symptoms wheeze", US_national_yearly!$D:$AM, 10, FALSE), 1)</f>
        <v>1.0306028843897296E-2</v>
      </c>
      <c r="N8" s="7">
        <f>$B8 * IFERROR(VLOOKUP("buildings|PM25|Asthma symptoms wheeze", US_national_yearly!$D:$AM, 22, FALSE) / VLOOKUP("buildings|PM25|Asthma symptoms wheeze", US_national_yearly!$D:$AM, 10, FALSE), 1)</f>
        <v>1.0306028843897296E-2</v>
      </c>
      <c r="O8" s="7">
        <f>$B8 * IFERROR(VLOOKUP("buildings|PM25|Asthma symptoms wheeze", US_national_yearly!$D:$AM, 23, FALSE) / VLOOKUP("buildings|PM25|Asthma symptoms wheeze", US_national_yearly!$D:$AM, 10, FALSE), 1)</f>
        <v>1.0306028843897296E-2</v>
      </c>
      <c r="P8" s="7">
        <f>$B8 * IFERROR(VLOOKUP("buildings|PM25|Asthma symptoms wheeze", US_national_yearly!$D:$AM, 24, FALSE) / VLOOKUP("buildings|PM25|Asthma symptoms wheeze", US_national_yearly!$D:$AM, 10, FALSE), 1)</f>
        <v>1.0306028843897296E-2</v>
      </c>
      <c r="Q8" s="7">
        <f>$B8 * IFERROR(VLOOKUP("buildings|PM25|Asthma symptoms wheeze", US_national_yearly!$D:$AM, 25, FALSE) / VLOOKUP("buildings|PM25|Asthma symptoms wheeze", US_national_yearly!$D:$AM, 10, FALSE), 1)</f>
        <v>1.0306028843897296E-2</v>
      </c>
      <c r="R8" s="7">
        <f>$B8 * IFERROR(VLOOKUP("buildings|PM25|Asthma symptoms wheeze", US_national_yearly!$D:$AM, 26, FALSE) / VLOOKUP("buildings|PM25|Asthma symptoms wheeze", US_national_yearly!$D:$AM, 10, FALSE), 1)</f>
        <v>1.0306028843897296E-2</v>
      </c>
      <c r="S8" s="7">
        <f>$B8 * IFERROR(VLOOKUP("buildings|PM25|Asthma symptoms wheeze", US_national_yearly!$D:$AM, 27, FALSE) / VLOOKUP("buildings|PM25|Asthma symptoms wheeze", US_national_yearly!$D:$AM, 10, FALSE), 1)</f>
        <v>1.0306028843897296E-2</v>
      </c>
      <c r="T8" s="7">
        <f>$B8 * IFERROR(VLOOKUP("buildings|PM25|Asthma symptoms wheeze", US_national_yearly!$D:$AM, 28, FALSE) / VLOOKUP("buildings|PM25|Asthma symptoms wheeze", US_national_yearly!$D:$AM, 10, FALSE), 1)</f>
        <v>1.0306028843897296E-2</v>
      </c>
      <c r="U8" s="7">
        <f>$B8 * IFERROR(VLOOKUP("buildings|PM25|Asthma symptoms wheeze", US_national_yearly!$D:$AM, 29, FALSE) / VLOOKUP("buildings|PM25|Asthma symptoms wheeze", US_national_yearly!$D:$AM, 10, FALSE), 1)</f>
        <v>1.0306028843897296E-2</v>
      </c>
      <c r="V8" s="7">
        <f>$B8 * IFERROR(VLOOKUP("buildings|PM25|Asthma symptoms wheeze", US_national_yearly!$D:$AM, 30, FALSE) / VLOOKUP("buildings|PM25|Asthma symptoms wheeze", US_national_yearly!$D:$AM, 10, FALSE), 1)</f>
        <v>1.0306028843897296E-2</v>
      </c>
      <c r="W8" s="7">
        <f>$B8 * IFERROR(VLOOKUP("buildings|PM25|Asthma symptoms wheeze", US_national_yearly!$D:$AM, 31, FALSE) / VLOOKUP("buildings|PM25|Asthma symptoms wheeze", US_national_yearly!$D:$AM, 10, FALSE), 1)</f>
        <v>1.0306028843897296E-2</v>
      </c>
      <c r="X8" s="7">
        <f>$B8 * IFERROR(VLOOKUP("buildings|PM25|Asthma symptoms wheeze", US_national_yearly!$D:$AM, 32, FALSE) / VLOOKUP("buildings|PM25|Asthma symptoms wheeze", US_national_yearly!$D:$AM, 10, FALSE), 1)</f>
        <v>1.0306028843897296E-2</v>
      </c>
      <c r="Y8" s="7">
        <f>$B8 * IFERROR(VLOOKUP("buildings|PM25|Asthma symptoms wheeze", US_national_yearly!$D:$AM, 33, FALSE) / VLOOKUP("buildings|PM25|Asthma symptoms wheeze", US_national_yearly!$D:$AM, 10, FALSE), 1)</f>
        <v>1.0306028843897296E-2</v>
      </c>
      <c r="Z8" s="7">
        <f>$B8 * IFERROR(VLOOKUP("buildings|PM25|Asthma symptoms wheeze", US_national_yearly!$D:$AM, 34, FALSE) / VLOOKUP("buildings|PM25|Asthma symptoms wheeze", US_national_yearly!$D:$AM, 10, FALSE), 1)</f>
        <v>1.0306028843897296E-2</v>
      </c>
      <c r="AA8" s="7">
        <f>$B8 * IFERROR(VLOOKUP("buildings|PM25|Asthma symptoms wheeze", US_national_yearly!$D:$AM, 35, FALSE) / VLOOKUP("buildings|PM25|Asthma symptoms wheeze", US_national_yearly!$D:$AM, 10, FALSE), 1)</f>
        <v>1.0306028843897296E-2</v>
      </c>
      <c r="AB8" s="7">
        <f>$B8 * IFERROR(VLOOKUP("buildings|PM25|Asthma symptoms wheeze", US_national_yearly!$D:$AM, 36, FALSE) / VLOOKUP("buildings|PM25|Asthma symptoms wheeze", US_national_yearly!$D:$AM, 10, FALSE), 1)</f>
        <v>1.0306028843897296E-2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1.081874530225036E-4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1.0881106348976122E-4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1.0943467395701885E-4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1.1005828442427648E-4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1.1068189489153413E-4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1.1135482836217389E-4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1.1202776183281365E-4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1.1266778241560663E-4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1.1330780299839959E-4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1.1394782358119254E-4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1.1458784416398553E-4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1.1522786474677848E-4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1.1568821292427413E-4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1.1614856110176977E-4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1.1660890927926543E-4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1.1706925745676104E-4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1.1752960563425669E-4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1.1796821290697388E-4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1.1840682017969112E-4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1.1884542745240831E-4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1.192840347251255E-4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1.1972264199784275E-4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1.2014626709615674E-4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1.2056989219447077E-4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1.2099351729278476E-4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1.2141714239109878E-4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1.2184076748941279E-4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1.1428164103162498E-3</v>
      </c>
      <c r="C13" s="7">
        <f>$B13 * IFERROR(VLOOKUP("buildings|PM25|Non-fatal heart attacks", US_national_yearly!$D:$AM, 11, FALSE) / VLOOKUP("buildings|PM25|Non-fatal heart attacks", US_national_yearly!$D:$AM, 10, FALSE), 1)</f>
        <v>1.1760568427275605E-3</v>
      </c>
      <c r="D13" s="7">
        <f>$B13 * IFERROR(VLOOKUP("buildings|PM25|Non-fatal heart attacks", US_national_yearly!$D:$AM, 12, FALSE) / VLOOKUP("buildings|PM25|Non-fatal heart attacks", US_national_yearly!$D:$AM, 10, FALSE), 1)</f>
        <v>1.2092972751388707E-3</v>
      </c>
      <c r="E13" s="7">
        <f>$B13 * IFERROR(VLOOKUP("buildings|PM25|Non-fatal heart attacks", US_national_yearly!$D:$AM, 13, FALSE) / VLOOKUP("buildings|PM25|Non-fatal heart attacks", US_national_yearly!$D:$AM, 10, FALSE), 1)</f>
        <v>1.2425377075501811E-3</v>
      </c>
      <c r="F13" s="7">
        <f>$B13 * IFERROR(VLOOKUP("buildings|PM25|Non-fatal heart attacks", US_national_yearly!$D:$AM, 14, FALSE) / VLOOKUP("buildings|PM25|Non-fatal heart attacks", US_national_yearly!$D:$AM, 10, FALSE), 1)</f>
        <v>1.2757781399614918E-3</v>
      </c>
      <c r="G13" s="7">
        <f>$B13 * IFERROR(VLOOKUP("buildings|PM25|Non-fatal heart attacks", US_national_yearly!$D:$AM, 15, FALSE) / VLOOKUP("buildings|PM25|Non-fatal heart attacks", US_national_yearly!$D:$AM, 10, FALSE), 1)</f>
        <v>1.3071423864744454E-3</v>
      </c>
      <c r="H13" s="7">
        <f>$B13 * IFERROR(VLOOKUP("buildings|PM25|Non-fatal heart attacks", US_national_yearly!$D:$AM, 16, FALSE) / VLOOKUP("buildings|PM25|Non-fatal heart attacks", US_national_yearly!$D:$AM, 10, FALSE), 1)</f>
        <v>1.3385066329873985E-3</v>
      </c>
      <c r="I13" s="7">
        <f>$B13 * IFERROR(VLOOKUP("buildings|PM25|Non-fatal heart attacks", US_national_yearly!$D:$AM, 17, FALSE) / VLOOKUP("buildings|PM25|Non-fatal heart attacks", US_national_yearly!$D:$AM, 10, FALSE), 1)</f>
        <v>1.3637416053317631E-3</v>
      </c>
      <c r="J13" s="7">
        <f>$B13 * IFERROR(VLOOKUP("buildings|PM25|Non-fatal heart attacks", US_national_yearly!$D:$AM, 18, FALSE) / VLOOKUP("buildings|PM25|Non-fatal heart attacks", US_national_yearly!$D:$AM, 10, FALSE), 1)</f>
        <v>1.388976577676128E-3</v>
      </c>
      <c r="K13" s="7">
        <f>$B13 * IFERROR(VLOOKUP("buildings|PM25|Non-fatal heart attacks", US_national_yearly!$D:$AM, 19, FALSE) / VLOOKUP("buildings|PM25|Non-fatal heart attacks", US_national_yearly!$D:$AM, 10, FALSE), 1)</f>
        <v>1.4142115500204923E-3</v>
      </c>
      <c r="L13" s="7">
        <f>$B13 * IFERROR(VLOOKUP("buildings|PM25|Non-fatal heart attacks", US_national_yearly!$D:$AM, 20, FALSE) / VLOOKUP("buildings|PM25|Non-fatal heart attacks", US_national_yearly!$D:$AM, 10, FALSE), 1)</f>
        <v>1.4394465223648567E-3</v>
      </c>
      <c r="M13" s="7">
        <f>$B13 * IFERROR(VLOOKUP("buildings|PM25|Non-fatal heart attacks", US_national_yearly!$D:$AM, 21, FALSE) / VLOOKUP("buildings|PM25|Non-fatal heart attacks", US_national_yearly!$D:$AM, 10, FALSE), 1)</f>
        <v>1.4646814947092211E-3</v>
      </c>
      <c r="N13" s="7">
        <f>$B13 * IFERROR(VLOOKUP("buildings|PM25|Non-fatal heart attacks", US_national_yearly!$D:$AM, 22, FALSE) / VLOOKUP("buildings|PM25|Non-fatal heart attacks", US_national_yearly!$D:$AM, 10, FALSE), 1)</f>
        <v>1.4809836810966918E-3</v>
      </c>
      <c r="O13" s="7">
        <f>$B13 * IFERROR(VLOOKUP("buildings|PM25|Non-fatal heart attacks", US_national_yearly!$D:$AM, 23, FALSE) / VLOOKUP("buildings|PM25|Non-fatal heart attacks", US_national_yearly!$D:$AM, 10, FALSE), 1)</f>
        <v>1.4972858674841621E-3</v>
      </c>
      <c r="P13" s="7">
        <f>$B13 * IFERROR(VLOOKUP("buildings|PM25|Non-fatal heart attacks", US_national_yearly!$D:$AM, 24, FALSE) / VLOOKUP("buildings|PM25|Non-fatal heart attacks", US_national_yearly!$D:$AM, 10, FALSE), 1)</f>
        <v>1.5135880538716326E-3</v>
      </c>
      <c r="Q13" s="7">
        <f>$B13 * IFERROR(VLOOKUP("buildings|PM25|Non-fatal heart attacks", US_national_yearly!$D:$AM, 25, FALSE) / VLOOKUP("buildings|PM25|Non-fatal heart attacks", US_national_yearly!$D:$AM, 10, FALSE), 1)</f>
        <v>1.5298902402591031E-3</v>
      </c>
      <c r="R13" s="7">
        <f>$B13 * IFERROR(VLOOKUP("buildings|PM25|Non-fatal heart attacks", US_national_yearly!$D:$AM, 26, FALSE) / VLOOKUP("buildings|PM25|Non-fatal heart attacks", US_national_yearly!$D:$AM, 10, FALSE), 1)</f>
        <v>1.5461924266465736E-3</v>
      </c>
      <c r="S13" s="7">
        <f>$B13 * IFERROR(VLOOKUP("buildings|PM25|Non-fatal heart attacks", US_national_yearly!$D:$AM, 27, FALSE) / VLOOKUP("buildings|PM25|Non-fatal heart attacks", US_national_yearly!$D:$AM, 10, FALSE), 1)</f>
        <v>1.5548148085805596E-3</v>
      </c>
      <c r="T13" s="7">
        <f>$B13 * IFERROR(VLOOKUP("buildings|PM25|Non-fatal heart attacks", US_national_yearly!$D:$AM, 28, FALSE) / VLOOKUP("buildings|PM25|Non-fatal heart attacks", US_national_yearly!$D:$AM, 10, FALSE), 1)</f>
        <v>1.5634371905145457E-3</v>
      </c>
      <c r="U13" s="7">
        <f>$B13 * IFERROR(VLOOKUP("buildings|PM25|Non-fatal heart attacks", US_national_yearly!$D:$AM, 29, FALSE) / VLOOKUP("buildings|PM25|Non-fatal heart attacks", US_national_yearly!$D:$AM, 10, FALSE), 1)</f>
        <v>1.5720595724485322E-3</v>
      </c>
      <c r="V13" s="7">
        <f>$B13 * IFERROR(VLOOKUP("buildings|PM25|Non-fatal heart attacks", US_national_yearly!$D:$AM, 30, FALSE) / VLOOKUP("buildings|PM25|Non-fatal heart attacks", US_national_yearly!$D:$AM, 10, FALSE), 1)</f>
        <v>1.5806819543825181E-3</v>
      </c>
      <c r="W13" s="7">
        <f>$B13 * IFERROR(VLOOKUP("buildings|PM25|Non-fatal heart attacks", US_national_yearly!$D:$AM, 31, FALSE) / VLOOKUP("buildings|PM25|Non-fatal heart attacks", US_national_yearly!$D:$AM, 10, FALSE), 1)</f>
        <v>1.5893043363165045E-3</v>
      </c>
      <c r="X13" s="7">
        <f>$B13 * IFERROR(VLOOKUP("buildings|PM25|Non-fatal heart attacks", US_national_yearly!$D:$AM, 32, FALSE) / VLOOKUP("buildings|PM25|Non-fatal heart attacks", US_national_yearly!$D:$AM, 10, FALSE), 1)</f>
        <v>1.5958665987325824E-3</v>
      </c>
      <c r="Y13" s="7">
        <f>$B13 * IFERROR(VLOOKUP("buildings|PM25|Non-fatal heart attacks", US_national_yearly!$D:$AM, 33, FALSE) / VLOOKUP("buildings|PM25|Non-fatal heart attacks", US_national_yearly!$D:$AM, 10, FALSE), 1)</f>
        <v>1.6024288611486606E-3</v>
      </c>
      <c r="Z13" s="7">
        <f>$B13 * IFERROR(VLOOKUP("buildings|PM25|Non-fatal heart attacks", US_national_yearly!$D:$AM, 34, FALSE) / VLOOKUP("buildings|PM25|Non-fatal heart attacks", US_national_yearly!$D:$AM, 10, FALSE), 1)</f>
        <v>1.6089911235647385E-3</v>
      </c>
      <c r="AA13" s="7">
        <f>$B13 * IFERROR(VLOOKUP("buildings|PM25|Non-fatal heart attacks", US_national_yearly!$D:$AM, 35, FALSE) / VLOOKUP("buildings|PM25|Non-fatal heart attacks", US_national_yearly!$D:$AM, 10, FALSE), 1)</f>
        <v>1.6155533859808166E-3</v>
      </c>
      <c r="AB13" s="7">
        <f>$B13 * IFERROR(VLOOKUP("buildings|PM25|Non-fatal heart attacks", US_national_yearly!$D:$AM, 36, FALSE) / VLOOKUP("buildings|PM25|Non-fatal heart attacks", US_national_yearly!$D:$AM, 10, FALSE), 1)</f>
        <v>1.6221156483968949E-3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0.60975871364402545</v>
      </c>
      <c r="C14" s="7">
        <f>$B14 * IFERROR(VLOOKUP("buildings|PM25|Minor restricted activity days", US_national_yearly!$D:$AM, 11, FALSE) / VLOOKUP("buildings|PM25|Minor restricted activity days", US_national_yearly!$D:$AM, 10, FALSE), 1)</f>
        <v>0.61127521774942939</v>
      </c>
      <c r="D14" s="7">
        <f>$B14 * IFERROR(VLOOKUP("buildings|PM25|Minor restricted activity days", US_national_yearly!$D:$AM, 12, FALSE) / VLOOKUP("buildings|PM25|Minor restricted activity days", US_national_yearly!$D:$AM, 10, FALSE), 1)</f>
        <v>0.61279172185483344</v>
      </c>
      <c r="E14" s="7">
        <f>$B14 * IFERROR(VLOOKUP("buildings|PM25|Minor restricted activity days", US_national_yearly!$D:$AM, 13, FALSE) / VLOOKUP("buildings|PM25|Minor restricted activity days", US_national_yearly!$D:$AM, 10, FALSE), 1)</f>
        <v>0.61430822596023738</v>
      </c>
      <c r="F14" s="7">
        <f>$B14 * IFERROR(VLOOKUP("buildings|PM25|Minor restricted activity days", US_national_yearly!$D:$AM, 14, FALSE) / VLOOKUP("buildings|PM25|Minor restricted activity days", US_national_yearly!$D:$AM, 10, FALSE), 1)</f>
        <v>0.6158247300656412</v>
      </c>
      <c r="G14" s="7">
        <f>$B14 * IFERROR(VLOOKUP("buildings|PM25|Minor restricted activity days", US_national_yearly!$D:$AM, 15, FALSE) / VLOOKUP("buildings|PM25|Minor restricted activity days", US_national_yearly!$D:$AM, 10, FALSE), 1)</f>
        <v>0.61804898114469753</v>
      </c>
      <c r="H14" s="7">
        <f>$B14 * IFERROR(VLOOKUP("buildings|PM25|Minor restricted activity days", US_national_yearly!$D:$AM, 16, FALSE) / VLOOKUP("buildings|PM25|Minor restricted activity days", US_national_yearly!$D:$AM, 10, FALSE), 1)</f>
        <v>0.62027323222375363</v>
      </c>
      <c r="I14" s="7">
        <f>$B14 * IFERROR(VLOOKUP("buildings|PM25|Minor restricted activity days", US_national_yearly!$D:$AM, 17, FALSE) / VLOOKUP("buildings|PM25|Minor restricted activity days", US_national_yearly!$D:$AM, 10, FALSE), 1)</f>
        <v>0.62405545752705549</v>
      </c>
      <c r="J14" s="7">
        <f>$B14 * IFERROR(VLOOKUP("buildings|PM25|Minor restricted activity days", US_national_yearly!$D:$AM, 18, FALSE) / VLOOKUP("buildings|PM25|Minor restricted activity days", US_national_yearly!$D:$AM, 10, FALSE), 1)</f>
        <v>0.62783768283035757</v>
      </c>
      <c r="K14" s="7">
        <f>$B14 * IFERROR(VLOOKUP("buildings|PM25|Minor restricted activity days", US_national_yearly!$D:$AM, 19, FALSE) / VLOOKUP("buildings|PM25|Minor restricted activity days", US_national_yearly!$D:$AM, 10, FALSE), 1)</f>
        <v>0.63161990813365909</v>
      </c>
      <c r="L14" s="7">
        <f>$B14 * IFERROR(VLOOKUP("buildings|PM25|Minor restricted activity days", US_national_yearly!$D:$AM, 20, FALSE) / VLOOKUP("buildings|PM25|Minor restricted activity days", US_national_yearly!$D:$AM, 10, FALSE), 1)</f>
        <v>0.63540213343696084</v>
      </c>
      <c r="M14" s="7">
        <f>$B14 * IFERROR(VLOOKUP("buildings|PM25|Minor restricted activity days", US_national_yearly!$D:$AM, 21, FALSE) / VLOOKUP("buildings|PM25|Minor restricted activity days", US_national_yearly!$D:$AM, 10, FALSE), 1)</f>
        <v>0.63918435874026247</v>
      </c>
      <c r="N14" s="7">
        <f>$B14 * IFERROR(VLOOKUP("buildings|PM25|Minor restricted activity days", US_national_yearly!$D:$AM, 22, FALSE) / VLOOKUP("buildings|PM25|Minor restricted activity days", US_national_yearly!$D:$AM, 10, FALSE), 1)</f>
        <v>0.64432349041379733</v>
      </c>
      <c r="O14" s="7">
        <f>$B14 * IFERROR(VLOOKUP("buildings|PM25|Minor restricted activity days", US_national_yearly!$D:$AM, 23, FALSE) / VLOOKUP("buildings|PM25|Minor restricted activity days", US_national_yearly!$D:$AM, 10, FALSE), 1)</f>
        <v>0.64946262208733208</v>
      </c>
      <c r="P14" s="7">
        <f>$B14 * IFERROR(VLOOKUP("buildings|PM25|Minor restricted activity days", US_national_yearly!$D:$AM, 24, FALSE) / VLOOKUP("buildings|PM25|Minor restricted activity days", US_national_yearly!$D:$AM, 10, FALSE), 1)</f>
        <v>0.65460175376086682</v>
      </c>
      <c r="Q14" s="7">
        <f>$B14 * IFERROR(VLOOKUP("buildings|PM25|Minor restricted activity days", US_national_yearly!$D:$AM, 25, FALSE) / VLOOKUP("buildings|PM25|Minor restricted activity days", US_national_yearly!$D:$AM, 10, FALSE), 1)</f>
        <v>0.65974088543440146</v>
      </c>
      <c r="R14" s="7">
        <f>$B14 * IFERROR(VLOOKUP("buildings|PM25|Minor restricted activity days", US_national_yearly!$D:$AM, 26, FALSE) / VLOOKUP("buildings|PM25|Minor restricted activity days", US_national_yearly!$D:$AM, 10, FALSE), 1)</f>
        <v>0.66488001710793621</v>
      </c>
      <c r="S14" s="7">
        <f>$B14 * IFERROR(VLOOKUP("buildings|PM25|Minor restricted activity days", US_national_yearly!$D:$AM, 27, FALSE) / VLOOKUP("buildings|PM25|Minor restricted activity days", US_national_yearly!$D:$AM, 10, FALSE), 1)</f>
        <v>0.67005099625845421</v>
      </c>
      <c r="T14" s="7">
        <f>$B14 * IFERROR(VLOOKUP("buildings|PM25|Minor restricted activity days", US_national_yearly!$D:$AM, 28, FALSE) / VLOOKUP("buildings|PM25|Minor restricted activity days", US_national_yearly!$D:$AM, 10, FALSE), 1)</f>
        <v>0.675221975408972</v>
      </c>
      <c r="U14" s="7">
        <f>$B14 * IFERROR(VLOOKUP("buildings|PM25|Minor restricted activity days", US_national_yearly!$D:$AM, 29, FALSE) / VLOOKUP("buildings|PM25|Minor restricted activity days", US_national_yearly!$D:$AM, 10, FALSE), 1)</f>
        <v>0.68039295455949</v>
      </c>
      <c r="V14" s="7">
        <f>$B14 * IFERROR(VLOOKUP("buildings|PM25|Minor restricted activity days", US_national_yearly!$D:$AM, 30, FALSE) / VLOOKUP("buildings|PM25|Minor restricted activity days", US_national_yearly!$D:$AM, 10, FALSE), 1)</f>
        <v>0.6855639337100079</v>
      </c>
      <c r="W14" s="7">
        <f>$B14 * IFERROR(VLOOKUP("buildings|PM25|Minor restricted activity days", US_national_yearly!$D:$AM, 31, FALSE) / VLOOKUP("buildings|PM25|Minor restricted activity days", US_national_yearly!$D:$AM, 10, FALSE), 1)</f>
        <v>0.69073491286052591</v>
      </c>
      <c r="X14" s="7">
        <f>$B14 * IFERROR(VLOOKUP("buildings|PM25|Minor restricted activity days", US_national_yearly!$D:$AM, 32, FALSE) / VLOOKUP("buildings|PM25|Minor restricted activity days", US_national_yearly!$D:$AM, 10, FALSE), 1)</f>
        <v>0.69522490296455164</v>
      </c>
      <c r="Y14" s="7">
        <f>$B14 * IFERROR(VLOOKUP("buildings|PM25|Minor restricted activity days", US_national_yearly!$D:$AM, 33, FALSE) / VLOOKUP("buildings|PM25|Minor restricted activity days", US_national_yearly!$D:$AM, 10, FALSE), 1)</f>
        <v>0.69971489306857715</v>
      </c>
      <c r="Z14" s="7">
        <f>$B14 * IFERROR(VLOOKUP("buildings|PM25|Minor restricted activity days", US_national_yearly!$D:$AM, 34, FALSE) / VLOOKUP("buildings|PM25|Minor restricted activity days", US_national_yearly!$D:$AM, 10, FALSE), 1)</f>
        <v>0.70420488317260266</v>
      </c>
      <c r="AA14" s="7">
        <f>$B14 * IFERROR(VLOOKUP("buildings|PM25|Minor restricted activity days", US_national_yearly!$D:$AM, 35, FALSE) / VLOOKUP("buildings|PM25|Minor restricted activity days", US_national_yearly!$D:$AM, 10, FALSE), 1)</f>
        <v>0.70869487327662828</v>
      </c>
      <c r="AB14" s="7">
        <f>$B14 * IFERROR(VLOOKUP("buildings|PM25|Minor restricted activity days", US_national_yearly!$D:$AM, 36, FALSE) / VLOOKUP("buildings|PM25|Minor restricted activity days", US_national_yearly!$D:$AM, 10, FALSE), 1)</f>
        <v>0.7131848633806539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0.10416245791938818</v>
      </c>
      <c r="C15" s="7">
        <f>$B15 * IFERROR(VLOOKUP("buildings|PM25|Work loss days", US_national_yearly!$D:$AM, 11, FALSE) / VLOOKUP("buildings|PM25|Work loss days", US_national_yearly!$D:$AM, 10, FALSE), 1)</f>
        <v>0.10448934217602726</v>
      </c>
      <c r="D15" s="7">
        <f>$B15 * IFERROR(VLOOKUP("buildings|PM25|Work loss days", US_national_yearly!$D:$AM, 12, FALSE) / VLOOKUP("buildings|PM25|Work loss days", US_national_yearly!$D:$AM, 10, FALSE), 1)</f>
        <v>0.10481622643266632</v>
      </c>
      <c r="E15" s="7">
        <f>$B15 * IFERROR(VLOOKUP("buildings|PM25|Work loss days", US_national_yearly!$D:$AM, 13, FALSE) / VLOOKUP("buildings|PM25|Work loss days", US_national_yearly!$D:$AM, 10, FALSE), 1)</f>
        <v>0.10514311068930537</v>
      </c>
      <c r="F15" s="7">
        <f>$B15 * IFERROR(VLOOKUP("buildings|PM25|Work loss days", US_national_yearly!$D:$AM, 14, FALSE) / VLOOKUP("buildings|PM25|Work loss days", US_national_yearly!$D:$AM, 10, FALSE), 1)</f>
        <v>0.10546999494594445</v>
      </c>
      <c r="G15" s="7">
        <f>$B15 * IFERROR(VLOOKUP("buildings|PM25|Work loss days", US_national_yearly!$D:$AM, 15, FALSE) / VLOOKUP("buildings|PM25|Work loss days", US_national_yearly!$D:$AM, 10, FALSE), 1)</f>
        <v>0.10589726196282245</v>
      </c>
      <c r="H15" s="7">
        <f>$B15 * IFERROR(VLOOKUP("buildings|PM25|Work loss days", US_national_yearly!$D:$AM, 16, FALSE) / VLOOKUP("buildings|PM25|Work loss days", US_national_yearly!$D:$AM, 10, FALSE), 1)</f>
        <v>0.10632452897970046</v>
      </c>
      <c r="I15" s="7">
        <f>$B15 * IFERROR(VLOOKUP("buildings|PM25|Work loss days", US_national_yearly!$D:$AM, 17, FALSE) / VLOOKUP("buildings|PM25|Work loss days", US_national_yearly!$D:$AM, 10, FALSE), 1)</f>
        <v>0.10695204165072804</v>
      </c>
      <c r="J15" s="7">
        <f>$B15 * IFERROR(VLOOKUP("buildings|PM25|Work loss days", US_national_yearly!$D:$AM, 18, FALSE) / VLOOKUP("buildings|PM25|Work loss days", US_national_yearly!$D:$AM, 10, FALSE), 1)</f>
        <v>0.10757955432175562</v>
      </c>
      <c r="K15" s="7">
        <f>$B15 * IFERROR(VLOOKUP("buildings|PM25|Work loss days", US_national_yearly!$D:$AM, 19, FALSE) / VLOOKUP("buildings|PM25|Work loss days", US_national_yearly!$D:$AM, 10, FALSE), 1)</f>
        <v>0.10820706699278318</v>
      </c>
      <c r="L15" s="7">
        <f>$B15 * IFERROR(VLOOKUP("buildings|PM25|Work loss days", US_national_yearly!$D:$AM, 20, FALSE) / VLOOKUP("buildings|PM25|Work loss days", US_national_yearly!$D:$AM, 10, FALSE), 1)</f>
        <v>0.10883457966381076</v>
      </c>
      <c r="M15" s="7">
        <f>$B15 * IFERROR(VLOOKUP("buildings|PM25|Work loss days", US_national_yearly!$D:$AM, 21, FALSE) / VLOOKUP("buildings|PM25|Work loss days", US_national_yearly!$D:$AM, 10, FALSE), 1)</f>
        <v>0.10946209233483835</v>
      </c>
      <c r="N15" s="7">
        <f>$B15 * IFERROR(VLOOKUP("buildings|PM25|Work loss days", US_national_yearly!$D:$AM, 22, FALSE) / VLOOKUP("buildings|PM25|Work loss days", US_national_yearly!$D:$AM, 10, FALSE), 1)</f>
        <v>0.1102510423220268</v>
      </c>
      <c r="O15" s="7">
        <f>$B15 * IFERROR(VLOOKUP("buildings|PM25|Work loss days", US_national_yearly!$D:$AM, 23, FALSE) / VLOOKUP("buildings|PM25|Work loss days", US_national_yearly!$D:$AM, 10, FALSE), 1)</f>
        <v>0.11103999230921527</v>
      </c>
      <c r="P15" s="7">
        <f>$B15 * IFERROR(VLOOKUP("buildings|PM25|Work loss days", US_national_yearly!$D:$AM, 24, FALSE) / VLOOKUP("buildings|PM25|Work loss days", US_national_yearly!$D:$AM, 10, FALSE), 1)</f>
        <v>0.11182894229640371</v>
      </c>
      <c r="Q15" s="7">
        <f>$B15 * IFERROR(VLOOKUP("buildings|PM25|Work loss days", US_national_yearly!$D:$AM, 25, FALSE) / VLOOKUP("buildings|PM25|Work loss days", US_national_yearly!$D:$AM, 10, FALSE), 1)</f>
        <v>0.11261789228359216</v>
      </c>
      <c r="R15" s="7">
        <f>$B15 * IFERROR(VLOOKUP("buildings|PM25|Work loss days", US_national_yearly!$D:$AM, 26, FALSE) / VLOOKUP("buildings|PM25|Work loss days", US_national_yearly!$D:$AM, 10, FALSE), 1)</f>
        <v>0.11340684227078063</v>
      </c>
      <c r="S15" s="7">
        <f>$B15 * IFERROR(VLOOKUP("buildings|PM25|Work loss days", US_national_yearly!$D:$AM, 27, FALSE) / VLOOKUP("buildings|PM25|Work loss days", US_national_yearly!$D:$AM, 10, FALSE), 1)</f>
        <v>0.11427833558502515</v>
      </c>
      <c r="T15" s="7">
        <f>$B15 * IFERROR(VLOOKUP("buildings|PM25|Work loss days", US_national_yearly!$D:$AM, 28, FALSE) / VLOOKUP("buildings|PM25|Work loss days", US_national_yearly!$D:$AM, 10, FALSE), 1)</f>
        <v>0.1151498288992697</v>
      </c>
      <c r="U15" s="7">
        <f>$B15 * IFERROR(VLOOKUP("buildings|PM25|Work loss days", US_national_yearly!$D:$AM, 29, FALSE) / VLOOKUP("buildings|PM25|Work loss days", US_national_yearly!$D:$AM, 10, FALSE), 1)</f>
        <v>0.11602132221351426</v>
      </c>
      <c r="V15" s="7">
        <f>$B15 * IFERROR(VLOOKUP("buildings|PM25|Work loss days", US_national_yearly!$D:$AM, 30, FALSE) / VLOOKUP("buildings|PM25|Work loss days", US_national_yearly!$D:$AM, 10, FALSE), 1)</f>
        <v>0.11689281552775878</v>
      </c>
      <c r="W15" s="7">
        <f>$B15 * IFERROR(VLOOKUP("buildings|PM25|Work loss days", US_national_yearly!$D:$AM, 31, FALSE) / VLOOKUP("buildings|PM25|Work loss days", US_national_yearly!$D:$AM, 10, FALSE), 1)</f>
        <v>0.11776430884200334</v>
      </c>
      <c r="X15" s="7">
        <f>$B15 * IFERROR(VLOOKUP("buildings|PM25|Work loss days", US_national_yearly!$D:$AM, 32, FALSE) / VLOOKUP("buildings|PM25|Work loss days", US_national_yearly!$D:$AM, 10, FALSE), 1)</f>
        <v>0.1185376760968813</v>
      </c>
      <c r="Y15" s="7">
        <f>$B15 * IFERROR(VLOOKUP("buildings|PM25|Work loss days", US_national_yearly!$D:$AM, 33, FALSE) / VLOOKUP("buildings|PM25|Work loss days", US_national_yearly!$D:$AM, 10, FALSE), 1)</f>
        <v>0.11931104335175929</v>
      </c>
      <c r="Z15" s="7">
        <f>$B15 * IFERROR(VLOOKUP("buildings|PM25|Work loss days", US_national_yearly!$D:$AM, 34, FALSE) / VLOOKUP("buildings|PM25|Work loss days", US_national_yearly!$D:$AM, 10, FALSE), 1)</f>
        <v>0.12008441060663726</v>
      </c>
      <c r="AA15" s="7">
        <f>$B15 * IFERROR(VLOOKUP("buildings|PM25|Work loss days", US_national_yearly!$D:$AM, 35, FALSE) / VLOOKUP("buildings|PM25|Work loss days", US_national_yearly!$D:$AM, 10, FALSE), 1)</f>
        <v>0.12085777786151525</v>
      </c>
      <c r="AB15" s="7">
        <f>$B15 * IFERROR(VLOOKUP("buildings|PM25|Work loss days", US_national_yearly!$D:$AM, 36, FALSE) / VLOOKUP("buildings|PM25|Work loss days", US_national_yearly!$D:$AM, 10, FALSE), 1)</f>
        <v>0.12163114511639321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1.7056889666627434E-4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1.7566657784903595E-4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1.8076425903179754E-4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1.858619402145591E-4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1.9095962139732071E-4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1.9584397161284529E-4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2.007283218283699E-4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2.0490977501268353E-4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2.0909122819699719E-4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2.1327268138131086E-4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2.1745413456562455E-4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2.2163558774993824E-4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2.2442775645687687E-4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2.2721992516381553E-4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2.3001209387075417E-4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2.3280426257769285E-4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2.3559643128463149E-4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2.3708009603065939E-4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2.3856376077668727E-4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2.4004742552271517E-4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2.4153109026874304E-4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2.43014755014771E-4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2.4401794456984163E-4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2.4502113412491224E-4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2.4602432367998284E-4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2.4702751323505345E-4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2.4803070279012411E-4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7.4528800436267576E-5</v>
      </c>
      <c r="C2" s="7">
        <f>$B2 * IFERROR(VLOOKUP("buildings|NOx|Premature mortality", US_national_yearly!$D:$AM, 11, FALSE) / VLOOKUP("buildings|NOx|Premature mortality", US_national_yearly!$D:$AM, 10, FALSE), 1)</f>
        <v>7.5625021006142581E-5</v>
      </c>
      <c r="D2" s="7">
        <f>$B2 * IFERROR(VLOOKUP("buildings|NOx|Premature mortality", US_national_yearly!$D:$AM, 12, FALSE) / VLOOKUP("buildings|NOx|Premature mortality", US_national_yearly!$D:$AM, 10, FALSE), 1)</f>
        <v>7.6721241576017585E-5</v>
      </c>
      <c r="E2" s="7">
        <f>$B2 * IFERROR(VLOOKUP("buildings|NOx|Premature mortality", US_national_yearly!$D:$AM, 13, FALSE) / VLOOKUP("buildings|NOx|Premature mortality", US_national_yearly!$D:$AM, 10, FALSE), 1)</f>
        <v>7.781746214589259E-5</v>
      </c>
      <c r="F2" s="7">
        <f>$B2 * IFERROR(VLOOKUP("buildings|NOx|Premature mortality", US_national_yearly!$D:$AM, 14, FALSE) / VLOOKUP("buildings|NOx|Premature mortality", US_national_yearly!$D:$AM, 10, FALSE), 1)</f>
        <v>7.8913682715767581E-5</v>
      </c>
      <c r="G2" s="7">
        <f>$B2 * IFERROR(VLOOKUP("buildings|NOx|Premature mortality", US_national_yearly!$D:$AM, 15, FALSE) / VLOOKUP("buildings|NOx|Premature mortality", US_national_yearly!$D:$AM, 10, FALSE), 1)</f>
        <v>8.0881795876487232E-5</v>
      </c>
      <c r="H2" s="7">
        <f>$B2 * IFERROR(VLOOKUP("buildings|NOx|Premature mortality", US_national_yearly!$D:$AM, 16, FALSE) / VLOOKUP("buildings|NOx|Premature mortality", US_national_yearly!$D:$AM, 10, FALSE), 1)</f>
        <v>8.2849909037206911E-5</v>
      </c>
      <c r="I2" s="7">
        <f>$B2 * IFERROR(VLOOKUP("buildings|NOx|Premature mortality", US_national_yearly!$D:$AM, 17, FALSE) / VLOOKUP("buildings|NOx|Premature mortality", US_national_yearly!$D:$AM, 10, FALSE), 1)</f>
        <v>8.412180977971006E-5</v>
      </c>
      <c r="J2" s="7">
        <f>$B2 * IFERROR(VLOOKUP("buildings|NOx|Premature mortality", US_national_yearly!$D:$AM, 18, FALSE) / VLOOKUP("buildings|NOx|Premature mortality", US_national_yearly!$D:$AM, 10, FALSE), 1)</f>
        <v>8.5393710522213209E-5</v>
      </c>
      <c r="K2" s="7">
        <f>$B2 * IFERROR(VLOOKUP("buildings|NOx|Premature mortality", US_national_yearly!$D:$AM, 19, FALSE) / VLOOKUP("buildings|NOx|Premature mortality", US_national_yearly!$D:$AM, 10, FALSE), 1)</f>
        <v>8.6665611264716372E-5</v>
      </c>
      <c r="L2" s="7">
        <f>$B2 * IFERROR(VLOOKUP("buildings|NOx|Premature mortality", US_national_yearly!$D:$AM, 20, FALSE) / VLOOKUP("buildings|NOx|Premature mortality", US_national_yearly!$D:$AM, 10, FALSE), 1)</f>
        <v>8.7937512007219522E-5</v>
      </c>
      <c r="M2" s="7">
        <f>$B2 * IFERROR(VLOOKUP("buildings|NOx|Premature mortality", US_national_yearly!$D:$AM, 21, FALSE) / VLOOKUP("buildings|NOx|Premature mortality", US_national_yearly!$D:$AM, 10, FALSE), 1)</f>
        <v>8.9209412749722685E-5</v>
      </c>
      <c r="N2" s="7">
        <f>$B2 * IFERROR(VLOOKUP("buildings|NOx|Premature mortality", US_national_yearly!$D:$AM, 22, FALSE) / VLOOKUP("buildings|NOx|Premature mortality", US_national_yearly!$D:$AM, 10, FALSE), 1)</f>
        <v>9.0151842647534511E-5</v>
      </c>
      <c r="O2" s="7">
        <f>$B2 * IFERROR(VLOOKUP("buildings|NOx|Premature mortality", US_national_yearly!$D:$AM, 23, FALSE) / VLOOKUP("buildings|NOx|Premature mortality", US_national_yearly!$D:$AM, 10, FALSE), 1)</f>
        <v>9.109427254534635E-5</v>
      </c>
      <c r="P2" s="7">
        <f>$B2 * IFERROR(VLOOKUP("buildings|NOx|Premature mortality", US_national_yearly!$D:$AM, 24, FALSE) / VLOOKUP("buildings|NOx|Premature mortality", US_national_yearly!$D:$AM, 10, FALSE), 1)</f>
        <v>9.2036702443158176E-5</v>
      </c>
      <c r="Q2" s="7">
        <f>$B2 * IFERROR(VLOOKUP("buildings|NOx|Premature mortality", US_national_yearly!$D:$AM, 25, FALSE) / VLOOKUP("buildings|NOx|Premature mortality", US_national_yearly!$D:$AM, 10, FALSE), 1)</f>
        <v>9.2979132340970002E-5</v>
      </c>
      <c r="R2" s="7">
        <f>$B2 * IFERROR(VLOOKUP("buildings|NOx|Premature mortality", US_national_yearly!$D:$AM, 26, FALSE) / VLOOKUP("buildings|NOx|Premature mortality", US_national_yearly!$D:$AM, 10, FALSE), 1)</f>
        <v>9.3921562238781842E-5</v>
      </c>
      <c r="S2" s="7">
        <f>$B2 * IFERROR(VLOOKUP("buildings|NOx|Premature mortality", US_national_yearly!$D:$AM, 27, FALSE) / VLOOKUP("buildings|NOx|Premature mortality", US_national_yearly!$D:$AM, 10, FALSE), 1)</f>
        <v>9.4350028026271465E-5</v>
      </c>
      <c r="T2" s="7">
        <f>$B2 * IFERROR(VLOOKUP("buildings|NOx|Premature mortality", US_national_yearly!$D:$AM, 28, FALSE) / VLOOKUP("buildings|NOx|Premature mortality", US_national_yearly!$D:$AM, 10, FALSE), 1)</f>
        <v>9.4778493813761088E-5</v>
      </c>
      <c r="U2" s="7">
        <f>$B2 * IFERROR(VLOOKUP("buildings|NOx|Premature mortality", US_national_yearly!$D:$AM, 29, FALSE) / VLOOKUP("buildings|NOx|Premature mortality", US_national_yearly!$D:$AM, 10, FALSE), 1)</f>
        <v>9.5206959601250725E-5</v>
      </c>
      <c r="V2" s="7">
        <f>$B2 * IFERROR(VLOOKUP("buildings|NOx|Premature mortality", US_national_yearly!$D:$AM, 30, FALSE) / VLOOKUP("buildings|NOx|Premature mortality", US_national_yearly!$D:$AM, 10, FALSE), 1)</f>
        <v>9.5635425388740361E-5</v>
      </c>
      <c r="W2" s="7">
        <f>$B2 * IFERROR(VLOOKUP("buildings|NOx|Premature mortality", US_national_yearly!$D:$AM, 31, FALSE) / VLOOKUP("buildings|NOx|Premature mortality", US_national_yearly!$D:$AM, 10, FALSE), 1)</f>
        <v>9.6063891176229971E-5</v>
      </c>
      <c r="X2" s="7">
        <f>$B2 * IFERROR(VLOOKUP("buildings|NOx|Premature mortality", US_national_yearly!$D:$AM, 32, FALSE) / VLOOKUP("buildings|NOx|Premature mortality", US_national_yearly!$D:$AM, 10, FALSE), 1)</f>
        <v>9.6078981391993506E-5</v>
      </c>
      <c r="Y2" s="7">
        <f>$B2 * IFERROR(VLOOKUP("buildings|NOx|Premature mortality", US_national_yearly!$D:$AM, 33, FALSE) / VLOOKUP("buildings|NOx|Premature mortality", US_national_yearly!$D:$AM, 10, FALSE), 1)</f>
        <v>9.6094071607757042E-5</v>
      </c>
      <c r="Z2" s="7">
        <f>$B2 * IFERROR(VLOOKUP("buildings|NOx|Premature mortality", US_national_yearly!$D:$AM, 34, FALSE) / VLOOKUP("buildings|NOx|Premature mortality", US_national_yearly!$D:$AM, 10, FALSE), 1)</f>
        <v>9.6109161823520564E-5</v>
      </c>
      <c r="AA2" s="7">
        <f>$B2 * IFERROR(VLOOKUP("buildings|NOx|Premature mortality", US_national_yearly!$D:$AM, 35, FALSE) / VLOOKUP("buildings|NOx|Premature mortality", US_national_yearly!$D:$AM, 10, FALSE), 1)</f>
        <v>9.6124252039284086E-5</v>
      </c>
      <c r="AB2" s="7">
        <f>$B2 * IFERROR(VLOOKUP("buildings|NOx|Premature mortality", US_national_yearly!$D:$AM, 36, FALSE) / VLOOKUP("buildings|NOx|Premature mortality", US_national_yearly!$D:$AM, 10, FALSE), 1)</f>
        <v>9.6139342255047635E-5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2.206854033177512E-7</v>
      </c>
      <c r="C3" s="7">
        <f>$B3 * IFERROR(VLOOKUP("buildings|NOx|Infant mortality", US_national_yearly!$D:$AM, 11, FALSE) / VLOOKUP("buildings|NOx|Infant mortality", US_national_yearly!$D:$AM, 10, FALSE), 1)</f>
        <v>2.1858915099069073E-7</v>
      </c>
      <c r="D3" s="7">
        <f>$B3 * IFERROR(VLOOKUP("buildings|NOx|Infant mortality", US_national_yearly!$D:$AM, 12, FALSE) / VLOOKUP("buildings|NOx|Infant mortality", US_national_yearly!$D:$AM, 10, FALSE), 1)</f>
        <v>2.1649289866363023E-7</v>
      </c>
      <c r="E3" s="7">
        <f>$B3 * IFERROR(VLOOKUP("buildings|NOx|Infant mortality", US_national_yearly!$D:$AM, 13, FALSE) / VLOOKUP("buildings|NOx|Infant mortality", US_national_yearly!$D:$AM, 10, FALSE), 1)</f>
        <v>2.1439664633656978E-7</v>
      </c>
      <c r="F3" s="7">
        <f>$B3 * IFERROR(VLOOKUP("buildings|NOx|Infant mortality", US_national_yearly!$D:$AM, 14, FALSE) / VLOOKUP("buildings|NOx|Infant mortality", US_national_yearly!$D:$AM, 10, FALSE), 1)</f>
        <v>2.1230039400950926E-7</v>
      </c>
      <c r="G3" s="7">
        <f>$B3 * IFERROR(VLOOKUP("buildings|NOx|Infant mortality", US_national_yearly!$D:$AM, 15, FALSE) / VLOOKUP("buildings|NOx|Infant mortality", US_national_yearly!$D:$AM, 10, FALSE), 1)</f>
        <v>1.4091172153587948E-7</v>
      </c>
      <c r="H3" s="7">
        <f>$B3 * IFERROR(VLOOKUP("buildings|NOx|Infant mortality", US_national_yearly!$D:$AM, 16, FALSE) / VLOOKUP("buildings|NOx|Infant mortality", US_national_yearly!$D:$AM, 10, FALSE), 1)</f>
        <v>6.9523049062249694E-8</v>
      </c>
      <c r="I3" s="7">
        <f>$B3 * IFERROR(VLOOKUP("buildings|NOx|Infant mortality", US_national_yearly!$D:$AM, 17, FALSE) / VLOOKUP("buildings|NOx|Infant mortality", US_national_yearly!$D:$AM, 10, FALSE), 1)</f>
        <v>6.9031899423636418E-8</v>
      </c>
      <c r="J3" s="7">
        <f>$B3 * IFERROR(VLOOKUP("buildings|NOx|Infant mortality", US_national_yearly!$D:$AM, 18, FALSE) / VLOOKUP("buildings|NOx|Infant mortality", US_national_yearly!$D:$AM, 10, FALSE), 1)</f>
        <v>6.8540749785023115E-8</v>
      </c>
      <c r="K3" s="7">
        <f>$B3 * IFERROR(VLOOKUP("buildings|NOx|Infant mortality", US_national_yearly!$D:$AM, 19, FALSE) / VLOOKUP("buildings|NOx|Infant mortality", US_national_yearly!$D:$AM, 10, FALSE), 1)</f>
        <v>6.8049600146409826E-8</v>
      </c>
      <c r="L3" s="7">
        <f>$B3 * IFERROR(VLOOKUP("buildings|NOx|Infant mortality", US_national_yearly!$D:$AM, 20, FALSE) / VLOOKUP("buildings|NOx|Infant mortality", US_national_yearly!$D:$AM, 10, FALSE), 1)</f>
        <v>6.7558450507796536E-8</v>
      </c>
      <c r="M3" s="7">
        <f>$B3 * IFERROR(VLOOKUP("buildings|NOx|Infant mortality", US_national_yearly!$D:$AM, 21, FALSE) / VLOOKUP("buildings|NOx|Infant mortality", US_national_yearly!$D:$AM, 10, FALSE), 1)</f>
        <v>6.7067300869183233E-8</v>
      </c>
      <c r="N3" s="7">
        <f>$B3 * IFERROR(VLOOKUP("buildings|NOx|Infant mortality", US_national_yearly!$D:$AM, 22, FALSE) / VLOOKUP("buildings|NOx|Infant mortality", US_national_yearly!$D:$AM, 10, FALSE), 1)</f>
        <v>6.6741843503106551E-8</v>
      </c>
      <c r="O3" s="7">
        <f>$B3 * IFERROR(VLOOKUP("buildings|NOx|Infant mortality", US_national_yearly!$D:$AM, 23, FALSE) / VLOOKUP("buildings|NOx|Infant mortality", US_national_yearly!$D:$AM, 10, FALSE), 1)</f>
        <v>6.6416386137029868E-8</v>
      </c>
      <c r="P3" s="7">
        <f>$B3 * IFERROR(VLOOKUP("buildings|NOx|Infant mortality", US_national_yearly!$D:$AM, 24, FALSE) / VLOOKUP("buildings|NOx|Infant mortality", US_national_yearly!$D:$AM, 10, FALSE), 1)</f>
        <v>6.6090928770953185E-8</v>
      </c>
      <c r="Q3" s="7">
        <f>$B3 * IFERROR(VLOOKUP("buildings|NOx|Infant mortality", US_national_yearly!$D:$AM, 25, FALSE) / VLOOKUP("buildings|NOx|Infant mortality", US_national_yearly!$D:$AM, 10, FALSE), 1)</f>
        <v>6.5765471404876503E-8</v>
      </c>
      <c r="R3" s="7">
        <f>$B3 * IFERROR(VLOOKUP("buildings|NOx|Infant mortality", US_national_yearly!$D:$AM, 26, FALSE) / VLOOKUP("buildings|NOx|Infant mortality", US_national_yearly!$D:$AM, 10, FALSE), 1)</f>
        <v>6.544001403879982E-8</v>
      </c>
      <c r="S3" s="7">
        <f>$B3 * IFERROR(VLOOKUP("buildings|NOx|Infant mortality", US_national_yearly!$D:$AM, 27, FALSE) / VLOOKUP("buildings|NOx|Infant mortality", US_national_yearly!$D:$AM, 10, FALSE), 1)</f>
        <v>6.5048509613665081E-8</v>
      </c>
      <c r="T3" s="7">
        <f>$B3 * IFERROR(VLOOKUP("buildings|NOx|Infant mortality", US_national_yearly!$D:$AM, 28, FALSE) / VLOOKUP("buildings|NOx|Infant mortality", US_national_yearly!$D:$AM, 10, FALSE), 1)</f>
        <v>6.4657005188530356E-8</v>
      </c>
      <c r="U3" s="7">
        <f>$B3 * IFERROR(VLOOKUP("buildings|NOx|Infant mortality", US_national_yearly!$D:$AM, 29, FALSE) / VLOOKUP("buildings|NOx|Infant mortality", US_national_yearly!$D:$AM, 10, FALSE), 1)</f>
        <v>6.4265500763395604E-8</v>
      </c>
      <c r="V3" s="7">
        <f>$B3 * IFERROR(VLOOKUP("buildings|NOx|Infant mortality", US_national_yearly!$D:$AM, 30, FALSE) / VLOOKUP("buildings|NOx|Infant mortality", US_national_yearly!$D:$AM, 10, FALSE), 1)</f>
        <v>6.3873996338260866E-8</v>
      </c>
      <c r="W3" s="7">
        <f>$B3 * IFERROR(VLOOKUP("buildings|NOx|Infant mortality", US_national_yearly!$D:$AM, 31, FALSE) / VLOOKUP("buildings|NOx|Infant mortality", US_national_yearly!$D:$AM, 10, FALSE), 1)</f>
        <v>6.3482491913126141E-8</v>
      </c>
      <c r="X3" s="7">
        <f>$B3 * IFERROR(VLOOKUP("buildings|NOx|Infant mortality", US_national_yearly!$D:$AM, 32, FALSE) / VLOOKUP("buildings|NOx|Infant mortality", US_national_yearly!$D:$AM, 10, FALSE), 1)</f>
        <v>6.3068245918269141E-8</v>
      </c>
      <c r="Y3" s="7">
        <f>$B3 * IFERROR(VLOOKUP("buildings|NOx|Infant mortality", US_national_yearly!$D:$AM, 33, FALSE) / VLOOKUP("buildings|NOx|Infant mortality", US_national_yearly!$D:$AM, 10, FALSE), 1)</f>
        <v>6.2653999923412154E-8</v>
      </c>
      <c r="Z3" s="7">
        <f>$B3 * IFERROR(VLOOKUP("buildings|NOx|Infant mortality", US_national_yearly!$D:$AM, 34, FALSE) / VLOOKUP("buildings|NOx|Infant mortality", US_national_yearly!$D:$AM, 10, FALSE), 1)</f>
        <v>6.2239753928555154E-8</v>
      </c>
      <c r="AA3" s="7">
        <f>$B3 * IFERROR(VLOOKUP("buildings|NOx|Infant mortality", US_national_yearly!$D:$AM, 35, FALSE) / VLOOKUP("buildings|NOx|Infant mortality", US_national_yearly!$D:$AM, 10, FALSE), 1)</f>
        <v>6.1825507933698154E-8</v>
      </c>
      <c r="AB3" s="7">
        <f>$B3 * IFERROR(VLOOKUP("buildings|NOx|Infant mortality", US_national_yearly!$D:$AM, 36, FALSE) / VLOOKUP("buildings|NOx|Infant mortality", US_national_yearly!$D:$AM, 10, FALSE), 1)</f>
        <v>6.1411261938841155E-8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2.2069461350418684E-4</v>
      </c>
      <c r="C6" s="7">
        <f>$B6 * IFERROR(VLOOKUP("buildings|NOx|Asthma symptoms cough", US_national_yearly!$D:$AM, 11, FALSE) / VLOOKUP("buildings|NOx|Asthma symptoms cough", US_national_yearly!$D:$AM, 10, FALSE), 1)</f>
        <v>2.237148794031238E-4</v>
      </c>
      <c r="D6" s="7">
        <f>$B6 * IFERROR(VLOOKUP("buildings|NOx|Asthma symptoms cough", US_national_yearly!$D:$AM, 12, FALSE) / VLOOKUP("buildings|NOx|Asthma symptoms cough", US_national_yearly!$D:$AM, 10, FALSE), 1)</f>
        <v>2.2673514530206082E-4</v>
      </c>
      <c r="E6" s="7">
        <f>$B6 * IFERROR(VLOOKUP("buildings|NOx|Asthma symptoms cough", US_national_yearly!$D:$AM, 13, FALSE) / VLOOKUP("buildings|NOx|Asthma symptoms cough", US_national_yearly!$D:$AM, 10, FALSE), 1)</f>
        <v>2.2975541120099776E-4</v>
      </c>
      <c r="F6" s="7">
        <f>$B6 * IFERROR(VLOOKUP("buildings|NOx|Asthma symptoms cough", US_national_yearly!$D:$AM, 14, FALSE) / VLOOKUP("buildings|NOx|Asthma symptoms cough", US_national_yearly!$D:$AM, 10, FALSE), 1)</f>
        <v>2.3277567709993472E-4</v>
      </c>
      <c r="G6" s="7">
        <f>$B6 * IFERROR(VLOOKUP("buildings|NOx|Asthma symptoms cough", US_national_yearly!$D:$AM, 15, FALSE) / VLOOKUP("buildings|NOx|Asthma symptoms cough", US_national_yearly!$D:$AM, 10, FALSE), 1)</f>
        <v>2.3518943548944584E-4</v>
      </c>
      <c r="H6" s="7">
        <f>$B6 * IFERROR(VLOOKUP("buildings|NOx|Asthma symptoms cough", US_national_yearly!$D:$AM, 16, FALSE) / VLOOKUP("buildings|NOx|Asthma symptoms cough", US_national_yearly!$D:$AM, 10, FALSE), 1)</f>
        <v>2.3760319387895694E-4</v>
      </c>
      <c r="I6" s="7">
        <f>$B6 * IFERROR(VLOOKUP("buildings|NOx|Asthma symptoms cough", US_national_yearly!$D:$AM, 17, FALSE) / VLOOKUP("buildings|NOx|Asthma symptoms cough", US_national_yearly!$D:$AM, 10, FALSE), 1)</f>
        <v>2.3843852436755924E-4</v>
      </c>
      <c r="J6" s="7">
        <f>$B6 * IFERROR(VLOOKUP("buildings|NOx|Asthma symptoms cough", US_national_yearly!$D:$AM, 18, FALSE) / VLOOKUP("buildings|NOx|Asthma symptoms cough", US_national_yearly!$D:$AM, 10, FALSE), 1)</f>
        <v>2.3927385485616155E-4</v>
      </c>
      <c r="K6" s="7">
        <f>$B6 * IFERROR(VLOOKUP("buildings|NOx|Asthma symptoms cough", US_national_yearly!$D:$AM, 19, FALSE) / VLOOKUP("buildings|NOx|Asthma symptoms cough", US_national_yearly!$D:$AM, 10, FALSE), 1)</f>
        <v>2.401091853447638E-4</v>
      </c>
      <c r="L6" s="7">
        <f>$B6 * IFERROR(VLOOKUP("buildings|NOx|Asthma symptoms cough", US_national_yearly!$D:$AM, 20, FALSE) / VLOOKUP("buildings|NOx|Asthma symptoms cough", US_national_yearly!$D:$AM, 10, FALSE), 1)</f>
        <v>2.4094451583336611E-4</v>
      </c>
      <c r="M6" s="7">
        <f>$B6 * IFERROR(VLOOKUP("buildings|NOx|Asthma symptoms cough", US_national_yearly!$D:$AM, 21, FALSE) / VLOOKUP("buildings|NOx|Asthma symptoms cough", US_national_yearly!$D:$AM, 10, FALSE), 1)</f>
        <v>2.4177984632196836E-4</v>
      </c>
      <c r="N6" s="7">
        <f>$B6 * IFERROR(VLOOKUP("buildings|NOx|Asthma symptoms cough", US_national_yearly!$D:$AM, 22, FALSE) / VLOOKUP("buildings|NOx|Asthma symptoms cough", US_national_yearly!$D:$AM, 10, FALSE), 1)</f>
        <v>2.4274574924766914E-4</v>
      </c>
      <c r="O6" s="7">
        <f>$B6 * IFERROR(VLOOKUP("buildings|NOx|Asthma symptoms cough", US_national_yearly!$D:$AM, 23, FALSE) / VLOOKUP("buildings|NOx|Asthma symptoms cough", US_national_yearly!$D:$AM, 10, FALSE), 1)</f>
        <v>2.4371165217336986E-4</v>
      </c>
      <c r="P6" s="7">
        <f>$B6 * IFERROR(VLOOKUP("buildings|NOx|Asthma symptoms cough", US_national_yearly!$D:$AM, 24, FALSE) / VLOOKUP("buildings|NOx|Asthma symptoms cough", US_national_yearly!$D:$AM, 10, FALSE), 1)</f>
        <v>2.4467755509907061E-4</v>
      </c>
      <c r="Q6" s="7">
        <f>$B6 * IFERROR(VLOOKUP("buildings|NOx|Asthma symptoms cough", US_national_yearly!$D:$AM, 25, FALSE) / VLOOKUP("buildings|NOx|Asthma symptoms cough", US_national_yearly!$D:$AM, 10, FALSE), 1)</f>
        <v>2.4564345802477136E-4</v>
      </c>
      <c r="R6" s="7">
        <f>$B6 * IFERROR(VLOOKUP("buildings|NOx|Asthma symptoms cough", US_national_yearly!$D:$AM, 26, FALSE) / VLOOKUP("buildings|NOx|Asthma symptoms cough", US_national_yearly!$D:$AM, 10, FALSE), 1)</f>
        <v>2.466093609504721E-4</v>
      </c>
      <c r="S6" s="7">
        <f>$B6 * IFERROR(VLOOKUP("buildings|NOx|Asthma symptoms cough", US_national_yearly!$D:$AM, 27, FALSE) / VLOOKUP("buildings|NOx|Asthma symptoms cough", US_national_yearly!$D:$AM, 10, FALSE), 1)</f>
        <v>2.4787085064156378E-4</v>
      </c>
      <c r="T6" s="7">
        <f>$B6 * IFERROR(VLOOKUP("buildings|NOx|Asthma symptoms cough", US_national_yearly!$D:$AM, 28, FALSE) / VLOOKUP("buildings|NOx|Asthma symptoms cough", US_national_yearly!$D:$AM, 10, FALSE), 1)</f>
        <v>2.4913234033265545E-4</v>
      </c>
      <c r="U6" s="7">
        <f>$B6 * IFERROR(VLOOKUP("buildings|NOx|Asthma symptoms cough", US_national_yearly!$D:$AM, 29, FALSE) / VLOOKUP("buildings|NOx|Asthma symptoms cough", US_national_yearly!$D:$AM, 10, FALSE), 1)</f>
        <v>2.5039383002374707E-4</v>
      </c>
      <c r="V6" s="7">
        <f>$B6 * IFERROR(VLOOKUP("buildings|NOx|Asthma symptoms cough", US_national_yearly!$D:$AM, 30, FALSE) / VLOOKUP("buildings|NOx|Asthma symptoms cough", US_national_yearly!$D:$AM, 10, FALSE), 1)</f>
        <v>2.5165531971483885E-4</v>
      </c>
      <c r="W6" s="7">
        <f>$B6 * IFERROR(VLOOKUP("buildings|NOx|Asthma symptoms cough", US_national_yearly!$D:$AM, 31, FALSE) / VLOOKUP("buildings|NOx|Asthma symptoms cough", US_national_yearly!$D:$AM, 10, FALSE), 1)</f>
        <v>2.5291680940593047E-4</v>
      </c>
      <c r="X6" s="7">
        <f>$B6 * IFERROR(VLOOKUP("buildings|NOx|Asthma symptoms cough", US_national_yearly!$D:$AM, 32, FALSE) / VLOOKUP("buildings|NOx|Asthma symptoms cough", US_national_yearly!$D:$AM, 10, FALSE), 1)</f>
        <v>2.5408890691329704E-4</v>
      </c>
      <c r="Y6" s="7">
        <f>$B6 * IFERROR(VLOOKUP("buildings|NOx|Asthma symptoms cough", US_national_yearly!$D:$AM, 33, FALSE) / VLOOKUP("buildings|NOx|Asthma symptoms cough", US_national_yearly!$D:$AM, 10, FALSE), 1)</f>
        <v>2.5526100442066366E-4</v>
      </c>
      <c r="Z6" s="7">
        <f>$B6 * IFERROR(VLOOKUP("buildings|NOx|Asthma symptoms cough", US_national_yearly!$D:$AM, 34, FALSE) / VLOOKUP("buildings|NOx|Asthma symptoms cough", US_national_yearly!$D:$AM, 10, FALSE), 1)</f>
        <v>2.5643310192803023E-4</v>
      </c>
      <c r="AA6" s="7">
        <f>$B6 * IFERROR(VLOOKUP("buildings|NOx|Asthma symptoms cough", US_national_yearly!$D:$AM, 35, FALSE) / VLOOKUP("buildings|NOx|Asthma symptoms cough", US_national_yearly!$D:$AM, 10, FALSE), 1)</f>
        <v>2.5760519943539685E-4</v>
      </c>
      <c r="AB6" s="7">
        <f>$B6 * IFERROR(VLOOKUP("buildings|NOx|Asthma symptoms cough", US_national_yearly!$D:$AM, 36, FALSE) / VLOOKUP("buildings|NOx|Asthma symptoms cough", US_national_yearly!$D:$AM, 10, FALSE), 1)</f>
        <v>2.5877729694276347E-4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2.9719761581606505E-4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3.0126484613159267E-4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3.0533207644712029E-4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3.0939930676264791E-4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3.1346653707817548E-4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3.167170162099508E-4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3.1996749534172613E-4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3.2109239015570633E-4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3.2221728496968643E-4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3.233421797836667E-4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3.2446707459764685E-4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3.2559196941162706E-4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3.2689269913546671E-4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3.2819342885930642E-4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3.2949415858314613E-4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3.3079488830698583E-4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3.3209561803082554E-4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3.3379439862479929E-4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3.3549317921877309E-4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3.3719195981274684E-4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3.3889074040672053E-4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3.4058952100069433E-4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3.4216792192824874E-4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3.4374632285580304E-4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3.4532472378335746E-4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3.4690312471091176E-4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3.4848152563846612E-4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4.5406653657714338E-4</v>
      </c>
      <c r="C8" s="7">
        <f>$B8 * IFERROR(VLOOKUP("buildings|NOx|Asthma symptoms wheeze", US_national_yearly!$D:$AM, 11, FALSE) / VLOOKUP("buildings|NOx|Asthma symptoms wheeze", US_national_yearly!$D:$AM, 10, FALSE), 1)</f>
        <v>4.6028056081198559E-4</v>
      </c>
      <c r="D8" s="7">
        <f>$B8 * IFERROR(VLOOKUP("buildings|NOx|Asthma symptoms wheeze", US_national_yearly!$D:$AM, 12, FALSE) / VLOOKUP("buildings|NOx|Asthma symptoms wheeze", US_national_yearly!$D:$AM, 10, FALSE), 1)</f>
        <v>4.6649458504682779E-4</v>
      </c>
      <c r="E8" s="7">
        <f>$B8 * IFERROR(VLOOKUP("buildings|NOx|Asthma symptoms wheeze", US_national_yearly!$D:$AM, 13, FALSE) / VLOOKUP("buildings|NOx|Asthma symptoms wheeze", US_national_yearly!$D:$AM, 10, FALSE), 1)</f>
        <v>4.7270860928166989E-4</v>
      </c>
      <c r="F8" s="7">
        <f>$B8 * IFERROR(VLOOKUP("buildings|NOx|Asthma symptoms wheeze", US_national_yearly!$D:$AM, 14, FALSE) / VLOOKUP("buildings|NOx|Asthma symptoms wheeze", US_national_yearly!$D:$AM, 10, FALSE), 1)</f>
        <v>4.7892263351651221E-4</v>
      </c>
      <c r="G8" s="7">
        <f>$B8 * IFERROR(VLOOKUP("buildings|NOx|Asthma symptoms wheeze", US_national_yearly!$D:$AM, 15, FALSE) / VLOOKUP("buildings|NOx|Asthma symptoms wheeze", US_national_yearly!$D:$AM, 10, FALSE), 1)</f>
        <v>4.838888032617158E-4</v>
      </c>
      <c r="H8" s="7">
        <f>$B8 * IFERROR(VLOOKUP("buildings|NOx|Asthma symptoms wheeze", US_national_yearly!$D:$AM, 16, FALSE) / VLOOKUP("buildings|NOx|Asthma symptoms wheeze", US_national_yearly!$D:$AM, 10, FALSE), 1)</f>
        <v>4.8885497300691933E-4</v>
      </c>
      <c r="I8" s="7">
        <f>$B8 * IFERROR(VLOOKUP("buildings|NOx|Asthma symptoms wheeze", US_national_yearly!$D:$AM, 17, FALSE) / VLOOKUP("buildings|NOx|Asthma symptoms wheeze", US_national_yearly!$D:$AM, 10, FALSE), 1)</f>
        <v>4.9057361768088887E-4</v>
      </c>
      <c r="J8" s="7">
        <f>$B8 * IFERROR(VLOOKUP("buildings|NOx|Asthma symptoms wheeze", US_national_yearly!$D:$AM, 18, FALSE) / VLOOKUP("buildings|NOx|Asthma symptoms wheeze", US_national_yearly!$D:$AM, 10, FALSE), 1)</f>
        <v>4.9229226235485829E-4</v>
      </c>
      <c r="K8" s="7">
        <f>$B8 * IFERROR(VLOOKUP("buildings|NOx|Asthma symptoms wheeze", US_national_yearly!$D:$AM, 19, FALSE) / VLOOKUP("buildings|NOx|Asthma symptoms wheeze", US_national_yearly!$D:$AM, 10, FALSE), 1)</f>
        <v>4.9401090702882772E-4</v>
      </c>
      <c r="L8" s="7">
        <f>$B8 * IFERROR(VLOOKUP("buildings|NOx|Asthma symptoms wheeze", US_national_yearly!$D:$AM, 20, FALSE) / VLOOKUP("buildings|NOx|Asthma symptoms wheeze", US_national_yearly!$D:$AM, 10, FALSE), 1)</f>
        <v>4.9572955170279704E-4</v>
      </c>
      <c r="M8" s="7">
        <f>$B8 * IFERROR(VLOOKUP("buildings|NOx|Asthma symptoms wheeze", US_national_yearly!$D:$AM, 21, FALSE) / VLOOKUP("buildings|NOx|Asthma symptoms wheeze", US_national_yearly!$D:$AM, 10, FALSE), 1)</f>
        <v>4.9744819637676657E-4</v>
      </c>
      <c r="N8" s="7">
        <f>$B8 * IFERROR(VLOOKUP("buildings|NOx|Asthma symptoms wheeze", US_national_yearly!$D:$AM, 22, FALSE) / VLOOKUP("buildings|NOx|Asthma symptoms wheeze", US_national_yearly!$D:$AM, 10, FALSE), 1)</f>
        <v>4.9943548636742193E-4</v>
      </c>
      <c r="O8" s="7">
        <f>$B8 * IFERROR(VLOOKUP("buildings|NOx|Asthma symptoms wheeze", US_national_yearly!$D:$AM, 23, FALSE) / VLOOKUP("buildings|NOx|Asthma symptoms wheeze", US_national_yearly!$D:$AM, 10, FALSE), 1)</f>
        <v>5.0142277635807728E-4</v>
      </c>
      <c r="P8" s="7">
        <f>$B8 * IFERROR(VLOOKUP("buildings|NOx|Asthma symptoms wheeze", US_national_yearly!$D:$AM, 24, FALSE) / VLOOKUP("buildings|NOx|Asthma symptoms wheeze", US_national_yearly!$D:$AM, 10, FALSE), 1)</f>
        <v>5.0341006634873253E-4</v>
      </c>
      <c r="Q8" s="7">
        <f>$B8 * IFERROR(VLOOKUP("buildings|NOx|Asthma symptoms wheeze", US_national_yearly!$D:$AM, 25, FALSE) / VLOOKUP("buildings|NOx|Asthma symptoms wheeze", US_national_yearly!$D:$AM, 10, FALSE), 1)</f>
        <v>5.0539735633938789E-4</v>
      </c>
      <c r="R8" s="7">
        <f>$B8 * IFERROR(VLOOKUP("buildings|NOx|Asthma symptoms wheeze", US_national_yearly!$D:$AM, 26, FALSE) / VLOOKUP("buildings|NOx|Asthma symptoms wheeze", US_national_yearly!$D:$AM, 10, FALSE), 1)</f>
        <v>5.0738464633004314E-4</v>
      </c>
      <c r="S8" s="7">
        <f>$B8 * IFERROR(VLOOKUP("buildings|NOx|Asthma symptoms wheeze", US_national_yearly!$D:$AM, 27, FALSE) / VLOOKUP("buildings|NOx|Asthma symptoms wheeze", US_national_yearly!$D:$AM, 10, FALSE), 1)</f>
        <v>5.0998008917456567E-4</v>
      </c>
      <c r="T8" s="7">
        <f>$B8 * IFERROR(VLOOKUP("buildings|NOx|Asthma symptoms wheeze", US_national_yearly!$D:$AM, 28, FALSE) / VLOOKUP("buildings|NOx|Asthma symptoms wheeze", US_national_yearly!$D:$AM, 10, FALSE), 1)</f>
        <v>5.125755320190881E-4</v>
      </c>
      <c r="U8" s="7">
        <f>$B8 * IFERROR(VLOOKUP("buildings|NOx|Asthma symptoms wheeze", US_national_yearly!$D:$AM, 29, FALSE) / VLOOKUP("buildings|NOx|Asthma symptoms wheeze", US_national_yearly!$D:$AM, 10, FALSE), 1)</f>
        <v>5.1517097486361053E-4</v>
      </c>
      <c r="V8" s="7">
        <f>$B8 * IFERROR(VLOOKUP("buildings|NOx|Asthma symptoms wheeze", US_national_yearly!$D:$AM, 30, FALSE) / VLOOKUP("buildings|NOx|Asthma symptoms wheeze", US_national_yearly!$D:$AM, 10, FALSE), 1)</f>
        <v>5.1776641770813296E-4</v>
      </c>
      <c r="W8" s="7">
        <f>$B8 * IFERROR(VLOOKUP("buildings|NOx|Asthma symptoms wheeze", US_national_yearly!$D:$AM, 31, FALSE) / VLOOKUP("buildings|NOx|Asthma symptoms wheeze", US_national_yearly!$D:$AM, 10, FALSE), 1)</f>
        <v>5.203618605526555E-4</v>
      </c>
      <c r="X8" s="7">
        <f>$B8 * IFERROR(VLOOKUP("buildings|NOx|Asthma symptoms wheeze", US_national_yearly!$D:$AM, 32, FALSE) / VLOOKUP("buildings|NOx|Asthma symptoms wheeze", US_national_yearly!$D:$AM, 10, FALSE), 1)</f>
        <v>5.2277338409519112E-4</v>
      </c>
      <c r="Y8" s="7">
        <f>$B8 * IFERROR(VLOOKUP("buildings|NOx|Asthma symptoms wheeze", US_national_yearly!$D:$AM, 33, FALSE) / VLOOKUP("buildings|NOx|Asthma symptoms wheeze", US_national_yearly!$D:$AM, 10, FALSE), 1)</f>
        <v>5.2518490763772685E-4</v>
      </c>
      <c r="Z8" s="7">
        <f>$B8 * IFERROR(VLOOKUP("buildings|NOx|Asthma symptoms wheeze", US_national_yearly!$D:$AM, 34, FALSE) / VLOOKUP("buildings|NOx|Asthma symptoms wheeze", US_national_yearly!$D:$AM, 10, FALSE), 1)</f>
        <v>5.2759643118026269E-4</v>
      </c>
      <c r="AA8" s="7">
        <f>$B8 * IFERROR(VLOOKUP("buildings|NOx|Asthma symptoms wheeze", US_national_yearly!$D:$AM, 35, FALSE) / VLOOKUP("buildings|NOx|Asthma symptoms wheeze", US_national_yearly!$D:$AM, 10, FALSE), 1)</f>
        <v>5.3000795472279841E-4</v>
      </c>
      <c r="AB8" s="7">
        <f>$B8 * IFERROR(VLOOKUP("buildings|NOx|Asthma symptoms wheeze", US_national_yearly!$D:$AM, 36, FALSE) / VLOOKUP("buildings|NOx|Asthma symptoms wheeze", US_national_yearly!$D:$AM, 10, FALSE), 1)</f>
        <v>5.3241947826533425E-4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4.9589155375348471E-6</v>
      </c>
      <c r="C12" s="7">
        <f>$B12 * IFERROR(VLOOKUP("buildings|NOx|Respiratory hospital admissions", US_national_yearly!$D:$AM, 11, FALSE) / VLOOKUP("buildings|NOx|Respiratory hospital admissions", US_national_yearly!$D:$AM, 10, FALSE), 1)</f>
        <v>5.0828108213728114E-6</v>
      </c>
      <c r="D12" s="7">
        <f>$B12 * IFERROR(VLOOKUP("buildings|NOx|Respiratory hospital admissions", US_national_yearly!$D:$AM, 12, FALSE) / VLOOKUP("buildings|NOx|Respiratory hospital admissions", US_national_yearly!$D:$AM, 10, FALSE), 1)</f>
        <v>5.2067061052107758E-6</v>
      </c>
      <c r="E12" s="7">
        <f>$B12 * IFERROR(VLOOKUP("buildings|NOx|Respiratory hospital admissions", US_national_yearly!$D:$AM, 13, FALSE) / VLOOKUP("buildings|NOx|Respiratory hospital admissions", US_national_yearly!$D:$AM, 10, FALSE), 1)</f>
        <v>5.3306013890487409E-6</v>
      </c>
      <c r="F12" s="7">
        <f>$B12 * IFERROR(VLOOKUP("buildings|NOx|Respiratory hospital admissions", US_national_yearly!$D:$AM, 14, FALSE) / VLOOKUP("buildings|NOx|Respiratory hospital admissions", US_national_yearly!$D:$AM, 10, FALSE), 1)</f>
        <v>5.4544966728867053E-6</v>
      </c>
      <c r="G12" s="7">
        <f>$B12 * IFERROR(VLOOKUP("buildings|NOx|Respiratory hospital admissions", US_national_yearly!$D:$AM, 15, FALSE) / VLOOKUP("buildings|NOx|Respiratory hospital admissions", US_national_yearly!$D:$AM, 10, FALSE), 1)</f>
        <v>5.5729443343423925E-6</v>
      </c>
      <c r="H12" s="7">
        <f>$B12 * IFERROR(VLOOKUP("buildings|NOx|Respiratory hospital admissions", US_national_yearly!$D:$AM, 16, FALSE) / VLOOKUP("buildings|NOx|Respiratory hospital admissions", US_national_yearly!$D:$AM, 10, FALSE), 1)</f>
        <v>5.691391995798078E-6</v>
      </c>
      <c r="I12" s="7">
        <f>$B12 * IFERROR(VLOOKUP("buildings|NOx|Respiratory hospital admissions", US_national_yearly!$D:$AM, 17, FALSE) / VLOOKUP("buildings|NOx|Respiratory hospital admissions", US_national_yearly!$D:$AM, 10, FALSE), 1)</f>
        <v>5.7920104935463393E-6</v>
      </c>
      <c r="J12" s="7">
        <f>$B12 * IFERROR(VLOOKUP("buildings|NOx|Respiratory hospital admissions", US_national_yearly!$D:$AM, 18, FALSE) / VLOOKUP("buildings|NOx|Respiratory hospital admissions", US_national_yearly!$D:$AM, 10, FALSE), 1)</f>
        <v>5.8926289912946005E-6</v>
      </c>
      <c r="K12" s="7">
        <f>$B12 * IFERROR(VLOOKUP("buildings|NOx|Respiratory hospital admissions", US_national_yearly!$D:$AM, 19, FALSE) / VLOOKUP("buildings|NOx|Respiratory hospital admissions", US_national_yearly!$D:$AM, 10, FALSE), 1)</f>
        <v>5.9932474890428618E-6</v>
      </c>
      <c r="L12" s="7">
        <f>$B12 * IFERROR(VLOOKUP("buildings|NOx|Respiratory hospital admissions", US_national_yearly!$D:$AM, 20, FALSE) / VLOOKUP("buildings|NOx|Respiratory hospital admissions", US_national_yearly!$D:$AM, 10, FALSE), 1)</f>
        <v>6.0938659867911231E-6</v>
      </c>
      <c r="M12" s="7">
        <f>$B12 * IFERROR(VLOOKUP("buildings|NOx|Respiratory hospital admissions", US_national_yearly!$D:$AM, 21, FALSE) / VLOOKUP("buildings|NOx|Respiratory hospital admissions", US_national_yearly!$D:$AM, 10, FALSE), 1)</f>
        <v>6.1944844845393844E-6</v>
      </c>
      <c r="N12" s="7">
        <f>$B12 * IFERROR(VLOOKUP("buildings|NOx|Respiratory hospital admissions", US_national_yearly!$D:$AM, 22, FALSE) / VLOOKUP("buildings|NOx|Respiratory hospital admissions", US_national_yearly!$D:$AM, 10, FALSE), 1)</f>
        <v>6.2617473966602733E-6</v>
      </c>
      <c r="O12" s="7">
        <f>$B12 * IFERROR(VLOOKUP("buildings|NOx|Respiratory hospital admissions", US_national_yearly!$D:$AM, 23, FALSE) / VLOOKUP("buildings|NOx|Respiratory hospital admissions", US_national_yearly!$D:$AM, 10, FALSE), 1)</f>
        <v>6.3290103087811622E-6</v>
      </c>
      <c r="P12" s="7">
        <f>$B12 * IFERROR(VLOOKUP("buildings|NOx|Respiratory hospital admissions", US_national_yearly!$D:$AM, 24, FALSE) / VLOOKUP("buildings|NOx|Respiratory hospital admissions", US_national_yearly!$D:$AM, 10, FALSE), 1)</f>
        <v>6.396273220902051E-6</v>
      </c>
      <c r="Q12" s="7">
        <f>$B12 * IFERROR(VLOOKUP("buildings|NOx|Respiratory hospital admissions", US_national_yearly!$D:$AM, 25, FALSE) / VLOOKUP("buildings|NOx|Respiratory hospital admissions", US_national_yearly!$D:$AM, 10, FALSE), 1)</f>
        <v>6.4635361330229408E-6</v>
      </c>
      <c r="R12" s="7">
        <f>$B12 * IFERROR(VLOOKUP("buildings|NOx|Respiratory hospital admissions", US_national_yearly!$D:$AM, 26, FALSE) / VLOOKUP("buildings|NOx|Respiratory hospital admissions", US_national_yearly!$D:$AM, 10, FALSE), 1)</f>
        <v>6.5307990451438288E-6</v>
      </c>
      <c r="S12" s="7">
        <f>$B12 * IFERROR(VLOOKUP("buildings|NOx|Respiratory hospital admissions", US_national_yearly!$D:$AM, 27, FALSE) / VLOOKUP("buildings|NOx|Respiratory hospital admissions", US_national_yearly!$D:$AM, 10, FALSE), 1)</f>
        <v>6.5668633816557168E-6</v>
      </c>
      <c r="T12" s="7">
        <f>$B12 * IFERROR(VLOOKUP("buildings|NOx|Respiratory hospital admissions", US_national_yearly!$D:$AM, 28, FALSE) / VLOOKUP("buildings|NOx|Respiratory hospital admissions", US_national_yearly!$D:$AM, 10, FALSE), 1)</f>
        <v>6.6029277181676057E-6</v>
      </c>
      <c r="U12" s="7">
        <f>$B12 * IFERROR(VLOOKUP("buildings|NOx|Respiratory hospital admissions", US_national_yearly!$D:$AM, 29, FALSE) / VLOOKUP("buildings|NOx|Respiratory hospital admissions", US_national_yearly!$D:$AM, 10, FALSE), 1)</f>
        <v>6.6389920546794937E-6</v>
      </c>
      <c r="V12" s="7">
        <f>$B12 * IFERROR(VLOOKUP("buildings|NOx|Respiratory hospital admissions", US_national_yearly!$D:$AM, 30, FALSE) / VLOOKUP("buildings|NOx|Respiratory hospital admissions", US_national_yearly!$D:$AM, 10, FALSE), 1)</f>
        <v>6.6750563911913826E-6</v>
      </c>
      <c r="W12" s="7">
        <f>$B12 * IFERROR(VLOOKUP("buildings|NOx|Respiratory hospital admissions", US_national_yearly!$D:$AM, 31, FALSE) / VLOOKUP("buildings|NOx|Respiratory hospital admissions", US_national_yearly!$D:$AM, 10, FALSE), 1)</f>
        <v>6.7111207277032698E-6</v>
      </c>
      <c r="X12" s="7">
        <f>$B12 * IFERROR(VLOOKUP("buildings|NOx|Respiratory hospital admissions", US_national_yearly!$D:$AM, 32, FALSE) / VLOOKUP("buildings|NOx|Respiratory hospital admissions", US_national_yearly!$D:$AM, 10, FALSE), 1)</f>
        <v>6.7358084677261904E-6</v>
      </c>
      <c r="Y12" s="7">
        <f>$B12 * IFERROR(VLOOKUP("buildings|NOx|Respiratory hospital admissions", US_national_yearly!$D:$AM, 33, FALSE) / VLOOKUP("buildings|NOx|Respiratory hospital admissions", US_national_yearly!$D:$AM, 10, FALSE), 1)</f>
        <v>6.7604962077491102E-6</v>
      </c>
      <c r="Z12" s="7">
        <f>$B12 * IFERROR(VLOOKUP("buildings|NOx|Respiratory hospital admissions", US_national_yearly!$D:$AM, 34, FALSE) / VLOOKUP("buildings|NOx|Respiratory hospital admissions", US_national_yearly!$D:$AM, 10, FALSE), 1)</f>
        <v>6.7851839477720317E-6</v>
      </c>
      <c r="AA12" s="7">
        <f>$B12 * IFERROR(VLOOKUP("buildings|NOx|Respiratory hospital admissions", US_national_yearly!$D:$AM, 35, FALSE) / VLOOKUP("buildings|NOx|Respiratory hospital admissions", US_national_yearly!$D:$AM, 10, FALSE), 1)</f>
        <v>6.8098716877949515E-6</v>
      </c>
      <c r="AB12" s="7">
        <f>$B12 * IFERROR(VLOOKUP("buildings|NOx|Respiratory hospital admissions", US_national_yearly!$D:$AM, 36, FALSE) / VLOOKUP("buildings|NOx|Respiratory hospital admissions", US_national_yearly!$D:$AM, 10, FALSE), 1)</f>
        <v>6.8345594278178722E-6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5.2056048543761571E-5</v>
      </c>
      <c r="C13" s="7">
        <f>$B13 * IFERROR(VLOOKUP("buildings|NOx|Non-fatal heart attacks", US_national_yearly!$D:$AM, 11, FALSE) / VLOOKUP("buildings|NOx|Non-fatal heart attacks", US_national_yearly!$D:$AM, 10, FALSE), 1)</f>
        <v>5.3545265957445475E-5</v>
      </c>
      <c r="D13" s="7">
        <f>$B13 * IFERROR(VLOOKUP("buildings|NOx|Non-fatal heart attacks", US_national_yearly!$D:$AM, 12, FALSE) / VLOOKUP("buildings|NOx|Non-fatal heart attacks", US_national_yearly!$D:$AM, 10, FALSE), 1)</f>
        <v>5.50344833711294E-5</v>
      </c>
      <c r="E13" s="7">
        <f>$B13 * IFERROR(VLOOKUP("buildings|NOx|Non-fatal heart attacks", US_national_yearly!$D:$AM, 13, FALSE) / VLOOKUP("buildings|NOx|Non-fatal heart attacks", US_national_yearly!$D:$AM, 10, FALSE), 1)</f>
        <v>5.6523700784813304E-5</v>
      </c>
      <c r="F13" s="7">
        <f>$B13 * IFERROR(VLOOKUP("buildings|NOx|Non-fatal heart attacks", US_national_yearly!$D:$AM, 14, FALSE) / VLOOKUP("buildings|NOx|Non-fatal heart attacks", US_national_yearly!$D:$AM, 10, FALSE), 1)</f>
        <v>5.8012918198497208E-5</v>
      </c>
      <c r="G13" s="7">
        <f>$B13 * IFERROR(VLOOKUP("buildings|NOx|Non-fatal heart attacks", US_national_yearly!$D:$AM, 15, FALSE) / VLOOKUP("buildings|NOx|Non-fatal heart attacks", US_national_yearly!$D:$AM, 10, FALSE), 1)</f>
        <v>5.9404884706174886E-5</v>
      </c>
      <c r="H13" s="7">
        <f>$B13 * IFERROR(VLOOKUP("buildings|NOx|Non-fatal heart attacks", US_national_yearly!$D:$AM, 16, FALSE) / VLOOKUP("buildings|NOx|Non-fatal heart attacks", US_national_yearly!$D:$AM, 10, FALSE), 1)</f>
        <v>6.0796851213852583E-5</v>
      </c>
      <c r="I13" s="7">
        <f>$B13 * IFERROR(VLOOKUP("buildings|NOx|Non-fatal heart attacks", US_national_yearly!$D:$AM, 17, FALSE) / VLOOKUP("buildings|NOx|Non-fatal heart attacks", US_national_yearly!$D:$AM, 10, FALSE), 1)</f>
        <v>6.1895012727525051E-5</v>
      </c>
      <c r="J13" s="7">
        <f>$B13 * IFERROR(VLOOKUP("buildings|NOx|Non-fatal heart attacks", US_national_yearly!$D:$AM, 18, FALSE) / VLOOKUP("buildings|NOx|Non-fatal heart attacks", US_national_yearly!$D:$AM, 10, FALSE), 1)</f>
        <v>6.2993174241197518E-5</v>
      </c>
      <c r="K13" s="7">
        <f>$B13 * IFERROR(VLOOKUP("buildings|NOx|Non-fatal heart attacks", US_national_yearly!$D:$AM, 19, FALSE) / VLOOKUP("buildings|NOx|Non-fatal heart attacks", US_national_yearly!$D:$AM, 10, FALSE), 1)</f>
        <v>6.4091335754869999E-5</v>
      </c>
      <c r="L13" s="7">
        <f>$B13 * IFERROR(VLOOKUP("buildings|NOx|Non-fatal heart attacks", US_national_yearly!$D:$AM, 20, FALSE) / VLOOKUP("buildings|NOx|Non-fatal heart attacks", US_national_yearly!$D:$AM, 10, FALSE), 1)</f>
        <v>6.518949726854244E-5</v>
      </c>
      <c r="M13" s="7">
        <f>$B13 * IFERROR(VLOOKUP("buildings|NOx|Non-fatal heart attacks", US_national_yearly!$D:$AM, 21, FALSE) / VLOOKUP("buildings|NOx|Non-fatal heart attacks", US_national_yearly!$D:$AM, 10, FALSE), 1)</f>
        <v>6.6287658782214934E-5</v>
      </c>
      <c r="N13" s="7">
        <f>$B13 * IFERROR(VLOOKUP("buildings|NOx|Non-fatal heart attacks", US_national_yearly!$D:$AM, 22, FALSE) / VLOOKUP("buildings|NOx|Non-fatal heart attacks", US_national_yearly!$D:$AM, 10, FALSE), 1)</f>
        <v>6.6948565670843185E-5</v>
      </c>
      <c r="O13" s="7">
        <f>$B13 * IFERROR(VLOOKUP("buildings|NOx|Non-fatal heart attacks", US_national_yearly!$D:$AM, 23, FALSE) / VLOOKUP("buildings|NOx|Non-fatal heart attacks", US_national_yearly!$D:$AM, 10, FALSE), 1)</f>
        <v>6.7609472559471422E-5</v>
      </c>
      <c r="P13" s="7">
        <f>$B13 * IFERROR(VLOOKUP("buildings|NOx|Non-fatal heart attacks", US_national_yearly!$D:$AM, 24, FALSE) / VLOOKUP("buildings|NOx|Non-fatal heart attacks", US_national_yearly!$D:$AM, 10, FALSE), 1)</f>
        <v>6.8270379448099686E-5</v>
      </c>
      <c r="Q13" s="7">
        <f>$B13 * IFERROR(VLOOKUP("buildings|NOx|Non-fatal heart attacks", US_national_yearly!$D:$AM, 25, FALSE) / VLOOKUP("buildings|NOx|Non-fatal heart attacks", US_national_yearly!$D:$AM, 10, FALSE), 1)</f>
        <v>6.8931286336727936E-5</v>
      </c>
      <c r="R13" s="7">
        <f>$B13 * IFERROR(VLOOKUP("buildings|NOx|Non-fatal heart attacks", US_national_yearly!$D:$AM, 26, FALSE) / VLOOKUP("buildings|NOx|Non-fatal heart attacks", US_national_yearly!$D:$AM, 10, FALSE), 1)</f>
        <v>6.9592193225356174E-5</v>
      </c>
      <c r="S13" s="7">
        <f>$B13 * IFERROR(VLOOKUP("buildings|NOx|Non-fatal heart attacks", US_national_yearly!$D:$AM, 27, FALSE) / VLOOKUP("buildings|NOx|Non-fatal heart attacks", US_national_yearly!$D:$AM, 10, FALSE), 1)</f>
        <v>6.9892535243028096E-5</v>
      </c>
      <c r="T13" s="7">
        <f>$B13 * IFERROR(VLOOKUP("buildings|NOx|Non-fatal heart attacks", US_national_yearly!$D:$AM, 28, FALSE) / VLOOKUP("buildings|NOx|Non-fatal heart attacks", US_national_yearly!$D:$AM, 10, FALSE), 1)</f>
        <v>7.0192877260700045E-5</v>
      </c>
      <c r="U13" s="7">
        <f>$B13 * IFERROR(VLOOKUP("buildings|NOx|Non-fatal heart attacks", US_national_yearly!$D:$AM, 29, FALSE) / VLOOKUP("buildings|NOx|Non-fatal heart attacks", US_national_yearly!$D:$AM, 10, FALSE), 1)</f>
        <v>7.0493219278371967E-5</v>
      </c>
      <c r="V13" s="7">
        <f>$B13 * IFERROR(VLOOKUP("buildings|NOx|Non-fatal heart attacks", US_national_yearly!$D:$AM, 30, FALSE) / VLOOKUP("buildings|NOx|Non-fatal heart attacks", US_national_yearly!$D:$AM, 10, FALSE), 1)</f>
        <v>7.0793561296043889E-5</v>
      </c>
      <c r="W13" s="7">
        <f>$B13 * IFERROR(VLOOKUP("buildings|NOx|Non-fatal heart attacks", US_national_yearly!$D:$AM, 31, FALSE) / VLOOKUP("buildings|NOx|Non-fatal heart attacks", US_national_yearly!$D:$AM, 10, FALSE), 1)</f>
        <v>7.1093903313715825E-5</v>
      </c>
      <c r="X13" s="7">
        <f>$B13 * IFERROR(VLOOKUP("buildings|NOx|Non-fatal heart attacks", US_national_yearly!$D:$AM, 32, FALSE) / VLOOKUP("buildings|NOx|Non-fatal heart attacks", US_national_yearly!$D:$AM, 10, FALSE), 1)</f>
        <v>7.1294807666237722E-5</v>
      </c>
      <c r="Y13" s="7">
        <f>$B13 * IFERROR(VLOOKUP("buildings|NOx|Non-fatal heart attacks", US_national_yearly!$D:$AM, 33, FALSE) / VLOOKUP("buildings|NOx|Non-fatal heart attacks", US_national_yearly!$D:$AM, 10, FALSE), 1)</f>
        <v>7.1495712018759618E-5</v>
      </c>
      <c r="Z13" s="7">
        <f>$B13 * IFERROR(VLOOKUP("buildings|NOx|Non-fatal heart attacks", US_national_yearly!$D:$AM, 34, FALSE) / VLOOKUP("buildings|NOx|Non-fatal heart attacks", US_national_yearly!$D:$AM, 10, FALSE), 1)</f>
        <v>7.1696616371281515E-5</v>
      </c>
      <c r="AA13" s="7">
        <f>$B13 * IFERROR(VLOOKUP("buildings|NOx|Non-fatal heart attacks", US_national_yearly!$D:$AM, 35, FALSE) / VLOOKUP("buildings|NOx|Non-fatal heart attacks", US_national_yearly!$D:$AM, 10, FALSE), 1)</f>
        <v>7.1897520723803411E-5</v>
      </c>
      <c r="AB13" s="7">
        <f>$B13 * IFERROR(VLOOKUP("buildings|NOx|Non-fatal heart attacks", US_national_yearly!$D:$AM, 36, FALSE) / VLOOKUP("buildings|NOx|Non-fatal heart attacks", US_national_yearly!$D:$AM, 10, FALSE), 1)</f>
        <v>7.2098425076325308E-5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2.6377234322104148E-2</v>
      </c>
      <c r="C14" s="7">
        <f>$B14 * IFERROR(VLOOKUP("buildings|NOx|Minor restricted activity days", US_national_yearly!$D:$AM, 11, FALSE) / VLOOKUP("buildings|NOx|Minor restricted activity days", US_national_yearly!$D:$AM, 10, FALSE), 1)</f>
        <v>2.64181655517432E-2</v>
      </c>
      <c r="D14" s="7">
        <f>$B14 * IFERROR(VLOOKUP("buildings|NOx|Minor restricted activity days", US_national_yearly!$D:$AM, 12, FALSE) / VLOOKUP("buildings|NOx|Minor restricted activity days", US_national_yearly!$D:$AM, 10, FALSE), 1)</f>
        <v>2.6459096781382252E-2</v>
      </c>
      <c r="E14" s="7">
        <f>$B14 * IFERROR(VLOOKUP("buildings|NOx|Minor restricted activity days", US_national_yearly!$D:$AM, 13, FALSE) / VLOOKUP("buildings|NOx|Minor restricted activity days", US_national_yearly!$D:$AM, 10, FALSE), 1)</f>
        <v>2.6500028011021304E-2</v>
      </c>
      <c r="F14" s="7">
        <f>$B14 * IFERROR(VLOOKUP("buildings|NOx|Minor restricted activity days", US_national_yearly!$D:$AM, 14, FALSE) / VLOOKUP("buildings|NOx|Minor restricted activity days", US_national_yearly!$D:$AM, 10, FALSE), 1)</f>
        <v>2.6540959240660356E-2</v>
      </c>
      <c r="G14" s="7">
        <f>$B14 * IFERROR(VLOOKUP("buildings|NOx|Minor restricted activity days", US_national_yearly!$D:$AM, 15, FALSE) / VLOOKUP("buildings|NOx|Minor restricted activity days", US_national_yearly!$D:$AM, 10, FALSE), 1)</f>
        <v>2.66144922657356E-2</v>
      </c>
      <c r="H14" s="7">
        <f>$B14 * IFERROR(VLOOKUP("buildings|NOx|Minor restricted activity days", US_national_yearly!$D:$AM, 16, FALSE) / VLOOKUP("buildings|NOx|Minor restricted activity days", US_national_yearly!$D:$AM, 10, FALSE), 1)</f>
        <v>2.6688025290810845E-2</v>
      </c>
      <c r="I14" s="7">
        <f>$B14 * IFERROR(VLOOKUP("buildings|NOx|Minor restricted activity days", US_national_yearly!$D:$AM, 17, FALSE) / VLOOKUP("buildings|NOx|Minor restricted activity days", US_national_yearly!$D:$AM, 10, FALSE), 1)</f>
        <v>2.683139371062962E-2</v>
      </c>
      <c r="J14" s="7">
        <f>$B14 * IFERROR(VLOOKUP("buildings|NOx|Minor restricted activity days", US_national_yearly!$D:$AM, 18, FALSE) / VLOOKUP("buildings|NOx|Minor restricted activity days", US_national_yearly!$D:$AM, 10, FALSE), 1)</f>
        <v>2.6974762130448391E-2</v>
      </c>
      <c r="K14" s="7">
        <f>$B14 * IFERROR(VLOOKUP("buildings|NOx|Minor restricted activity days", US_national_yearly!$D:$AM, 19, FALSE) / VLOOKUP("buildings|NOx|Minor restricted activity days", US_national_yearly!$D:$AM, 10, FALSE), 1)</f>
        <v>2.7118130550267166E-2</v>
      </c>
      <c r="L14" s="7">
        <f>$B14 * IFERROR(VLOOKUP("buildings|NOx|Minor restricted activity days", US_national_yearly!$D:$AM, 20, FALSE) / VLOOKUP("buildings|NOx|Minor restricted activity days", US_national_yearly!$D:$AM, 10, FALSE), 1)</f>
        <v>2.7261498970085941E-2</v>
      </c>
      <c r="M14" s="7">
        <f>$B14 * IFERROR(VLOOKUP("buildings|NOx|Minor restricted activity days", US_national_yearly!$D:$AM, 21, FALSE) / VLOOKUP("buildings|NOx|Minor restricted activity days", US_national_yearly!$D:$AM, 10, FALSE), 1)</f>
        <v>2.7404867389904712E-2</v>
      </c>
      <c r="N14" s="7">
        <f>$B14 * IFERROR(VLOOKUP("buildings|NOx|Minor restricted activity days", US_national_yearly!$D:$AM, 22, FALSE) / VLOOKUP("buildings|NOx|Minor restricted activity days", US_national_yearly!$D:$AM, 10, FALSE), 1)</f>
        <v>2.7609971439112559E-2</v>
      </c>
      <c r="O14" s="7">
        <f>$B14 * IFERROR(VLOOKUP("buildings|NOx|Minor restricted activity days", US_national_yearly!$D:$AM, 23, FALSE) / VLOOKUP("buildings|NOx|Minor restricted activity days", US_national_yearly!$D:$AM, 10, FALSE), 1)</f>
        <v>2.7815075488320403E-2</v>
      </c>
      <c r="P14" s="7">
        <f>$B14 * IFERROR(VLOOKUP("buildings|NOx|Minor restricted activity days", US_national_yearly!$D:$AM, 24, FALSE) / VLOOKUP("buildings|NOx|Minor restricted activity days", US_national_yearly!$D:$AM, 10, FALSE), 1)</f>
        <v>2.802017953752825E-2</v>
      </c>
      <c r="Q14" s="7">
        <f>$B14 * IFERROR(VLOOKUP("buildings|NOx|Minor restricted activity days", US_national_yearly!$D:$AM, 25, FALSE) / VLOOKUP("buildings|NOx|Minor restricted activity days", US_national_yearly!$D:$AM, 10, FALSE), 1)</f>
        <v>2.8225283586736091E-2</v>
      </c>
      <c r="R14" s="7">
        <f>$B14 * IFERROR(VLOOKUP("buildings|NOx|Minor restricted activity days", US_national_yearly!$D:$AM, 26, FALSE) / VLOOKUP("buildings|NOx|Minor restricted activity days", US_national_yearly!$D:$AM, 10, FALSE), 1)</f>
        <v>2.8430387635943934E-2</v>
      </c>
      <c r="S14" s="7">
        <f>$B14 * IFERROR(VLOOKUP("buildings|NOx|Minor restricted activity days", US_national_yearly!$D:$AM, 27, FALSE) / VLOOKUP("buildings|NOx|Minor restricted activity days", US_national_yearly!$D:$AM, 10, FALSE), 1)</f>
        <v>2.8635432641264856E-2</v>
      </c>
      <c r="T14" s="7">
        <f>$B14 * IFERROR(VLOOKUP("buildings|NOx|Minor restricted activity days", US_national_yearly!$D:$AM, 28, FALSE) / VLOOKUP("buildings|NOx|Minor restricted activity days", US_national_yearly!$D:$AM, 10, FALSE), 1)</f>
        <v>2.8840477646585781E-2</v>
      </c>
      <c r="U14" s="7">
        <f>$B14 * IFERROR(VLOOKUP("buildings|NOx|Minor restricted activity days", US_national_yearly!$D:$AM, 29, FALSE) / VLOOKUP("buildings|NOx|Minor restricted activity days", US_national_yearly!$D:$AM, 10, FALSE), 1)</f>
        <v>2.9045522651906713E-2</v>
      </c>
      <c r="V14" s="7">
        <f>$B14 * IFERROR(VLOOKUP("buildings|NOx|Minor restricted activity days", US_national_yearly!$D:$AM, 30, FALSE) / VLOOKUP("buildings|NOx|Minor restricted activity days", US_national_yearly!$D:$AM, 10, FALSE), 1)</f>
        <v>2.9250567657227639E-2</v>
      </c>
      <c r="W14" s="7">
        <f>$B14 * IFERROR(VLOOKUP("buildings|NOx|Minor restricted activity days", US_national_yearly!$D:$AM, 31, FALSE) / VLOOKUP("buildings|NOx|Minor restricted activity days", US_national_yearly!$D:$AM, 10, FALSE), 1)</f>
        <v>2.9455612662548564E-2</v>
      </c>
      <c r="X14" s="7">
        <f>$B14 * IFERROR(VLOOKUP("buildings|NOx|Minor restricted activity days", US_national_yearly!$D:$AM, 32, FALSE) / VLOOKUP("buildings|NOx|Minor restricted activity days", US_national_yearly!$D:$AM, 10, FALSE), 1)</f>
        <v>2.9629027646158435E-2</v>
      </c>
      <c r="Y14" s="7">
        <f>$B14 * IFERROR(VLOOKUP("buildings|NOx|Minor restricted activity days", US_national_yearly!$D:$AM, 33, FALSE) / VLOOKUP("buildings|NOx|Minor restricted activity days", US_national_yearly!$D:$AM, 10, FALSE), 1)</f>
        <v>2.9802442629768312E-2</v>
      </c>
      <c r="Z14" s="7">
        <f>$B14 * IFERROR(VLOOKUP("buildings|NOx|Minor restricted activity days", US_national_yearly!$D:$AM, 34, FALSE) / VLOOKUP("buildings|NOx|Minor restricted activity days", US_national_yearly!$D:$AM, 10, FALSE), 1)</f>
        <v>2.997585761337818E-2</v>
      </c>
      <c r="AA14" s="7">
        <f>$B14 * IFERROR(VLOOKUP("buildings|NOx|Minor restricted activity days", US_national_yearly!$D:$AM, 35, FALSE) / VLOOKUP("buildings|NOx|Minor restricted activity days", US_national_yearly!$D:$AM, 10, FALSE), 1)</f>
        <v>3.0149272596988057E-2</v>
      </c>
      <c r="AB14" s="7">
        <f>$B14 * IFERROR(VLOOKUP("buildings|NOx|Minor restricted activity days", US_national_yearly!$D:$AM, 36, FALSE) / VLOOKUP("buildings|NOx|Minor restricted activity days", US_national_yearly!$D:$AM, 10, FALSE), 1)</f>
        <v>3.0322687580597928E-2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4.5002538306571031E-3</v>
      </c>
      <c r="C15" s="7">
        <f>$B15 * IFERROR(VLOOKUP("buildings|NOx|Work loss days", US_national_yearly!$D:$AM, 11, FALSE) / VLOOKUP("buildings|NOx|Work loss days", US_national_yearly!$D:$AM, 10, FALSE), 1)</f>
        <v>4.5103422074546208E-3</v>
      </c>
      <c r="D15" s="7">
        <f>$B15 * IFERROR(VLOOKUP("buildings|NOx|Work loss days", US_national_yearly!$D:$AM, 12, FALSE) / VLOOKUP("buildings|NOx|Work loss days", US_national_yearly!$D:$AM, 10, FALSE), 1)</f>
        <v>4.5204305842521386E-3</v>
      </c>
      <c r="E15" s="7">
        <f>$B15 * IFERROR(VLOOKUP("buildings|NOx|Work loss days", US_national_yearly!$D:$AM, 13, FALSE) / VLOOKUP("buildings|NOx|Work loss days", US_national_yearly!$D:$AM, 10, FALSE), 1)</f>
        <v>4.5305189610496555E-3</v>
      </c>
      <c r="F15" s="7">
        <f>$B15 * IFERROR(VLOOKUP("buildings|NOx|Work loss days", US_national_yearly!$D:$AM, 14, FALSE) / VLOOKUP("buildings|NOx|Work loss days", US_national_yearly!$D:$AM, 10, FALSE), 1)</f>
        <v>4.5406073378471742E-3</v>
      </c>
      <c r="G15" s="7">
        <f>$B15 * IFERROR(VLOOKUP("buildings|NOx|Work loss days", US_national_yearly!$D:$AM, 15, FALSE) / VLOOKUP("buildings|NOx|Work loss days", US_national_yearly!$D:$AM, 10, FALSE), 1)</f>
        <v>4.5553021897120098E-3</v>
      </c>
      <c r="H15" s="7">
        <f>$B15 * IFERROR(VLOOKUP("buildings|NOx|Work loss days", US_national_yearly!$D:$AM, 16, FALSE) / VLOOKUP("buildings|NOx|Work loss days", US_national_yearly!$D:$AM, 10, FALSE), 1)</f>
        <v>4.5699970415768463E-3</v>
      </c>
      <c r="I15" s="7">
        <f>$B15 * IFERROR(VLOOKUP("buildings|NOx|Work loss days", US_national_yearly!$D:$AM, 17, FALSE) / VLOOKUP("buildings|NOx|Work loss days", US_national_yearly!$D:$AM, 10, FALSE), 1)</f>
        <v>4.5937630463350389E-3</v>
      </c>
      <c r="J15" s="7">
        <f>$B15 * IFERROR(VLOOKUP("buildings|NOx|Work loss days", US_national_yearly!$D:$AM, 18, FALSE) / VLOOKUP("buildings|NOx|Work loss days", US_national_yearly!$D:$AM, 10, FALSE), 1)</f>
        <v>4.6175290510932308E-3</v>
      </c>
      <c r="K15" s="7">
        <f>$B15 * IFERROR(VLOOKUP("buildings|NOx|Work loss days", US_national_yearly!$D:$AM, 19, FALSE) / VLOOKUP("buildings|NOx|Work loss days", US_national_yearly!$D:$AM, 10, FALSE), 1)</f>
        <v>4.6412950558514235E-3</v>
      </c>
      <c r="L15" s="7">
        <f>$B15 * IFERROR(VLOOKUP("buildings|NOx|Work loss days", US_national_yearly!$D:$AM, 20, FALSE) / VLOOKUP("buildings|NOx|Work loss days", US_national_yearly!$D:$AM, 10, FALSE), 1)</f>
        <v>4.6650610606096161E-3</v>
      </c>
      <c r="M15" s="7">
        <f>$B15 * IFERROR(VLOOKUP("buildings|NOx|Work loss days", US_national_yearly!$D:$AM, 21, FALSE) / VLOOKUP("buildings|NOx|Work loss days", US_national_yearly!$D:$AM, 10, FALSE), 1)</f>
        <v>4.688827065367808E-3</v>
      </c>
      <c r="N15" s="7">
        <f>$B15 * IFERROR(VLOOKUP("buildings|NOx|Work loss days", US_national_yearly!$D:$AM, 22, FALSE) / VLOOKUP("buildings|NOx|Work loss days", US_national_yearly!$D:$AM, 10, FALSE), 1)</f>
        <v>4.7197466767598568E-3</v>
      </c>
      <c r="O15" s="7">
        <f>$B15 * IFERROR(VLOOKUP("buildings|NOx|Work loss days", US_national_yearly!$D:$AM, 23, FALSE) / VLOOKUP("buildings|NOx|Work loss days", US_national_yearly!$D:$AM, 10, FALSE), 1)</f>
        <v>4.7506662881519057E-3</v>
      </c>
      <c r="P15" s="7">
        <f>$B15 * IFERROR(VLOOKUP("buildings|NOx|Work loss days", US_national_yearly!$D:$AM, 24, FALSE) / VLOOKUP("buildings|NOx|Work loss days", US_national_yearly!$D:$AM, 10, FALSE), 1)</f>
        <v>4.7815858995439555E-3</v>
      </c>
      <c r="Q15" s="7">
        <f>$B15 * IFERROR(VLOOKUP("buildings|NOx|Work loss days", US_national_yearly!$D:$AM, 25, FALSE) / VLOOKUP("buildings|NOx|Work loss days", US_national_yearly!$D:$AM, 10, FALSE), 1)</f>
        <v>4.8125055109360052E-3</v>
      </c>
      <c r="R15" s="7">
        <f>$B15 * IFERROR(VLOOKUP("buildings|NOx|Work loss days", US_national_yearly!$D:$AM, 26, FALSE) / VLOOKUP("buildings|NOx|Work loss days", US_national_yearly!$D:$AM, 10, FALSE), 1)</f>
        <v>4.8434251223280541E-3</v>
      </c>
      <c r="S15" s="7">
        <f>$B15 * IFERROR(VLOOKUP("buildings|NOx|Work loss days", US_national_yearly!$D:$AM, 27, FALSE) / VLOOKUP("buildings|NOx|Work loss days", US_national_yearly!$D:$AM, 10, FALSE), 1)</f>
        <v>4.8778796106035763E-3</v>
      </c>
      <c r="T15" s="7">
        <f>$B15 * IFERROR(VLOOKUP("buildings|NOx|Work loss days", US_national_yearly!$D:$AM, 28, FALSE) / VLOOKUP("buildings|NOx|Work loss days", US_national_yearly!$D:$AM, 10, FALSE), 1)</f>
        <v>4.9123340988790985E-3</v>
      </c>
      <c r="U15" s="7">
        <f>$B15 * IFERROR(VLOOKUP("buildings|NOx|Work loss days", US_national_yearly!$D:$AM, 29, FALSE) / VLOOKUP("buildings|NOx|Work loss days", US_national_yearly!$D:$AM, 10, FALSE), 1)</f>
        <v>4.9467885871546206E-3</v>
      </c>
      <c r="V15" s="7">
        <f>$B15 * IFERROR(VLOOKUP("buildings|NOx|Work loss days", US_national_yearly!$D:$AM, 30, FALSE) / VLOOKUP("buildings|NOx|Work loss days", US_national_yearly!$D:$AM, 10, FALSE), 1)</f>
        <v>4.9812430754301419E-3</v>
      </c>
      <c r="W15" s="7">
        <f>$B15 * IFERROR(VLOOKUP("buildings|NOx|Work loss days", US_national_yearly!$D:$AM, 31, FALSE) / VLOOKUP("buildings|NOx|Work loss days", US_national_yearly!$D:$AM, 10, FALSE), 1)</f>
        <v>5.0156975637056633E-3</v>
      </c>
      <c r="X15" s="7">
        <f>$B15 * IFERROR(VLOOKUP("buildings|NOx|Work loss days", US_national_yearly!$D:$AM, 32, FALSE) / VLOOKUP("buildings|NOx|Work loss days", US_national_yearly!$D:$AM, 10, FALSE), 1)</f>
        <v>5.045611258354084E-3</v>
      </c>
      <c r="Y15" s="7">
        <f>$B15 * IFERROR(VLOOKUP("buildings|NOx|Work loss days", US_national_yearly!$D:$AM, 33, FALSE) / VLOOKUP("buildings|NOx|Work loss days", US_national_yearly!$D:$AM, 10, FALSE), 1)</f>
        <v>5.0755249530025038E-3</v>
      </c>
      <c r="Z15" s="7">
        <f>$B15 * IFERROR(VLOOKUP("buildings|NOx|Work loss days", US_national_yearly!$D:$AM, 34, FALSE) / VLOOKUP("buildings|NOx|Work loss days", US_national_yearly!$D:$AM, 10, FALSE), 1)</f>
        <v>5.1054386476509245E-3</v>
      </c>
      <c r="AA15" s="7">
        <f>$B15 * IFERROR(VLOOKUP("buildings|NOx|Work loss days", US_national_yearly!$D:$AM, 35, FALSE) / VLOOKUP("buildings|NOx|Work loss days", US_national_yearly!$D:$AM, 10, FALSE), 1)</f>
        <v>5.1353523422993453E-3</v>
      </c>
      <c r="AB15" s="7">
        <f>$B15 * IFERROR(VLOOKUP("buildings|NOx|Work loss days", US_national_yearly!$D:$AM, 36, FALSE) / VLOOKUP("buildings|NOx|Work loss days", US_national_yearly!$D:$AM, 10, FALSE), 1)</f>
        <v>5.1652660369477651E-3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7.7560094591153655E-6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7.9840368264061994E-6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8.2120641936970367E-6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8.4400915609878706E-6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8.6681189282787061E-6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8.8847407799345675E-6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9.1013626315904272E-6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9.2836285326446125E-6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9.4658944336987945E-6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9.6481603347529781E-6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9.8304262358071601E-6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1.0012692136861342E-5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1.0126705684037257E-5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1.0240719231213166E-5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1.0354732778389079E-5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1.046874632556499E-5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1.0582759872740901E-5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1.0634855906468052E-5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1.0686951940195203E-5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1.0739047973922354E-5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1.0791144007649505E-5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1.0843240041376656E-5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1.0872277844571295E-5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1.0901315647765934E-5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1.0930353450960573E-5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1.0959391254155213E-5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1.0988429057349852E-5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2.4362349309298167E-4</v>
      </c>
      <c r="C2" s="7">
        <f>$B2 * IFERROR(VLOOKUP("buildings|SO2|Premature mortality", US_national_yearly!$D:$AM, 11, FALSE) / VLOOKUP("buildings|SO2|Premature mortality", US_national_yearly!$D:$AM, 10, FALSE), 1)</f>
        <v>2.4670981583605763E-4</v>
      </c>
      <c r="D2" s="7">
        <f>$B2 * IFERROR(VLOOKUP("buildings|SO2|Premature mortality", US_national_yearly!$D:$AM, 12, FALSE) / VLOOKUP("buildings|SO2|Premature mortality", US_national_yearly!$D:$AM, 10, FALSE), 1)</f>
        <v>2.4979613857913351E-4</v>
      </c>
      <c r="E2" s="7">
        <f>$B2 * IFERROR(VLOOKUP("buildings|SO2|Premature mortality", US_national_yearly!$D:$AM, 13, FALSE) / VLOOKUP("buildings|SO2|Premature mortality", US_national_yearly!$D:$AM, 10, FALSE), 1)</f>
        <v>2.528824613222095E-4</v>
      </c>
      <c r="F2" s="7">
        <f>$B2 * IFERROR(VLOOKUP("buildings|SO2|Premature mortality", US_national_yearly!$D:$AM, 14, FALSE) / VLOOKUP("buildings|SO2|Premature mortality", US_national_yearly!$D:$AM, 10, FALSE), 1)</f>
        <v>2.5596878406528543E-4</v>
      </c>
      <c r="G2" s="7">
        <f>$B2 * IFERROR(VLOOKUP("buildings|SO2|Premature mortality", US_national_yearly!$D:$AM, 15, FALSE) / VLOOKUP("buildings|SO2|Premature mortality", US_national_yearly!$D:$AM, 10, FALSE), 1)</f>
        <v>2.6191550175423597E-4</v>
      </c>
      <c r="H2" s="7">
        <f>$B2 * IFERROR(VLOOKUP("buildings|SO2|Premature mortality", US_national_yearly!$D:$AM, 16, FALSE) / VLOOKUP("buildings|SO2|Premature mortality", US_national_yearly!$D:$AM, 10, FALSE), 1)</f>
        <v>2.678622194431865E-4</v>
      </c>
      <c r="I2" s="7">
        <f>$B2 * IFERROR(VLOOKUP("buildings|SO2|Premature mortality", US_national_yearly!$D:$AM, 17, FALSE) / VLOOKUP("buildings|SO2|Premature mortality", US_national_yearly!$D:$AM, 10, FALSE), 1)</f>
        <v>2.7179415502216753E-4</v>
      </c>
      <c r="J2" s="7">
        <f>$B2 * IFERROR(VLOOKUP("buildings|SO2|Premature mortality", US_national_yearly!$D:$AM, 18, FALSE) / VLOOKUP("buildings|SO2|Premature mortality", US_national_yearly!$D:$AM, 10, FALSE), 1)</f>
        <v>2.7572609060114845E-4</v>
      </c>
      <c r="K2" s="7">
        <f>$B2 * IFERROR(VLOOKUP("buildings|SO2|Premature mortality", US_national_yearly!$D:$AM, 19, FALSE) / VLOOKUP("buildings|SO2|Premature mortality", US_national_yearly!$D:$AM, 10, FALSE), 1)</f>
        <v>2.7965802618012947E-4</v>
      </c>
      <c r="L2" s="7">
        <f>$B2 * IFERROR(VLOOKUP("buildings|SO2|Premature mortality", US_national_yearly!$D:$AM, 20, FALSE) / VLOOKUP("buildings|SO2|Premature mortality", US_national_yearly!$D:$AM, 10, FALSE), 1)</f>
        <v>2.8358996175911039E-4</v>
      </c>
      <c r="M2" s="7">
        <f>$B2 * IFERROR(VLOOKUP("buildings|SO2|Premature mortality", US_national_yearly!$D:$AM, 21, FALSE) / VLOOKUP("buildings|SO2|Premature mortality", US_national_yearly!$D:$AM, 10, FALSE), 1)</f>
        <v>2.8752189733809142E-4</v>
      </c>
      <c r="N2" s="7">
        <f>$B2 * IFERROR(VLOOKUP("buildings|SO2|Premature mortality", US_national_yearly!$D:$AM, 22, FALSE) / VLOOKUP("buildings|SO2|Premature mortality", US_national_yearly!$D:$AM, 10, FALSE), 1)</f>
        <v>2.9059338730031065E-4</v>
      </c>
      <c r="O2" s="7">
        <f>$B2 * IFERROR(VLOOKUP("buildings|SO2|Premature mortality", US_national_yearly!$D:$AM, 23, FALSE) / VLOOKUP("buildings|SO2|Premature mortality", US_national_yearly!$D:$AM, 10, FALSE), 1)</f>
        <v>2.9366487726252978E-4</v>
      </c>
      <c r="P2" s="7">
        <f>$B2 * IFERROR(VLOOKUP("buildings|SO2|Premature mortality", US_national_yearly!$D:$AM, 24, FALSE) / VLOOKUP("buildings|SO2|Premature mortality", US_national_yearly!$D:$AM, 10, FALSE), 1)</f>
        <v>2.9673636722474901E-4</v>
      </c>
      <c r="Q2" s="7">
        <f>$B2 * IFERROR(VLOOKUP("buildings|SO2|Premature mortality", US_national_yearly!$D:$AM, 25, FALSE) / VLOOKUP("buildings|SO2|Premature mortality", US_national_yearly!$D:$AM, 10, FALSE), 1)</f>
        <v>2.9980785718696813E-4</v>
      </c>
      <c r="R2" s="7">
        <f>$B2 * IFERROR(VLOOKUP("buildings|SO2|Premature mortality", US_national_yearly!$D:$AM, 26, FALSE) / VLOOKUP("buildings|SO2|Premature mortality", US_national_yearly!$D:$AM, 10, FALSE), 1)</f>
        <v>3.0287934714918736E-4</v>
      </c>
      <c r="S2" s="7">
        <f>$B2 * IFERROR(VLOOKUP("buildings|SO2|Premature mortality", US_national_yearly!$D:$AM, 27, FALSE) / VLOOKUP("buildings|SO2|Premature mortality", US_national_yearly!$D:$AM, 10, FALSE), 1)</f>
        <v>3.0452324363722976E-4</v>
      </c>
      <c r="T2" s="7">
        <f>$B2 * IFERROR(VLOOKUP("buildings|SO2|Premature mortality", US_national_yearly!$D:$AM, 28, FALSE) / VLOOKUP("buildings|SO2|Premature mortality", US_national_yearly!$D:$AM, 10, FALSE), 1)</f>
        <v>3.0616714012527226E-4</v>
      </c>
      <c r="U2" s="7">
        <f>$B2 * IFERROR(VLOOKUP("buildings|SO2|Premature mortality", US_national_yearly!$D:$AM, 29, FALSE) / VLOOKUP("buildings|SO2|Premature mortality", US_national_yearly!$D:$AM, 10, FALSE), 1)</f>
        <v>3.0781103661331471E-4</v>
      </c>
      <c r="V2" s="7">
        <f>$B2 * IFERROR(VLOOKUP("buildings|SO2|Premature mortality", US_national_yearly!$D:$AM, 30, FALSE) / VLOOKUP("buildings|SO2|Premature mortality", US_national_yearly!$D:$AM, 10, FALSE), 1)</f>
        <v>3.0945493310135716E-4</v>
      </c>
      <c r="W2" s="7">
        <f>$B2 * IFERROR(VLOOKUP("buildings|SO2|Premature mortality", US_national_yearly!$D:$AM, 31, FALSE) / VLOOKUP("buildings|SO2|Premature mortality", US_national_yearly!$D:$AM, 10, FALSE), 1)</f>
        <v>3.1109882958939961E-4</v>
      </c>
      <c r="X2" s="7">
        <f>$B2 * IFERROR(VLOOKUP("buildings|SO2|Premature mortality", US_national_yearly!$D:$AM, 32, FALSE) / VLOOKUP("buildings|SO2|Premature mortality", US_national_yearly!$D:$AM, 10, FALSE), 1)</f>
        <v>3.1143100346102534E-4</v>
      </c>
      <c r="Y2" s="7">
        <f>$B2 * IFERROR(VLOOKUP("buildings|SO2|Premature mortality", US_national_yearly!$D:$AM, 33, FALSE) / VLOOKUP("buildings|SO2|Premature mortality", US_national_yearly!$D:$AM, 10, FALSE), 1)</f>
        <v>3.1176317733265106E-4</v>
      </c>
      <c r="Z2" s="7">
        <f>$B2 * IFERROR(VLOOKUP("buildings|SO2|Premature mortality", US_national_yearly!$D:$AM, 34, FALSE) / VLOOKUP("buildings|SO2|Premature mortality", US_national_yearly!$D:$AM, 10, FALSE), 1)</f>
        <v>3.1209535120427679E-4</v>
      </c>
      <c r="AA2" s="7">
        <f>$B2 * IFERROR(VLOOKUP("buildings|SO2|Premature mortality", US_national_yearly!$D:$AM, 35, FALSE) / VLOOKUP("buildings|SO2|Premature mortality", US_national_yearly!$D:$AM, 10, FALSE), 1)</f>
        <v>3.1242752507590251E-4</v>
      </c>
      <c r="AB2" s="7">
        <f>$B2 * IFERROR(VLOOKUP("buildings|SO2|Premature mortality", US_national_yearly!$D:$AM, 36, FALSE) / VLOOKUP("buildings|SO2|Premature mortality", US_national_yearly!$D:$AM, 10, FALSE), 1)</f>
        <v>3.1275969894752824E-4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6.5307251901037932E-7</v>
      </c>
      <c r="C3" s="7">
        <f>$B3 * IFERROR(VLOOKUP("buildings|SO2|Infant mortality", US_national_yearly!$D:$AM, 11, FALSE) / VLOOKUP("buildings|SO2|Infant mortality", US_national_yearly!$D:$AM, 10, FALSE), 1)</f>
        <v>6.4747476851644319E-7</v>
      </c>
      <c r="D3" s="7">
        <f>$B3 * IFERROR(VLOOKUP("buildings|SO2|Infant mortality", US_national_yearly!$D:$AM, 12, FALSE) / VLOOKUP("buildings|SO2|Infant mortality", US_national_yearly!$D:$AM, 10, FALSE), 1)</f>
        <v>6.4187701802250705E-7</v>
      </c>
      <c r="E3" s="7">
        <f>$B3 * IFERROR(VLOOKUP("buildings|SO2|Infant mortality", US_national_yearly!$D:$AM, 13, FALSE) / VLOOKUP("buildings|SO2|Infant mortality", US_national_yearly!$D:$AM, 10, FALSE), 1)</f>
        <v>6.3627926752857102E-7</v>
      </c>
      <c r="F3" s="7">
        <f>$B3 * IFERROR(VLOOKUP("buildings|SO2|Infant mortality", US_national_yearly!$D:$AM, 14, FALSE) / VLOOKUP("buildings|SO2|Infant mortality", US_national_yearly!$D:$AM, 10, FALSE), 1)</f>
        <v>6.30681517034635E-7</v>
      </c>
      <c r="G3" s="7">
        <f>$B3 * IFERROR(VLOOKUP("buildings|SO2|Infant mortality", US_national_yearly!$D:$AM, 15, FALSE) / VLOOKUP("buildings|SO2|Infant mortality", US_national_yearly!$D:$AM, 10, FALSE), 1)</f>
        <v>4.2000890479724812E-7</v>
      </c>
      <c r="H3" s="7">
        <f>$B3 * IFERROR(VLOOKUP("buildings|SO2|Infant mortality", US_national_yearly!$D:$AM, 16, FALSE) / VLOOKUP("buildings|SO2|Infant mortality", US_national_yearly!$D:$AM, 10, FALSE), 1)</f>
        <v>2.0933629255986137E-7</v>
      </c>
      <c r="I3" s="7">
        <f>$B3 * IFERROR(VLOOKUP("buildings|SO2|Infant mortality", US_national_yearly!$D:$AM, 17, FALSE) / VLOOKUP("buildings|SO2|Infant mortality", US_national_yearly!$D:$AM, 10, FALSE), 1)</f>
        <v>2.080228935433414E-7</v>
      </c>
      <c r="J3" s="7">
        <f>$B3 * IFERROR(VLOOKUP("buildings|SO2|Infant mortality", US_national_yearly!$D:$AM, 18, FALSE) / VLOOKUP("buildings|SO2|Infant mortality", US_national_yearly!$D:$AM, 10, FALSE), 1)</f>
        <v>2.067094945268214E-7</v>
      </c>
      <c r="K3" s="7">
        <f>$B3 * IFERROR(VLOOKUP("buildings|SO2|Infant mortality", US_national_yearly!$D:$AM, 19, FALSE) / VLOOKUP("buildings|SO2|Infant mortality", US_national_yearly!$D:$AM, 10, FALSE), 1)</f>
        <v>2.0539609551030143E-7</v>
      </c>
      <c r="L3" s="7">
        <f>$B3 * IFERROR(VLOOKUP("buildings|SO2|Infant mortality", US_national_yearly!$D:$AM, 20, FALSE) / VLOOKUP("buildings|SO2|Infant mortality", US_national_yearly!$D:$AM, 10, FALSE), 1)</f>
        <v>2.0408269649378143E-7</v>
      </c>
      <c r="M3" s="7">
        <f>$B3 * IFERROR(VLOOKUP("buildings|SO2|Infant mortality", US_national_yearly!$D:$AM, 21, FALSE) / VLOOKUP("buildings|SO2|Infant mortality", US_national_yearly!$D:$AM, 10, FALSE), 1)</f>
        <v>2.0276929747726148E-7</v>
      </c>
      <c r="N3" s="7">
        <f>$B3 * IFERROR(VLOOKUP("buildings|SO2|Infant mortality", US_national_yearly!$D:$AM, 22, FALSE) / VLOOKUP("buildings|SO2|Infant mortality", US_national_yearly!$D:$AM, 10, FALSE), 1)</f>
        <v>2.0194593581893901E-7</v>
      </c>
      <c r="O3" s="7">
        <f>$B3 * IFERROR(VLOOKUP("buildings|SO2|Infant mortality", US_national_yearly!$D:$AM, 23, FALSE) / VLOOKUP("buildings|SO2|Infant mortality", US_national_yearly!$D:$AM, 10, FALSE), 1)</f>
        <v>2.0112257416061657E-7</v>
      </c>
      <c r="P3" s="7">
        <f>$B3 * IFERROR(VLOOKUP("buildings|SO2|Infant mortality", US_national_yearly!$D:$AM, 24, FALSE) / VLOOKUP("buildings|SO2|Infant mortality", US_national_yearly!$D:$AM, 10, FALSE), 1)</f>
        <v>2.002992125022941E-7</v>
      </c>
      <c r="Q3" s="7">
        <f>$B3 * IFERROR(VLOOKUP("buildings|SO2|Infant mortality", US_national_yearly!$D:$AM, 25, FALSE) / VLOOKUP("buildings|SO2|Infant mortality", US_national_yearly!$D:$AM, 10, FALSE), 1)</f>
        <v>1.9947585084397163E-7</v>
      </c>
      <c r="R3" s="7">
        <f>$B3 * IFERROR(VLOOKUP("buildings|SO2|Infant mortality", US_national_yearly!$D:$AM, 26, FALSE) / VLOOKUP("buildings|SO2|Infant mortality", US_national_yearly!$D:$AM, 10, FALSE), 1)</f>
        <v>1.9865248918564919E-7</v>
      </c>
      <c r="S3" s="7">
        <f>$B3 * IFERROR(VLOOKUP("buildings|SO2|Infant mortality", US_national_yearly!$D:$AM, 27, FALSE) / VLOOKUP("buildings|SO2|Infant mortality", US_national_yearly!$D:$AM, 10, FALSE), 1)</f>
        <v>1.9761860797396427E-7</v>
      </c>
      <c r="T3" s="7">
        <f>$B3 * IFERROR(VLOOKUP("buildings|SO2|Infant mortality", US_national_yearly!$D:$AM, 28, FALSE) / VLOOKUP("buildings|SO2|Infant mortality", US_national_yearly!$D:$AM, 10, FALSE), 1)</f>
        <v>1.9658472676227936E-7</v>
      </c>
      <c r="U3" s="7">
        <f>$B3 * IFERROR(VLOOKUP("buildings|SO2|Infant mortality", US_national_yearly!$D:$AM, 29, FALSE) / VLOOKUP("buildings|SO2|Infant mortality", US_national_yearly!$D:$AM, 10, FALSE), 1)</f>
        <v>1.9555084555059441E-7</v>
      </c>
      <c r="V3" s="7">
        <f>$B3 * IFERROR(VLOOKUP("buildings|SO2|Infant mortality", US_national_yearly!$D:$AM, 30, FALSE) / VLOOKUP("buildings|SO2|Infant mortality", US_national_yearly!$D:$AM, 10, FALSE), 1)</f>
        <v>1.945169643389095E-7</v>
      </c>
      <c r="W3" s="7">
        <f>$B3 * IFERROR(VLOOKUP("buildings|SO2|Infant mortality", US_national_yearly!$D:$AM, 31, FALSE) / VLOOKUP("buildings|SO2|Infant mortality", US_national_yearly!$D:$AM, 10, FALSE), 1)</f>
        <v>1.9348308312722458E-7</v>
      </c>
      <c r="X3" s="7">
        <f>$B3 * IFERROR(VLOOKUP("buildings|SO2|Infant mortality", US_national_yearly!$D:$AM, 32, FALSE) / VLOOKUP("buildings|SO2|Infant mortality", US_national_yearly!$D:$AM, 10, FALSE), 1)</f>
        <v>1.9235392102395466E-7</v>
      </c>
      <c r="Y3" s="7">
        <f>$B3 * IFERROR(VLOOKUP("buildings|SO2|Infant mortality", US_national_yearly!$D:$AM, 33, FALSE) / VLOOKUP("buildings|SO2|Infant mortality", US_national_yearly!$D:$AM, 10, FALSE), 1)</f>
        <v>1.9122475892068473E-7</v>
      </c>
      <c r="Z3" s="7">
        <f>$B3 * IFERROR(VLOOKUP("buildings|SO2|Infant mortality", US_national_yearly!$D:$AM, 34, FALSE) / VLOOKUP("buildings|SO2|Infant mortality", US_national_yearly!$D:$AM, 10, FALSE), 1)</f>
        <v>1.9009559681741485E-7</v>
      </c>
      <c r="AA3" s="7">
        <f>$B3 * IFERROR(VLOOKUP("buildings|SO2|Infant mortality", US_national_yearly!$D:$AM, 35, FALSE) / VLOOKUP("buildings|SO2|Infant mortality", US_national_yearly!$D:$AM, 10, FALSE), 1)</f>
        <v>1.889664347141449E-7</v>
      </c>
      <c r="AB3" s="7">
        <f>$B3 * IFERROR(VLOOKUP("buildings|SO2|Infant mortality", US_national_yearly!$D:$AM, 36, FALSE) / VLOOKUP("buildings|SO2|Infant mortality", US_national_yearly!$D:$AM, 10, FALSE), 1)</f>
        <v>1.87837272610875E-7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7.3149325208653074E-4</v>
      </c>
      <c r="C6" s="7">
        <f>$B6 * IFERROR(VLOOKUP("buildings|SO2|Asthma symptoms cough", US_national_yearly!$D:$AM, 11, FALSE) / VLOOKUP("buildings|SO2|Asthma symptoms cough", US_national_yearly!$D:$AM, 10, FALSE), 1)</f>
        <v>7.3149325208653074E-4</v>
      </c>
      <c r="D6" s="7">
        <f>$B6 * IFERROR(VLOOKUP("buildings|SO2|Asthma symptoms cough", US_national_yearly!$D:$AM, 12, FALSE) / VLOOKUP("buildings|SO2|Asthma symptoms cough", US_national_yearly!$D:$AM, 10, FALSE), 1)</f>
        <v>7.3149325208653074E-4</v>
      </c>
      <c r="E6" s="7">
        <f>$B6 * IFERROR(VLOOKUP("buildings|SO2|Asthma symptoms cough", US_national_yearly!$D:$AM, 13, FALSE) / VLOOKUP("buildings|SO2|Asthma symptoms cough", US_national_yearly!$D:$AM, 10, FALSE), 1)</f>
        <v>7.3149325208653074E-4</v>
      </c>
      <c r="F6" s="7">
        <f>$B6 * IFERROR(VLOOKUP("buildings|SO2|Asthma symptoms cough", US_national_yearly!$D:$AM, 14, FALSE) / VLOOKUP("buildings|SO2|Asthma symptoms cough", US_national_yearly!$D:$AM, 10, FALSE), 1)</f>
        <v>7.3149325208653074E-4</v>
      </c>
      <c r="G6" s="7">
        <f>$B6 * IFERROR(VLOOKUP("buildings|SO2|Asthma symptoms cough", US_national_yearly!$D:$AM, 15, FALSE) / VLOOKUP("buildings|SO2|Asthma symptoms cough", US_national_yearly!$D:$AM, 10, FALSE), 1)</f>
        <v>7.3149325208653074E-4</v>
      </c>
      <c r="H6" s="7">
        <f>$B6 * IFERROR(VLOOKUP("buildings|SO2|Asthma symptoms cough", US_national_yearly!$D:$AM, 16, FALSE) / VLOOKUP("buildings|SO2|Asthma symptoms cough", US_national_yearly!$D:$AM, 10, FALSE), 1)</f>
        <v>7.3149325208653074E-4</v>
      </c>
      <c r="I6" s="7">
        <f>$B6 * IFERROR(VLOOKUP("buildings|SO2|Asthma symptoms cough", US_national_yearly!$D:$AM, 17, FALSE) / VLOOKUP("buildings|SO2|Asthma symptoms cough", US_national_yearly!$D:$AM, 10, FALSE), 1)</f>
        <v>7.3149325208653074E-4</v>
      </c>
      <c r="J6" s="7">
        <f>$B6 * IFERROR(VLOOKUP("buildings|SO2|Asthma symptoms cough", US_national_yearly!$D:$AM, 18, FALSE) / VLOOKUP("buildings|SO2|Asthma symptoms cough", US_national_yearly!$D:$AM, 10, FALSE), 1)</f>
        <v>7.3149325208653074E-4</v>
      </c>
      <c r="K6" s="7">
        <f>$B6 * IFERROR(VLOOKUP("buildings|SO2|Asthma symptoms cough", US_national_yearly!$D:$AM, 19, FALSE) / VLOOKUP("buildings|SO2|Asthma symptoms cough", US_national_yearly!$D:$AM, 10, FALSE), 1)</f>
        <v>7.3149325208653074E-4</v>
      </c>
      <c r="L6" s="7">
        <f>$B6 * IFERROR(VLOOKUP("buildings|SO2|Asthma symptoms cough", US_national_yearly!$D:$AM, 20, FALSE) / VLOOKUP("buildings|SO2|Asthma symptoms cough", US_national_yearly!$D:$AM, 10, FALSE), 1)</f>
        <v>7.3149325208653074E-4</v>
      </c>
      <c r="M6" s="7">
        <f>$B6 * IFERROR(VLOOKUP("buildings|SO2|Asthma symptoms cough", US_national_yearly!$D:$AM, 21, FALSE) / VLOOKUP("buildings|SO2|Asthma symptoms cough", US_national_yearly!$D:$AM, 10, FALSE), 1)</f>
        <v>7.3149325208653074E-4</v>
      </c>
      <c r="N6" s="7">
        <f>$B6 * IFERROR(VLOOKUP("buildings|SO2|Asthma symptoms cough", US_national_yearly!$D:$AM, 22, FALSE) / VLOOKUP("buildings|SO2|Asthma symptoms cough", US_national_yearly!$D:$AM, 10, FALSE), 1)</f>
        <v>7.3149325208653074E-4</v>
      </c>
      <c r="O6" s="7">
        <f>$B6 * IFERROR(VLOOKUP("buildings|SO2|Asthma symptoms cough", US_national_yearly!$D:$AM, 23, FALSE) / VLOOKUP("buildings|SO2|Asthma symptoms cough", US_national_yearly!$D:$AM, 10, FALSE), 1)</f>
        <v>7.3149325208653074E-4</v>
      </c>
      <c r="P6" s="7">
        <f>$B6 * IFERROR(VLOOKUP("buildings|SO2|Asthma symptoms cough", US_national_yearly!$D:$AM, 24, FALSE) / VLOOKUP("buildings|SO2|Asthma symptoms cough", US_national_yearly!$D:$AM, 10, FALSE), 1)</f>
        <v>7.3149325208653074E-4</v>
      </c>
      <c r="Q6" s="7">
        <f>$B6 * IFERROR(VLOOKUP("buildings|SO2|Asthma symptoms cough", US_national_yearly!$D:$AM, 25, FALSE) / VLOOKUP("buildings|SO2|Asthma symptoms cough", US_national_yearly!$D:$AM, 10, FALSE), 1)</f>
        <v>7.3149325208653074E-4</v>
      </c>
      <c r="R6" s="7">
        <f>$B6 * IFERROR(VLOOKUP("buildings|SO2|Asthma symptoms cough", US_national_yearly!$D:$AM, 26, FALSE) / VLOOKUP("buildings|SO2|Asthma symptoms cough", US_national_yearly!$D:$AM, 10, FALSE), 1)</f>
        <v>7.3149325208653074E-4</v>
      </c>
      <c r="S6" s="7">
        <f>$B6 * IFERROR(VLOOKUP("buildings|SO2|Asthma symptoms cough", US_national_yearly!$D:$AM, 27, FALSE) / VLOOKUP("buildings|SO2|Asthma symptoms cough", US_national_yearly!$D:$AM, 10, FALSE), 1)</f>
        <v>7.3149325208653074E-4</v>
      </c>
      <c r="T6" s="7">
        <f>$B6 * IFERROR(VLOOKUP("buildings|SO2|Asthma symptoms cough", US_national_yearly!$D:$AM, 28, FALSE) / VLOOKUP("buildings|SO2|Asthma symptoms cough", US_national_yearly!$D:$AM, 10, FALSE), 1)</f>
        <v>7.3149325208653074E-4</v>
      </c>
      <c r="U6" s="7">
        <f>$B6 * IFERROR(VLOOKUP("buildings|SO2|Asthma symptoms cough", US_national_yearly!$D:$AM, 29, FALSE) / VLOOKUP("buildings|SO2|Asthma symptoms cough", US_national_yearly!$D:$AM, 10, FALSE), 1)</f>
        <v>7.3149325208653074E-4</v>
      </c>
      <c r="V6" s="7">
        <f>$B6 * IFERROR(VLOOKUP("buildings|SO2|Asthma symptoms cough", US_national_yearly!$D:$AM, 30, FALSE) / VLOOKUP("buildings|SO2|Asthma symptoms cough", US_national_yearly!$D:$AM, 10, FALSE), 1)</f>
        <v>7.3149325208653074E-4</v>
      </c>
      <c r="W6" s="7">
        <f>$B6 * IFERROR(VLOOKUP("buildings|SO2|Asthma symptoms cough", US_national_yearly!$D:$AM, 31, FALSE) / VLOOKUP("buildings|SO2|Asthma symptoms cough", US_national_yearly!$D:$AM, 10, FALSE), 1)</f>
        <v>7.3149325208653074E-4</v>
      </c>
      <c r="X6" s="7">
        <f>$B6 * IFERROR(VLOOKUP("buildings|SO2|Asthma symptoms cough", US_national_yearly!$D:$AM, 32, FALSE) / VLOOKUP("buildings|SO2|Asthma symptoms cough", US_national_yearly!$D:$AM, 10, FALSE), 1)</f>
        <v>7.3149325208653074E-4</v>
      </c>
      <c r="Y6" s="7">
        <f>$B6 * IFERROR(VLOOKUP("buildings|SO2|Asthma symptoms cough", US_national_yearly!$D:$AM, 33, FALSE) / VLOOKUP("buildings|SO2|Asthma symptoms cough", US_national_yearly!$D:$AM, 10, FALSE), 1)</f>
        <v>7.3149325208653074E-4</v>
      </c>
      <c r="Z6" s="7">
        <f>$B6 * IFERROR(VLOOKUP("buildings|SO2|Asthma symptoms cough", US_national_yearly!$D:$AM, 34, FALSE) / VLOOKUP("buildings|SO2|Asthma symptoms cough", US_national_yearly!$D:$AM, 10, FALSE), 1)</f>
        <v>7.3149325208653074E-4</v>
      </c>
      <c r="AA6" s="7">
        <f>$B6 * IFERROR(VLOOKUP("buildings|SO2|Asthma symptoms cough", US_national_yearly!$D:$AM, 35, FALSE) / VLOOKUP("buildings|SO2|Asthma symptoms cough", US_national_yearly!$D:$AM, 10, FALSE), 1)</f>
        <v>7.3149325208653074E-4</v>
      </c>
      <c r="AB6" s="7">
        <f>$B6 * IFERROR(VLOOKUP("buildings|SO2|Asthma symptoms cough", US_national_yearly!$D:$AM, 36, FALSE) / VLOOKUP("buildings|SO2|Asthma symptoms cough", US_national_yearly!$D:$AM, 10, FALSE), 1)</f>
        <v>7.3149325208653074E-4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9.8506296530119475E-4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9.8506296530119475E-4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9.8506296530119475E-4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9.8506296530119475E-4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9.8506296530119475E-4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9.8506296530119475E-4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9.8506296530119475E-4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9.8506296530119475E-4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9.8506296530119475E-4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9.8506296530119475E-4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9.8506296530119475E-4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9.8506296530119475E-4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9.8506296530119475E-4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9.8506296530119475E-4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9.8506296530119475E-4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9.8506296530119475E-4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9.8506296530119475E-4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9.8506296530119475E-4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9.8506296530119475E-4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9.8506296530119475E-4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9.8506296530119475E-4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9.8506296530119475E-4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9.8506296530119475E-4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9.8506296530119475E-4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9.8506296530119475E-4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9.8506296530119475E-4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9.8506296530119475E-4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1.5050050236263509E-3</v>
      </c>
      <c r="C8" s="7">
        <f>$B8 * IFERROR(VLOOKUP("buildings|SO2|Asthma symptoms wheeze", US_national_yearly!$D:$AM, 11, FALSE) / VLOOKUP("buildings|SO2|Asthma symptoms wheeze", US_national_yearly!$D:$AM, 10, FALSE), 1)</f>
        <v>1.5050050236263509E-3</v>
      </c>
      <c r="D8" s="7">
        <f>$B8 * IFERROR(VLOOKUP("buildings|SO2|Asthma symptoms wheeze", US_national_yearly!$D:$AM, 12, FALSE) / VLOOKUP("buildings|SO2|Asthma symptoms wheeze", US_national_yearly!$D:$AM, 10, FALSE), 1)</f>
        <v>1.5050050236263509E-3</v>
      </c>
      <c r="E8" s="7">
        <f>$B8 * IFERROR(VLOOKUP("buildings|SO2|Asthma symptoms wheeze", US_national_yearly!$D:$AM, 13, FALSE) / VLOOKUP("buildings|SO2|Asthma symptoms wheeze", US_national_yearly!$D:$AM, 10, FALSE), 1)</f>
        <v>1.5050050236263509E-3</v>
      </c>
      <c r="F8" s="7">
        <f>$B8 * IFERROR(VLOOKUP("buildings|SO2|Asthma symptoms wheeze", US_national_yearly!$D:$AM, 14, FALSE) / VLOOKUP("buildings|SO2|Asthma symptoms wheeze", US_national_yearly!$D:$AM, 10, FALSE), 1)</f>
        <v>1.5050050236263509E-3</v>
      </c>
      <c r="G8" s="7">
        <f>$B8 * IFERROR(VLOOKUP("buildings|SO2|Asthma symptoms wheeze", US_national_yearly!$D:$AM, 15, FALSE) / VLOOKUP("buildings|SO2|Asthma symptoms wheeze", US_national_yearly!$D:$AM, 10, FALSE), 1)</f>
        <v>1.5050050236263509E-3</v>
      </c>
      <c r="H8" s="7">
        <f>$B8 * IFERROR(VLOOKUP("buildings|SO2|Asthma symptoms wheeze", US_national_yearly!$D:$AM, 16, FALSE) / VLOOKUP("buildings|SO2|Asthma symptoms wheeze", US_national_yearly!$D:$AM, 10, FALSE), 1)</f>
        <v>1.5050050236263509E-3</v>
      </c>
      <c r="I8" s="7">
        <f>$B8 * IFERROR(VLOOKUP("buildings|SO2|Asthma symptoms wheeze", US_national_yearly!$D:$AM, 17, FALSE) / VLOOKUP("buildings|SO2|Asthma symptoms wheeze", US_national_yearly!$D:$AM, 10, FALSE), 1)</f>
        <v>1.5050050236263509E-3</v>
      </c>
      <c r="J8" s="7">
        <f>$B8 * IFERROR(VLOOKUP("buildings|SO2|Asthma symptoms wheeze", US_national_yearly!$D:$AM, 18, FALSE) / VLOOKUP("buildings|SO2|Asthma symptoms wheeze", US_national_yearly!$D:$AM, 10, FALSE), 1)</f>
        <v>1.5050050236263509E-3</v>
      </c>
      <c r="K8" s="7">
        <f>$B8 * IFERROR(VLOOKUP("buildings|SO2|Asthma symptoms wheeze", US_national_yearly!$D:$AM, 19, FALSE) / VLOOKUP("buildings|SO2|Asthma symptoms wheeze", US_national_yearly!$D:$AM, 10, FALSE), 1)</f>
        <v>1.5050050236263509E-3</v>
      </c>
      <c r="L8" s="7">
        <f>$B8 * IFERROR(VLOOKUP("buildings|SO2|Asthma symptoms wheeze", US_national_yearly!$D:$AM, 20, FALSE) / VLOOKUP("buildings|SO2|Asthma symptoms wheeze", US_national_yearly!$D:$AM, 10, FALSE), 1)</f>
        <v>1.5050050236263509E-3</v>
      </c>
      <c r="M8" s="7">
        <f>$B8 * IFERROR(VLOOKUP("buildings|SO2|Asthma symptoms wheeze", US_national_yearly!$D:$AM, 21, FALSE) / VLOOKUP("buildings|SO2|Asthma symptoms wheeze", US_national_yearly!$D:$AM, 10, FALSE), 1)</f>
        <v>1.5050050236263509E-3</v>
      </c>
      <c r="N8" s="7">
        <f>$B8 * IFERROR(VLOOKUP("buildings|SO2|Asthma symptoms wheeze", US_national_yearly!$D:$AM, 22, FALSE) / VLOOKUP("buildings|SO2|Asthma symptoms wheeze", US_national_yearly!$D:$AM, 10, FALSE), 1)</f>
        <v>1.5050050236263509E-3</v>
      </c>
      <c r="O8" s="7">
        <f>$B8 * IFERROR(VLOOKUP("buildings|SO2|Asthma symptoms wheeze", US_national_yearly!$D:$AM, 23, FALSE) / VLOOKUP("buildings|SO2|Asthma symptoms wheeze", US_national_yearly!$D:$AM, 10, FALSE), 1)</f>
        <v>1.5050050236263509E-3</v>
      </c>
      <c r="P8" s="7">
        <f>$B8 * IFERROR(VLOOKUP("buildings|SO2|Asthma symptoms wheeze", US_national_yearly!$D:$AM, 24, FALSE) / VLOOKUP("buildings|SO2|Asthma symptoms wheeze", US_national_yearly!$D:$AM, 10, FALSE), 1)</f>
        <v>1.5050050236263509E-3</v>
      </c>
      <c r="Q8" s="7">
        <f>$B8 * IFERROR(VLOOKUP("buildings|SO2|Asthma symptoms wheeze", US_national_yearly!$D:$AM, 25, FALSE) / VLOOKUP("buildings|SO2|Asthma symptoms wheeze", US_national_yearly!$D:$AM, 10, FALSE), 1)</f>
        <v>1.5050050236263509E-3</v>
      </c>
      <c r="R8" s="7">
        <f>$B8 * IFERROR(VLOOKUP("buildings|SO2|Asthma symptoms wheeze", US_national_yearly!$D:$AM, 26, FALSE) / VLOOKUP("buildings|SO2|Asthma symptoms wheeze", US_national_yearly!$D:$AM, 10, FALSE), 1)</f>
        <v>1.5050050236263509E-3</v>
      </c>
      <c r="S8" s="7">
        <f>$B8 * IFERROR(VLOOKUP("buildings|SO2|Asthma symptoms wheeze", US_national_yearly!$D:$AM, 27, FALSE) / VLOOKUP("buildings|SO2|Asthma symptoms wheeze", US_national_yearly!$D:$AM, 10, FALSE), 1)</f>
        <v>1.5050050236263509E-3</v>
      </c>
      <c r="T8" s="7">
        <f>$B8 * IFERROR(VLOOKUP("buildings|SO2|Asthma symptoms wheeze", US_national_yearly!$D:$AM, 28, FALSE) / VLOOKUP("buildings|SO2|Asthma symptoms wheeze", US_national_yearly!$D:$AM, 10, FALSE), 1)</f>
        <v>1.5050050236263509E-3</v>
      </c>
      <c r="U8" s="7">
        <f>$B8 * IFERROR(VLOOKUP("buildings|SO2|Asthma symptoms wheeze", US_national_yearly!$D:$AM, 29, FALSE) / VLOOKUP("buildings|SO2|Asthma symptoms wheeze", US_national_yearly!$D:$AM, 10, FALSE), 1)</f>
        <v>1.5050050236263509E-3</v>
      </c>
      <c r="V8" s="7">
        <f>$B8 * IFERROR(VLOOKUP("buildings|SO2|Asthma symptoms wheeze", US_national_yearly!$D:$AM, 30, FALSE) / VLOOKUP("buildings|SO2|Asthma symptoms wheeze", US_national_yearly!$D:$AM, 10, FALSE), 1)</f>
        <v>1.5050050236263509E-3</v>
      </c>
      <c r="W8" s="7">
        <f>$B8 * IFERROR(VLOOKUP("buildings|SO2|Asthma symptoms wheeze", US_national_yearly!$D:$AM, 31, FALSE) / VLOOKUP("buildings|SO2|Asthma symptoms wheeze", US_national_yearly!$D:$AM, 10, FALSE), 1)</f>
        <v>1.5050050236263509E-3</v>
      </c>
      <c r="X8" s="7">
        <f>$B8 * IFERROR(VLOOKUP("buildings|SO2|Asthma symptoms wheeze", US_national_yearly!$D:$AM, 32, FALSE) / VLOOKUP("buildings|SO2|Asthma symptoms wheeze", US_national_yearly!$D:$AM, 10, FALSE), 1)</f>
        <v>1.5050050236263509E-3</v>
      </c>
      <c r="Y8" s="7">
        <f>$B8 * IFERROR(VLOOKUP("buildings|SO2|Asthma symptoms wheeze", US_national_yearly!$D:$AM, 33, FALSE) / VLOOKUP("buildings|SO2|Asthma symptoms wheeze", US_national_yearly!$D:$AM, 10, FALSE), 1)</f>
        <v>1.5050050236263509E-3</v>
      </c>
      <c r="Z8" s="7">
        <f>$B8 * IFERROR(VLOOKUP("buildings|SO2|Asthma symptoms wheeze", US_national_yearly!$D:$AM, 34, FALSE) / VLOOKUP("buildings|SO2|Asthma symptoms wheeze", US_national_yearly!$D:$AM, 10, FALSE), 1)</f>
        <v>1.5050050236263509E-3</v>
      </c>
      <c r="AA8" s="7">
        <f>$B8 * IFERROR(VLOOKUP("buildings|SO2|Asthma symptoms wheeze", US_national_yearly!$D:$AM, 35, FALSE) / VLOOKUP("buildings|SO2|Asthma symptoms wheeze", US_national_yearly!$D:$AM, 10, FALSE), 1)</f>
        <v>1.5050050236263509E-3</v>
      </c>
      <c r="AB8" s="7">
        <f>$B8 * IFERROR(VLOOKUP("buildings|SO2|Asthma symptoms wheeze", US_national_yearly!$D:$AM, 36, FALSE) / VLOOKUP("buildings|SO2|Asthma symptoms wheeze", US_national_yearly!$D:$AM, 10, FALSE), 1)</f>
        <v>1.5050050236263509E-3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1.6178026345416049E-5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1.6273579965524734E-5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1.6369133585633419E-5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1.64646872057421E-5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1.6560240825850782E-5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1.6664382233350885E-5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1.6768523640850993E-5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1.687101027473275E-5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1.6973496908614514E-5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1.7075983542496275E-5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1.7178470176378033E-5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1.7280956810259797E-5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1.735578901870776E-5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1.743062122715572E-5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1.7505453435603683E-5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1.7580285644051646E-5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1.7655117852499609E-5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1.7726471241656678E-5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1.7797824630813754E-5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1.7869178019970823E-5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1.7940531409127895E-5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1.8011884798284967E-5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1.8079689135063926E-5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1.8147493471842891E-5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1.821529780862185E-5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1.8283102145400808E-5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1.835090648217977E-5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1.6906189617509239E-4</v>
      </c>
      <c r="C13" s="7">
        <f>$B13 * IFERROR(VLOOKUP("buildings|SO2|Non-fatal heart attacks", US_national_yearly!$D:$AM, 11, FALSE) / VLOOKUP("buildings|SO2|Non-fatal heart attacks", US_national_yearly!$D:$AM, 10, FALSE), 1)</f>
        <v>1.7402654396851992E-4</v>
      </c>
      <c r="D13" s="7">
        <f>$B13 * IFERROR(VLOOKUP("buildings|SO2|Non-fatal heart attacks", US_national_yearly!$D:$AM, 12, FALSE) / VLOOKUP("buildings|SO2|Non-fatal heart attacks", US_national_yearly!$D:$AM, 10, FALSE), 1)</f>
        <v>1.7899119176194742E-4</v>
      </c>
      <c r="E13" s="7">
        <f>$B13 * IFERROR(VLOOKUP("buildings|SO2|Non-fatal heart attacks", US_national_yearly!$D:$AM, 13, FALSE) / VLOOKUP("buildings|SO2|Non-fatal heart attacks", US_national_yearly!$D:$AM, 10, FALSE), 1)</f>
        <v>1.839558395553749E-4</v>
      </c>
      <c r="F13" s="7">
        <f>$B13 * IFERROR(VLOOKUP("buildings|SO2|Non-fatal heart attacks", US_national_yearly!$D:$AM, 14, FALSE) / VLOOKUP("buildings|SO2|Non-fatal heart attacks", US_national_yearly!$D:$AM, 10, FALSE), 1)</f>
        <v>1.8892048734880243E-4</v>
      </c>
      <c r="G13" s="7">
        <f>$B13 * IFERROR(VLOOKUP("buildings|SO2|Non-fatal heart attacks", US_national_yearly!$D:$AM, 15, FALSE) / VLOOKUP("buildings|SO2|Non-fatal heart attacks", US_national_yearly!$D:$AM, 10, FALSE), 1)</f>
        <v>1.9360295091785099E-4</v>
      </c>
      <c r="H13" s="7">
        <f>$B13 * IFERROR(VLOOKUP("buildings|SO2|Non-fatal heart attacks", US_national_yearly!$D:$AM, 16, FALSE) / VLOOKUP("buildings|SO2|Non-fatal heart attacks", US_national_yearly!$D:$AM, 10, FALSE), 1)</f>
        <v>1.9828541448689956E-4</v>
      </c>
      <c r="I13" s="7">
        <f>$B13 * IFERROR(VLOOKUP("buildings|SO2|Non-fatal heart attacks", US_national_yearly!$D:$AM, 17, FALSE) / VLOOKUP("buildings|SO2|Non-fatal heart attacks", US_national_yearly!$D:$AM, 10, FALSE), 1)</f>
        <v>2.0205448728864708E-4</v>
      </c>
      <c r="J13" s="7">
        <f>$B13 * IFERROR(VLOOKUP("buildings|SO2|Non-fatal heart attacks", US_national_yearly!$D:$AM, 18, FALSE) / VLOOKUP("buildings|SO2|Non-fatal heart attacks", US_national_yearly!$D:$AM, 10, FALSE), 1)</f>
        <v>2.0582356009039461E-4</v>
      </c>
      <c r="K13" s="7">
        <f>$B13 * IFERROR(VLOOKUP("buildings|SO2|Non-fatal heart attacks", US_national_yearly!$D:$AM, 19, FALSE) / VLOOKUP("buildings|SO2|Non-fatal heart attacks", US_national_yearly!$D:$AM, 10, FALSE), 1)</f>
        <v>2.0959263289214213E-4</v>
      </c>
      <c r="L13" s="7">
        <f>$B13 * IFERROR(VLOOKUP("buildings|SO2|Non-fatal heart attacks", US_national_yearly!$D:$AM, 20, FALSE) / VLOOKUP("buildings|SO2|Non-fatal heart attacks", US_national_yearly!$D:$AM, 10, FALSE), 1)</f>
        <v>2.1336170569388971E-4</v>
      </c>
      <c r="M13" s="7">
        <f>$B13 * IFERROR(VLOOKUP("buildings|SO2|Non-fatal heart attacks", US_national_yearly!$D:$AM, 21, FALSE) / VLOOKUP("buildings|SO2|Non-fatal heart attacks", US_national_yearly!$D:$AM, 10, FALSE), 1)</f>
        <v>2.1713077849563726E-4</v>
      </c>
      <c r="N13" s="7">
        <f>$B13 * IFERROR(VLOOKUP("buildings|SO2|Non-fatal heart attacks", US_national_yearly!$D:$AM, 22, FALSE) / VLOOKUP("buildings|SO2|Non-fatal heart attacks", US_national_yearly!$D:$AM, 10, FALSE), 1)</f>
        <v>2.1957708195247057E-4</v>
      </c>
      <c r="O13" s="7">
        <f>$B13 * IFERROR(VLOOKUP("buildings|SO2|Non-fatal heart attacks", US_national_yearly!$D:$AM, 23, FALSE) / VLOOKUP("buildings|SO2|Non-fatal heart attacks", US_national_yearly!$D:$AM, 10, FALSE), 1)</f>
        <v>2.220233854093039E-4</v>
      </c>
      <c r="P13" s="7">
        <f>$B13 * IFERROR(VLOOKUP("buildings|SO2|Non-fatal heart attacks", US_national_yearly!$D:$AM, 24, FALSE) / VLOOKUP("buildings|SO2|Non-fatal heart attacks", US_national_yearly!$D:$AM, 10, FALSE), 1)</f>
        <v>2.2446968886613721E-4</v>
      </c>
      <c r="Q13" s="7">
        <f>$B13 * IFERROR(VLOOKUP("buildings|SO2|Non-fatal heart attacks", US_national_yearly!$D:$AM, 25, FALSE) / VLOOKUP("buildings|SO2|Non-fatal heart attacks", US_national_yearly!$D:$AM, 10, FALSE), 1)</f>
        <v>2.2691599232297052E-4</v>
      </c>
      <c r="R13" s="7">
        <f>$B13 * IFERROR(VLOOKUP("buildings|SO2|Non-fatal heart attacks", US_national_yearly!$D:$AM, 26, FALSE) / VLOOKUP("buildings|SO2|Non-fatal heart attacks", US_national_yearly!$D:$AM, 10, FALSE), 1)</f>
        <v>2.2936229577980385E-4</v>
      </c>
      <c r="S13" s="7">
        <f>$B13 * IFERROR(VLOOKUP("buildings|SO2|Non-fatal heart attacks", US_national_yearly!$D:$AM, 27, FALSE) / VLOOKUP("buildings|SO2|Non-fatal heart attacks", US_national_yearly!$D:$AM, 10, FALSE), 1)</f>
        <v>2.3063975143944166E-4</v>
      </c>
      <c r="T13" s="7">
        <f>$B13 * IFERROR(VLOOKUP("buildings|SO2|Non-fatal heart attacks", US_national_yearly!$D:$AM, 28, FALSE) / VLOOKUP("buildings|SO2|Non-fatal heart attacks", US_national_yearly!$D:$AM, 10, FALSE), 1)</f>
        <v>2.319172070990795E-4</v>
      </c>
      <c r="U13" s="7">
        <f>$B13 * IFERROR(VLOOKUP("buildings|SO2|Non-fatal heart attacks", US_national_yearly!$D:$AM, 29, FALSE) / VLOOKUP("buildings|SO2|Non-fatal heart attacks", US_national_yearly!$D:$AM, 10, FALSE), 1)</f>
        <v>2.3319466275871725E-4</v>
      </c>
      <c r="V13" s="7">
        <f>$B13 * IFERROR(VLOOKUP("buildings|SO2|Non-fatal heart attacks", US_national_yearly!$D:$AM, 30, FALSE) / VLOOKUP("buildings|SO2|Non-fatal heart attacks", US_national_yearly!$D:$AM, 10, FALSE), 1)</f>
        <v>2.3447211841835506E-4</v>
      </c>
      <c r="W13" s="7">
        <f>$B13 * IFERROR(VLOOKUP("buildings|SO2|Non-fatal heart attacks", US_national_yearly!$D:$AM, 31, FALSE) / VLOOKUP("buildings|SO2|Non-fatal heart attacks", US_national_yearly!$D:$AM, 10, FALSE), 1)</f>
        <v>2.3574957407799285E-4</v>
      </c>
      <c r="X13" s="7">
        <f>$B13 * IFERROR(VLOOKUP("buildings|SO2|Non-fatal heart attacks", US_national_yearly!$D:$AM, 32, FALSE) / VLOOKUP("buildings|SO2|Non-fatal heart attacks", US_national_yearly!$D:$AM, 10, FALSE), 1)</f>
        <v>2.3671440240148264E-4</v>
      </c>
      <c r="Y13" s="7">
        <f>$B13 * IFERROR(VLOOKUP("buildings|SO2|Non-fatal heart attacks", US_national_yearly!$D:$AM, 33, FALSE) / VLOOKUP("buildings|SO2|Non-fatal heart attacks", US_national_yearly!$D:$AM, 10, FALSE), 1)</f>
        <v>2.3767923072497244E-4</v>
      </c>
      <c r="Z13" s="7">
        <f>$B13 * IFERROR(VLOOKUP("buildings|SO2|Non-fatal heart attacks", US_national_yearly!$D:$AM, 34, FALSE) / VLOOKUP("buildings|SO2|Non-fatal heart attacks", US_national_yearly!$D:$AM, 10, FALSE), 1)</f>
        <v>2.3864405904846212E-4</v>
      </c>
      <c r="AA13" s="7">
        <f>$B13 * IFERROR(VLOOKUP("buildings|SO2|Non-fatal heart attacks", US_national_yearly!$D:$AM, 35, FALSE) / VLOOKUP("buildings|SO2|Non-fatal heart attacks", US_national_yearly!$D:$AM, 10, FALSE), 1)</f>
        <v>2.3960888737195192E-4</v>
      </c>
      <c r="AB13" s="7">
        <f>$B13 * IFERROR(VLOOKUP("buildings|SO2|Non-fatal heart attacks", US_national_yearly!$D:$AM, 36, FALSE) / VLOOKUP("buildings|SO2|Non-fatal heart attacks", US_national_yearly!$D:$AM, 10, FALSE), 1)</f>
        <v>2.4057371569544166E-4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8.8577200571083717E-2</v>
      </c>
      <c r="C14" s="7">
        <f>$B14 * IFERROR(VLOOKUP("buildings|SO2|Minor restricted activity days", US_national_yearly!$D:$AM, 11, FALSE) / VLOOKUP("buildings|SO2|Minor restricted activity days", US_national_yearly!$D:$AM, 10, FALSE), 1)</f>
        <v>8.8801429088234587E-2</v>
      </c>
      <c r="D14" s="7">
        <f>$B14 * IFERROR(VLOOKUP("buildings|SO2|Minor restricted activity days", US_national_yearly!$D:$AM, 12, FALSE) / VLOOKUP("buildings|SO2|Minor restricted activity days", US_national_yearly!$D:$AM, 10, FALSE), 1)</f>
        <v>8.9025657605385472E-2</v>
      </c>
      <c r="E14" s="7">
        <f>$B14 * IFERROR(VLOOKUP("buildings|SO2|Minor restricted activity days", US_national_yearly!$D:$AM, 13, FALSE) / VLOOKUP("buildings|SO2|Minor restricted activity days", US_national_yearly!$D:$AM, 10, FALSE), 1)</f>
        <v>8.9249886122536357E-2</v>
      </c>
      <c r="F14" s="7">
        <f>$B14 * IFERROR(VLOOKUP("buildings|SO2|Minor restricted activity days", US_national_yearly!$D:$AM, 14, FALSE) / VLOOKUP("buildings|SO2|Minor restricted activity days", US_national_yearly!$D:$AM, 10, FALSE), 1)</f>
        <v>8.9474114639687213E-2</v>
      </c>
      <c r="G14" s="7">
        <f>$B14 * IFERROR(VLOOKUP("buildings|SO2|Minor restricted activity days", US_national_yearly!$D:$AM, 15, FALSE) / VLOOKUP("buildings|SO2|Minor restricted activity days", US_national_yearly!$D:$AM, 10, FALSE), 1)</f>
        <v>8.9803819404587579E-2</v>
      </c>
      <c r="H14" s="7">
        <f>$B14 * IFERROR(VLOOKUP("buildings|SO2|Minor restricted activity days", US_national_yearly!$D:$AM, 16, FALSE) / VLOOKUP("buildings|SO2|Minor restricted activity days", US_national_yearly!$D:$AM, 10, FALSE), 1)</f>
        <v>9.0133524169487944E-2</v>
      </c>
      <c r="I14" s="7">
        <f>$B14 * IFERROR(VLOOKUP("buildings|SO2|Minor restricted activity days", US_national_yearly!$D:$AM, 17, FALSE) / VLOOKUP("buildings|SO2|Minor restricted activity days", US_national_yearly!$D:$AM, 10, FALSE), 1)</f>
        <v>9.0695044564140972E-2</v>
      </c>
      <c r="J14" s="7">
        <f>$B14 * IFERROR(VLOOKUP("buildings|SO2|Minor restricted activity days", US_national_yearly!$D:$AM, 18, FALSE) / VLOOKUP("buildings|SO2|Minor restricted activity days", US_national_yearly!$D:$AM, 10, FALSE), 1)</f>
        <v>9.1256564958794015E-2</v>
      </c>
      <c r="K14" s="7">
        <f>$B14 * IFERROR(VLOOKUP("buildings|SO2|Minor restricted activity days", US_national_yearly!$D:$AM, 19, FALSE) / VLOOKUP("buildings|SO2|Minor restricted activity days", US_national_yearly!$D:$AM, 10, FALSE), 1)</f>
        <v>9.1818085353447029E-2</v>
      </c>
      <c r="L14" s="7">
        <f>$B14 * IFERROR(VLOOKUP("buildings|SO2|Minor restricted activity days", US_national_yearly!$D:$AM, 20, FALSE) / VLOOKUP("buildings|SO2|Minor restricted activity days", US_national_yearly!$D:$AM, 10, FALSE), 1)</f>
        <v>9.2379605748100058E-2</v>
      </c>
      <c r="M14" s="7">
        <f>$B14 * IFERROR(VLOOKUP("buildings|SO2|Minor restricted activity days", US_national_yearly!$D:$AM, 21, FALSE) / VLOOKUP("buildings|SO2|Minor restricted activity days", US_national_yearly!$D:$AM, 10, FALSE), 1)</f>
        <v>9.2941126142753072E-2</v>
      </c>
      <c r="N14" s="7">
        <f>$B14 * IFERROR(VLOOKUP("buildings|SO2|Minor restricted activity days", US_national_yearly!$D:$AM, 22, FALSE) / VLOOKUP("buildings|SO2|Minor restricted activity days", US_national_yearly!$D:$AM, 10, FALSE), 1)</f>
        <v>9.3708975775000328E-2</v>
      </c>
      <c r="O14" s="7">
        <f>$B14 * IFERROR(VLOOKUP("buildings|SO2|Minor restricted activity days", US_national_yearly!$D:$AM, 23, FALSE) / VLOOKUP("buildings|SO2|Minor restricted activity days", US_national_yearly!$D:$AM, 10, FALSE), 1)</f>
        <v>9.4476825407247597E-2</v>
      </c>
      <c r="P14" s="7">
        <f>$B14 * IFERROR(VLOOKUP("buildings|SO2|Minor restricted activity days", US_national_yearly!$D:$AM, 24, FALSE) / VLOOKUP("buildings|SO2|Minor restricted activity days", US_national_yearly!$D:$AM, 10, FALSE), 1)</f>
        <v>9.5244675039494825E-2</v>
      </c>
      <c r="Q14" s="7">
        <f>$B14 * IFERROR(VLOOKUP("buildings|SO2|Minor restricted activity days", US_national_yearly!$D:$AM, 25, FALSE) / VLOOKUP("buildings|SO2|Minor restricted activity days", US_national_yearly!$D:$AM, 10, FALSE), 1)</f>
        <v>9.6012524671742094E-2</v>
      </c>
      <c r="R14" s="7">
        <f>$B14 * IFERROR(VLOOKUP("buildings|SO2|Minor restricted activity days", US_national_yearly!$D:$AM, 26, FALSE) / VLOOKUP("buildings|SO2|Minor restricted activity days", US_national_yearly!$D:$AM, 10, FALSE), 1)</f>
        <v>9.678037430398935E-2</v>
      </c>
      <c r="S14" s="7">
        <f>$B14 * IFERROR(VLOOKUP("buildings|SO2|Minor restricted activity days", US_national_yearly!$D:$AM, 27, FALSE) / VLOOKUP("buildings|SO2|Minor restricted activity days", US_national_yearly!$D:$AM, 10, FALSE), 1)</f>
        <v>9.7563147153935256E-2</v>
      </c>
      <c r="T14" s="7">
        <f>$B14 * IFERROR(VLOOKUP("buildings|SO2|Minor restricted activity days", US_national_yearly!$D:$AM, 28, FALSE) / VLOOKUP("buildings|SO2|Minor restricted activity days", US_national_yearly!$D:$AM, 10, FALSE), 1)</f>
        <v>9.8345920003881163E-2</v>
      </c>
      <c r="U14" s="7">
        <f>$B14 * IFERROR(VLOOKUP("buildings|SO2|Minor restricted activity days", US_national_yearly!$D:$AM, 29, FALSE) / VLOOKUP("buildings|SO2|Minor restricted activity days", US_national_yearly!$D:$AM, 10, FALSE), 1)</f>
        <v>9.9128692853827069E-2</v>
      </c>
      <c r="V14" s="7">
        <f>$B14 * IFERROR(VLOOKUP("buildings|SO2|Minor restricted activity days", US_national_yearly!$D:$AM, 30, FALSE) / VLOOKUP("buildings|SO2|Minor restricted activity days", US_national_yearly!$D:$AM, 10, FALSE), 1)</f>
        <v>9.9911465703772961E-2</v>
      </c>
      <c r="W14" s="7">
        <f>$B14 * IFERROR(VLOOKUP("buildings|SO2|Minor restricted activity days", US_national_yearly!$D:$AM, 31, FALSE) / VLOOKUP("buildings|SO2|Minor restricted activity days", US_national_yearly!$D:$AM, 10, FALSE), 1)</f>
        <v>0.1006942385537189</v>
      </c>
      <c r="X14" s="7">
        <f>$B14 * IFERROR(VLOOKUP("buildings|SO2|Minor restricted activity days", US_national_yearly!$D:$AM, 32, FALSE) / VLOOKUP("buildings|SO2|Minor restricted activity days", US_national_yearly!$D:$AM, 10, FALSE), 1)</f>
        <v>0.10138264197541887</v>
      </c>
      <c r="Y14" s="7">
        <f>$B14 * IFERROR(VLOOKUP("buildings|SO2|Minor restricted activity days", US_national_yearly!$D:$AM, 33, FALSE) / VLOOKUP("buildings|SO2|Minor restricted activity days", US_national_yearly!$D:$AM, 10, FALSE), 1)</f>
        <v>0.10207104539711885</v>
      </c>
      <c r="Z14" s="7">
        <f>$B14 * IFERROR(VLOOKUP("buildings|SO2|Minor restricted activity days", US_national_yearly!$D:$AM, 34, FALSE) / VLOOKUP("buildings|SO2|Minor restricted activity days", US_national_yearly!$D:$AM, 10, FALSE), 1)</f>
        <v>0.10275944881881884</v>
      </c>
      <c r="AA14" s="7">
        <f>$B14 * IFERROR(VLOOKUP("buildings|SO2|Minor restricted activity days", US_national_yearly!$D:$AM, 35, FALSE) / VLOOKUP("buildings|SO2|Minor restricted activity days", US_national_yearly!$D:$AM, 10, FALSE), 1)</f>
        <v>0.10344785224051882</v>
      </c>
      <c r="AB14" s="7">
        <f>$B14 * IFERROR(VLOOKUP("buildings|SO2|Minor restricted activity days", US_national_yearly!$D:$AM, 36, FALSE) / VLOOKUP("buildings|SO2|Minor restricted activity days", US_national_yearly!$D:$AM, 10, FALSE), 1)</f>
        <v>0.10413625566221879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1.5120420453171695E-2</v>
      </c>
      <c r="C15" s="7">
        <f>$B15 * IFERROR(VLOOKUP("buildings|SO2|Work loss days", US_national_yearly!$D:$AM, 11, FALSE) / VLOOKUP("buildings|SO2|Work loss days", US_national_yearly!$D:$AM, 10, FALSE), 1)</f>
        <v>1.5169546452983095E-2</v>
      </c>
      <c r="D15" s="7">
        <f>$B15 * IFERROR(VLOOKUP("buildings|SO2|Work loss days", US_national_yearly!$D:$AM, 12, FALSE) / VLOOKUP("buildings|SO2|Work loss days", US_national_yearly!$D:$AM, 10, FALSE), 1)</f>
        <v>1.5218672452794495E-2</v>
      </c>
      <c r="E15" s="7">
        <f>$B15 * IFERROR(VLOOKUP("buildings|SO2|Work loss days", US_national_yearly!$D:$AM, 13, FALSE) / VLOOKUP("buildings|SO2|Work loss days", US_national_yearly!$D:$AM, 10, FALSE), 1)</f>
        <v>1.5267798452605895E-2</v>
      </c>
      <c r="F15" s="7">
        <f>$B15 * IFERROR(VLOOKUP("buildings|SO2|Work loss days", US_national_yearly!$D:$AM, 14, FALSE) / VLOOKUP("buildings|SO2|Work loss days", US_national_yearly!$D:$AM, 10, FALSE), 1)</f>
        <v>1.5316924452417292E-2</v>
      </c>
      <c r="G15" s="7">
        <f>$B15 * IFERROR(VLOOKUP("buildings|SO2|Work loss days", US_national_yearly!$D:$AM, 15, FALSE) / VLOOKUP("buildings|SO2|Work loss days", US_national_yearly!$D:$AM, 10, FALSE), 1)</f>
        <v>1.5381085726736063E-2</v>
      </c>
      <c r="H15" s="7">
        <f>$B15 * IFERROR(VLOOKUP("buildings|SO2|Work loss days", US_national_yearly!$D:$AM, 16, FALSE) / VLOOKUP("buildings|SO2|Work loss days", US_national_yearly!$D:$AM, 10, FALSE), 1)</f>
        <v>1.5445247001054839E-2</v>
      </c>
      <c r="I15" s="7">
        <f>$B15 * IFERROR(VLOOKUP("buildings|SO2|Work loss days", US_national_yearly!$D:$AM, 17, FALSE) / VLOOKUP("buildings|SO2|Work loss days", US_national_yearly!$D:$AM, 10, FALSE), 1)</f>
        <v>1.5539054375354399E-2</v>
      </c>
      <c r="J15" s="7">
        <f>$B15 * IFERROR(VLOOKUP("buildings|SO2|Work loss days", US_national_yearly!$D:$AM, 18, FALSE) / VLOOKUP("buildings|SO2|Work loss days", US_national_yearly!$D:$AM, 10, FALSE), 1)</f>
        <v>1.5632861749653955E-2</v>
      </c>
      <c r="K15" s="7">
        <f>$B15 * IFERROR(VLOOKUP("buildings|SO2|Work loss days", US_national_yearly!$D:$AM, 19, FALSE) / VLOOKUP("buildings|SO2|Work loss days", US_national_yearly!$D:$AM, 10, FALSE), 1)</f>
        <v>1.5726669123953513E-2</v>
      </c>
      <c r="L15" s="7">
        <f>$B15 * IFERROR(VLOOKUP("buildings|SO2|Work loss days", US_national_yearly!$D:$AM, 20, FALSE) / VLOOKUP("buildings|SO2|Work loss days", US_national_yearly!$D:$AM, 10, FALSE), 1)</f>
        <v>1.5820476498253067E-2</v>
      </c>
      <c r="M15" s="7">
        <f>$B15 * IFERROR(VLOOKUP("buildings|SO2|Work loss days", US_national_yearly!$D:$AM, 21, FALSE) / VLOOKUP("buildings|SO2|Work loss days", US_national_yearly!$D:$AM, 10, FALSE), 1)</f>
        <v>1.5914283872552625E-2</v>
      </c>
      <c r="N15" s="7">
        <f>$B15 * IFERROR(VLOOKUP("buildings|SO2|Work loss days", US_national_yearly!$D:$AM, 22, FALSE) / VLOOKUP("buildings|SO2|Work loss days", US_national_yearly!$D:$AM, 10, FALSE), 1)</f>
        <v>1.6031916783238918E-2</v>
      </c>
      <c r="O15" s="7">
        <f>$B15 * IFERROR(VLOOKUP("buildings|SO2|Work loss days", US_national_yearly!$D:$AM, 23, FALSE) / VLOOKUP("buildings|SO2|Work loss days", US_national_yearly!$D:$AM, 10, FALSE), 1)</f>
        <v>1.6149549693925212E-2</v>
      </c>
      <c r="P15" s="7">
        <f>$B15 * IFERROR(VLOOKUP("buildings|SO2|Work loss days", US_national_yearly!$D:$AM, 24, FALSE) / VLOOKUP("buildings|SO2|Work loss days", US_national_yearly!$D:$AM, 10, FALSE), 1)</f>
        <v>1.6267182604611501E-2</v>
      </c>
      <c r="Q15" s="7">
        <f>$B15 * IFERROR(VLOOKUP("buildings|SO2|Work loss days", US_national_yearly!$D:$AM, 25, FALSE) / VLOOKUP("buildings|SO2|Work loss days", US_national_yearly!$D:$AM, 10, FALSE), 1)</f>
        <v>1.6384815515297798E-2</v>
      </c>
      <c r="R15" s="7">
        <f>$B15 * IFERROR(VLOOKUP("buildings|SO2|Work loss days", US_national_yearly!$D:$AM, 26, FALSE) / VLOOKUP("buildings|SO2|Work loss days", US_national_yearly!$D:$AM, 10, FALSE), 1)</f>
        <v>1.6502448425984088E-2</v>
      </c>
      <c r="S15" s="7">
        <f>$B15 * IFERROR(VLOOKUP("buildings|SO2|Work loss days", US_national_yearly!$D:$AM, 27, FALSE) / VLOOKUP("buildings|SO2|Work loss days", US_national_yearly!$D:$AM, 10, FALSE), 1)</f>
        <v>1.6633854691219627E-2</v>
      </c>
      <c r="T15" s="7">
        <f>$B15 * IFERROR(VLOOKUP("buildings|SO2|Work loss days", US_national_yearly!$D:$AM, 28, FALSE) / VLOOKUP("buildings|SO2|Work loss days", US_national_yearly!$D:$AM, 10, FALSE), 1)</f>
        <v>1.6765260956455166E-2</v>
      </c>
      <c r="U15" s="7">
        <f>$B15 * IFERROR(VLOOKUP("buildings|SO2|Work loss days", US_national_yearly!$D:$AM, 29, FALSE) / VLOOKUP("buildings|SO2|Work loss days", US_national_yearly!$D:$AM, 10, FALSE), 1)</f>
        <v>1.6896667221690708E-2</v>
      </c>
      <c r="V15" s="7">
        <f>$B15 * IFERROR(VLOOKUP("buildings|SO2|Work loss days", US_national_yearly!$D:$AM, 30, FALSE) / VLOOKUP("buildings|SO2|Work loss days", US_national_yearly!$D:$AM, 10, FALSE), 1)</f>
        <v>1.7028073486926244E-2</v>
      </c>
      <c r="W15" s="7">
        <f>$B15 * IFERROR(VLOOKUP("buildings|SO2|Work loss days", US_national_yearly!$D:$AM, 31, FALSE) / VLOOKUP("buildings|SO2|Work loss days", US_national_yearly!$D:$AM, 10, FALSE), 1)</f>
        <v>1.7159479752161783E-2</v>
      </c>
      <c r="X15" s="7">
        <f>$B15 * IFERROR(VLOOKUP("buildings|SO2|Work loss days", US_national_yearly!$D:$AM, 32, FALSE) / VLOOKUP("buildings|SO2|Work loss days", US_national_yearly!$D:$AM, 10, FALSE), 1)</f>
        <v>1.7277467088967807E-2</v>
      </c>
      <c r="Y15" s="7">
        <f>$B15 * IFERROR(VLOOKUP("buildings|SO2|Work loss days", US_national_yearly!$D:$AM, 33, FALSE) / VLOOKUP("buildings|SO2|Work loss days", US_national_yearly!$D:$AM, 10, FALSE), 1)</f>
        <v>1.7395454425773831E-2</v>
      </c>
      <c r="Z15" s="7">
        <f>$B15 * IFERROR(VLOOKUP("buildings|SO2|Work loss days", US_national_yearly!$D:$AM, 34, FALSE) / VLOOKUP("buildings|SO2|Work loss days", US_national_yearly!$D:$AM, 10, FALSE), 1)</f>
        <v>1.7513441762579851E-2</v>
      </c>
      <c r="AA15" s="7">
        <f>$B15 * IFERROR(VLOOKUP("buildings|SO2|Work loss days", US_national_yearly!$D:$AM, 35, FALSE) / VLOOKUP("buildings|SO2|Work loss days", US_national_yearly!$D:$AM, 10, FALSE), 1)</f>
        <v>1.7631429099385872E-2</v>
      </c>
      <c r="AB15" s="7">
        <f>$B15 * IFERROR(VLOOKUP("buildings|SO2|Work loss days", US_national_yearly!$D:$AM, 36, FALSE) / VLOOKUP("buildings|SO2|Work loss days", US_national_yearly!$D:$AM, 10, FALSE), 1)</f>
        <v>1.7749416436191892E-2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2.5337694341343849E-5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2.6104143340923908E-5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2.6870592340503963E-5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2.7637041340084025E-5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2.8403490339664084E-5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2.9137702571957804E-5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2.9871914804251522E-5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3.0501133208275809E-5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3.1130351612300082E-5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3.1759570016324376E-5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3.2388788420348656E-5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3.301800682437293E-5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3.3440514372438602E-5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3.3863021920504268E-5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3.4285529468569934E-5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3.4708037016635593E-5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3.5130544564701259E-5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3.5352732358875207E-5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3.5574920153049162E-5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3.5797107947223103E-5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3.6019295741397052E-5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3.6241483535571E-5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3.6390683138846478E-5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3.653988274212195E-5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3.6689082345397428E-5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3.6838281948672907E-5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3.6987481551948379E-5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1.0942932272498852E-3</v>
      </c>
      <c r="C2" s="7">
        <f>$B2 * IFERROR(VLOOKUP("industry|PM25|Premature mortality", US_national_yearly!$D:$AM, 11, FALSE) / VLOOKUP("industry|PM25|Premature mortality", US_national_yearly!$D:$AM, 10, FALSE), 1)</f>
        <v>1.1079207539639176E-3</v>
      </c>
      <c r="D2" s="7">
        <f>$B2 * IFERROR(VLOOKUP("industry|PM25|Premature mortality", US_national_yearly!$D:$AM, 12, FALSE) / VLOOKUP("industry|PM25|Premature mortality", US_national_yearly!$D:$AM, 10, FALSE), 1)</f>
        <v>1.1215482806779496E-3</v>
      </c>
      <c r="E2" s="7">
        <f>$B2 * IFERROR(VLOOKUP("industry|PM25|Premature mortality", US_national_yearly!$D:$AM, 13, FALSE) / VLOOKUP("industry|PM25|Premature mortality", US_national_yearly!$D:$AM, 10, FALSE), 1)</f>
        <v>1.135175807391982E-3</v>
      </c>
      <c r="F2" s="7">
        <f>$B2 * IFERROR(VLOOKUP("industry|PM25|Premature mortality", US_national_yearly!$D:$AM, 14, FALSE) / VLOOKUP("industry|PM25|Premature mortality", US_national_yearly!$D:$AM, 10, FALSE), 1)</f>
        <v>1.1488033341060142E-3</v>
      </c>
      <c r="G2" s="7">
        <f>$B2 * IFERROR(VLOOKUP("industry|PM25|Premature mortality", US_national_yearly!$D:$AM, 15, FALSE) / VLOOKUP("industry|PM25|Premature mortality", US_national_yearly!$D:$AM, 10, FALSE), 1)</f>
        <v>1.1753154756593274E-3</v>
      </c>
      <c r="H2" s="7">
        <f>$B2 * IFERROR(VLOOKUP("industry|PM25|Premature mortality", US_national_yearly!$D:$AM, 16, FALSE) / VLOOKUP("industry|PM25|Premature mortality", US_national_yearly!$D:$AM, 10, FALSE), 1)</f>
        <v>1.2018276172126405E-3</v>
      </c>
      <c r="I2" s="7">
        <f>$B2 * IFERROR(VLOOKUP("industry|PM25|Premature mortality", US_national_yearly!$D:$AM, 17, FALSE) / VLOOKUP("industry|PM25|Premature mortality", US_national_yearly!$D:$AM, 10, FALSE), 1)</f>
        <v>1.2193334961453476E-3</v>
      </c>
      <c r="J2" s="7">
        <f>$B2 * IFERROR(VLOOKUP("industry|PM25|Premature mortality", US_national_yearly!$D:$AM, 18, FALSE) / VLOOKUP("industry|PM25|Premature mortality", US_national_yearly!$D:$AM, 10, FALSE), 1)</f>
        <v>1.2368393750780543E-3</v>
      </c>
      <c r="K2" s="7">
        <f>$B2 * IFERROR(VLOOKUP("industry|PM25|Premature mortality", US_national_yearly!$D:$AM, 19, FALSE) / VLOOKUP("industry|PM25|Premature mortality", US_national_yearly!$D:$AM, 10, FALSE), 1)</f>
        <v>1.254345254010761E-3</v>
      </c>
      <c r="L2" s="7">
        <f>$B2 * IFERROR(VLOOKUP("industry|PM25|Premature mortality", US_national_yearly!$D:$AM, 20, FALSE) / VLOOKUP("industry|PM25|Premature mortality", US_national_yearly!$D:$AM, 10, FALSE), 1)</f>
        <v>1.2718511329434679E-3</v>
      </c>
      <c r="M2" s="7">
        <f>$B2 * IFERROR(VLOOKUP("industry|PM25|Premature mortality", US_national_yearly!$D:$AM, 21, FALSE) / VLOOKUP("industry|PM25|Premature mortality", US_national_yearly!$D:$AM, 10, FALSE), 1)</f>
        <v>1.2893570118761748E-3</v>
      </c>
      <c r="N2" s="7">
        <f>$B2 * IFERROR(VLOOKUP("industry|PM25|Premature mortality", US_national_yearly!$D:$AM, 22, FALSE) / VLOOKUP("industry|PM25|Premature mortality", US_national_yearly!$D:$AM, 10, FALSE), 1)</f>
        <v>1.30299558826253E-3</v>
      </c>
      <c r="O2" s="7">
        <f>$B2 * IFERROR(VLOOKUP("industry|PM25|Premature mortality", US_national_yearly!$D:$AM, 23, FALSE) / VLOOKUP("industry|PM25|Premature mortality", US_national_yearly!$D:$AM, 10, FALSE), 1)</f>
        <v>1.3166341646488847E-3</v>
      </c>
      <c r="P2" s="7">
        <f>$B2 * IFERROR(VLOOKUP("industry|PM25|Premature mortality", US_national_yearly!$D:$AM, 24, FALSE) / VLOOKUP("industry|PM25|Premature mortality", US_national_yearly!$D:$AM, 10, FALSE), 1)</f>
        <v>1.3302727410352396E-3</v>
      </c>
      <c r="Q2" s="7">
        <f>$B2 * IFERROR(VLOOKUP("industry|PM25|Premature mortality", US_national_yearly!$D:$AM, 25, FALSE) / VLOOKUP("industry|PM25|Premature mortality", US_national_yearly!$D:$AM, 10, FALSE), 1)</f>
        <v>1.3439113174215946E-3</v>
      </c>
      <c r="R2" s="7">
        <f>$B2 * IFERROR(VLOOKUP("industry|PM25|Premature mortality", US_national_yearly!$D:$AM, 26, FALSE) / VLOOKUP("industry|PM25|Premature mortality", US_national_yearly!$D:$AM, 10, FALSE), 1)</f>
        <v>1.3575498938079495E-3</v>
      </c>
      <c r="S2" s="7">
        <f>$B2 * IFERROR(VLOOKUP("industry|PM25|Premature mortality", US_national_yearly!$D:$AM, 27, FALSE) / VLOOKUP("industry|PM25|Premature mortality", US_national_yearly!$D:$AM, 10, FALSE), 1)</f>
        <v>1.3649142192055555E-3</v>
      </c>
      <c r="T2" s="7">
        <f>$B2 * IFERROR(VLOOKUP("industry|PM25|Premature mortality", US_national_yearly!$D:$AM, 28, FALSE) / VLOOKUP("industry|PM25|Premature mortality", US_national_yearly!$D:$AM, 10, FALSE), 1)</f>
        <v>1.3722785446031616E-3</v>
      </c>
      <c r="U2" s="7">
        <f>$B2 * IFERROR(VLOOKUP("industry|PM25|Premature mortality", US_national_yearly!$D:$AM, 29, FALSE) / VLOOKUP("industry|PM25|Premature mortality", US_national_yearly!$D:$AM, 10, FALSE), 1)</f>
        <v>1.3796428700007682E-3</v>
      </c>
      <c r="V2" s="7">
        <f>$B2 * IFERROR(VLOOKUP("industry|PM25|Premature mortality", US_national_yearly!$D:$AM, 30, FALSE) / VLOOKUP("industry|PM25|Premature mortality", US_national_yearly!$D:$AM, 10, FALSE), 1)</f>
        <v>1.3870071953983743E-3</v>
      </c>
      <c r="W2" s="7">
        <f>$B2 * IFERROR(VLOOKUP("industry|PM25|Premature mortality", US_national_yearly!$D:$AM, 31, FALSE) / VLOOKUP("industry|PM25|Premature mortality", US_national_yearly!$D:$AM, 10, FALSE), 1)</f>
        <v>1.3943715207959805E-3</v>
      </c>
      <c r="X2" s="7">
        <f>$B2 * IFERROR(VLOOKUP("industry|PM25|Premature mortality", US_national_yearly!$D:$AM, 32, FALSE) / VLOOKUP("industry|PM25|Premature mortality", US_national_yearly!$D:$AM, 10, FALSE), 1)</f>
        <v>1.3958919958662473E-3</v>
      </c>
      <c r="Y2" s="7">
        <f>$B2 * IFERROR(VLOOKUP("industry|PM25|Premature mortality", US_national_yearly!$D:$AM, 33, FALSE) / VLOOKUP("industry|PM25|Premature mortality", US_national_yearly!$D:$AM, 10, FALSE), 1)</f>
        <v>1.3974124709365148E-3</v>
      </c>
      <c r="Z2" s="7">
        <f>$B2 * IFERROR(VLOOKUP("industry|PM25|Premature mortality", US_national_yearly!$D:$AM, 34, FALSE) / VLOOKUP("industry|PM25|Premature mortality", US_national_yearly!$D:$AM, 10, FALSE), 1)</f>
        <v>1.3989329460067815E-3</v>
      </c>
      <c r="AA2" s="7">
        <f>$B2 * IFERROR(VLOOKUP("industry|PM25|Premature mortality", US_national_yearly!$D:$AM, 35, FALSE) / VLOOKUP("industry|PM25|Premature mortality", US_national_yearly!$D:$AM, 10, FALSE), 1)</f>
        <v>1.4004534210770487E-3</v>
      </c>
      <c r="AB2" s="7">
        <f>$B2 * IFERROR(VLOOKUP("industry|PM25|Premature mortality", US_national_yearly!$D:$AM, 36, FALSE) / VLOOKUP("industry|PM25|Premature mortality", US_national_yearly!$D:$AM, 10, FALSE), 1)</f>
        <v>1.4019738961473158E-3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3.1207405017773313E-6</v>
      </c>
      <c r="C3" s="7">
        <f>$B3 * IFERROR(VLOOKUP("industry|PM25|Infant mortality", US_national_yearly!$D:$AM, 11, FALSE) / VLOOKUP("industry|PM25|Infant mortality", US_national_yearly!$D:$AM, 10, FALSE), 1)</f>
        <v>3.0935686859310613E-6</v>
      </c>
      <c r="D3" s="7">
        <f>$B3 * IFERROR(VLOOKUP("industry|PM25|Infant mortality", US_national_yearly!$D:$AM, 12, FALSE) / VLOOKUP("industry|PM25|Infant mortality", US_national_yearly!$D:$AM, 10, FALSE), 1)</f>
        <v>3.0663968700847904E-6</v>
      </c>
      <c r="E3" s="7">
        <f>$B3 * IFERROR(VLOOKUP("industry|PM25|Infant mortality", US_national_yearly!$D:$AM, 13, FALSE) / VLOOKUP("industry|PM25|Infant mortality", US_national_yearly!$D:$AM, 10, FALSE), 1)</f>
        <v>3.0392250542385195E-6</v>
      </c>
      <c r="F3" s="7">
        <f>$B3 * IFERROR(VLOOKUP("industry|PM25|Infant mortality", US_national_yearly!$D:$AM, 14, FALSE) / VLOOKUP("industry|PM25|Infant mortality", US_national_yearly!$D:$AM, 10, FALSE), 1)</f>
        <v>3.0120532383922494E-6</v>
      </c>
      <c r="G3" s="7">
        <f>$B3 * IFERROR(VLOOKUP("industry|PM25|Infant mortality", US_national_yearly!$D:$AM, 15, FALSE) / VLOOKUP("industry|PM25|Infant mortality", US_national_yearly!$D:$AM, 10, FALSE), 1)</f>
        <v>2.0013136024323267E-6</v>
      </c>
      <c r="H3" s="7">
        <f>$B3 * IFERROR(VLOOKUP("industry|PM25|Infant mortality", US_national_yearly!$D:$AM, 16, FALSE) / VLOOKUP("industry|PM25|Infant mortality", US_national_yearly!$D:$AM, 10, FALSE), 1)</f>
        <v>9.9057396647240393E-7</v>
      </c>
      <c r="I3" s="7">
        <f>$B3 * IFERROR(VLOOKUP("industry|PM25|Infant mortality", US_national_yearly!$D:$AM, 17, FALSE) / VLOOKUP("industry|PM25|Infant mortality", US_national_yearly!$D:$AM, 10, FALSE), 1)</f>
        <v>9.8398071970917629E-7</v>
      </c>
      <c r="J3" s="7">
        <f>$B3 * IFERROR(VLOOKUP("industry|PM25|Infant mortality", US_national_yearly!$D:$AM, 18, FALSE) / VLOOKUP("industry|PM25|Infant mortality", US_national_yearly!$D:$AM, 10, FALSE), 1)</f>
        <v>9.7738747294594843E-7</v>
      </c>
      <c r="K3" s="7">
        <f>$B3 * IFERROR(VLOOKUP("industry|PM25|Infant mortality", US_national_yearly!$D:$AM, 19, FALSE) / VLOOKUP("industry|PM25|Infant mortality", US_national_yearly!$D:$AM, 10, FALSE), 1)</f>
        <v>9.7079422618272079E-7</v>
      </c>
      <c r="L3" s="7">
        <f>$B3 * IFERROR(VLOOKUP("industry|PM25|Infant mortality", US_national_yearly!$D:$AM, 20, FALSE) / VLOOKUP("industry|PM25|Infant mortality", US_national_yearly!$D:$AM, 10, FALSE), 1)</f>
        <v>9.6420097941949293E-7</v>
      </c>
      <c r="M3" s="7">
        <f>$B3 * IFERROR(VLOOKUP("industry|PM25|Infant mortality", US_national_yearly!$D:$AM, 21, FALSE) / VLOOKUP("industry|PM25|Infant mortality", US_national_yearly!$D:$AM, 10, FALSE), 1)</f>
        <v>9.5760773265626529E-7</v>
      </c>
      <c r="N3" s="7">
        <f>$B3 * IFERROR(VLOOKUP("industry|PM25|Infant mortality", US_national_yearly!$D:$AM, 22, FALSE) / VLOOKUP("industry|PM25|Infant mortality", US_national_yearly!$D:$AM, 10, FALSE), 1)</f>
        <v>9.5340059917666175E-7</v>
      </c>
      <c r="O3" s="7">
        <f>$B3 * IFERROR(VLOOKUP("industry|PM25|Infant mortality", US_national_yearly!$D:$AM, 23, FALSE) / VLOOKUP("industry|PM25|Infant mortality", US_national_yearly!$D:$AM, 10, FALSE), 1)</f>
        <v>9.4919346569705821E-7</v>
      </c>
      <c r="P3" s="7">
        <f>$B3 * IFERROR(VLOOKUP("industry|PM25|Infant mortality", US_national_yearly!$D:$AM, 24, FALSE) / VLOOKUP("industry|PM25|Infant mortality", US_national_yearly!$D:$AM, 10, FALSE), 1)</f>
        <v>9.4498633221745488E-7</v>
      </c>
      <c r="Q3" s="7">
        <f>$B3 * IFERROR(VLOOKUP("industry|PM25|Infant mortality", US_national_yearly!$D:$AM, 25, FALSE) / VLOOKUP("industry|PM25|Infant mortality", US_national_yearly!$D:$AM, 10, FALSE), 1)</f>
        <v>9.4077919873785145E-7</v>
      </c>
      <c r="R3" s="7">
        <f>$B3 * IFERROR(VLOOKUP("industry|PM25|Infant mortality", US_national_yearly!$D:$AM, 26, FALSE) / VLOOKUP("industry|PM25|Infant mortality", US_national_yearly!$D:$AM, 10, FALSE), 1)</f>
        <v>9.3657206525824801E-7</v>
      </c>
      <c r="S3" s="7">
        <f>$B3 * IFERROR(VLOOKUP("industry|PM25|Infant mortality", US_national_yearly!$D:$AM, 27, FALSE) / VLOOKUP("industry|PM25|Infant mortality", US_national_yearly!$D:$AM, 10, FALSE), 1)</f>
        <v>9.3139767094197254E-7</v>
      </c>
      <c r="T3" s="7">
        <f>$B3 * IFERROR(VLOOKUP("industry|PM25|Infant mortality", US_national_yearly!$D:$AM, 28, FALSE) / VLOOKUP("industry|PM25|Infant mortality", US_national_yearly!$D:$AM, 10, FALSE), 1)</f>
        <v>9.2622327662569727E-7</v>
      </c>
      <c r="U3" s="7">
        <f>$B3 * IFERROR(VLOOKUP("industry|PM25|Infant mortality", US_national_yearly!$D:$AM, 29, FALSE) / VLOOKUP("industry|PM25|Infant mortality", US_national_yearly!$D:$AM, 10, FALSE), 1)</f>
        <v>9.210488823094219E-7</v>
      </c>
      <c r="V3" s="7">
        <f>$B3 * IFERROR(VLOOKUP("industry|PM25|Infant mortality", US_national_yearly!$D:$AM, 30, FALSE) / VLOOKUP("industry|PM25|Infant mortality", US_national_yearly!$D:$AM, 10, FALSE), 1)</f>
        <v>9.1587448799314664E-7</v>
      </c>
      <c r="W3" s="7">
        <f>$B3 * IFERROR(VLOOKUP("industry|PM25|Infant mortality", US_national_yearly!$D:$AM, 31, FALSE) / VLOOKUP("industry|PM25|Infant mortality", US_national_yearly!$D:$AM, 10, FALSE), 1)</f>
        <v>9.1070009367687148E-7</v>
      </c>
      <c r="X3" s="7">
        <f>$B3 * IFERROR(VLOOKUP("industry|PM25|Infant mortality", US_national_yearly!$D:$AM, 32, FALSE) / VLOOKUP("industry|PM25|Infant mortality", US_national_yearly!$D:$AM, 10, FALSE), 1)</f>
        <v>9.0517060498036188E-7</v>
      </c>
      <c r="Y3" s="7">
        <f>$B3 * IFERROR(VLOOKUP("industry|PM25|Infant mortality", US_national_yearly!$D:$AM, 33, FALSE) / VLOOKUP("industry|PM25|Infant mortality", US_national_yearly!$D:$AM, 10, FALSE), 1)</f>
        <v>8.9964111628385228E-7</v>
      </c>
      <c r="Z3" s="7">
        <f>$B3 * IFERROR(VLOOKUP("industry|PM25|Infant mortality", US_national_yearly!$D:$AM, 34, FALSE) / VLOOKUP("industry|PM25|Infant mortality", US_national_yearly!$D:$AM, 10, FALSE), 1)</f>
        <v>8.9411162758734268E-7</v>
      </c>
      <c r="AA3" s="7">
        <f>$B3 * IFERROR(VLOOKUP("industry|PM25|Infant mortality", US_national_yearly!$D:$AM, 35, FALSE) / VLOOKUP("industry|PM25|Infant mortality", US_national_yearly!$D:$AM, 10, FALSE), 1)</f>
        <v>8.8858213889083319E-7</v>
      </c>
      <c r="AB3" s="7">
        <f>$B3 * IFERROR(VLOOKUP("industry|PM25|Infant mortality", US_national_yearly!$D:$AM, 36, FALSE) / VLOOKUP("industry|PM25|Infant mortality", US_national_yearly!$D:$AM, 10, FALSE), 1)</f>
        <v>8.8305265019432359E-7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3.1717356488334654E-3</v>
      </c>
      <c r="C6" s="7">
        <f>$B6 * IFERROR(VLOOKUP("industry|PM25|Asthma symptoms cough", US_national_yearly!$D:$AM, 11, FALSE) / VLOOKUP("industry|PM25|Asthma symptoms cough", US_national_yearly!$D:$AM, 10, FALSE), 1)</f>
        <v>3.1717356488334654E-3</v>
      </c>
      <c r="D6" s="7">
        <f>$B6 * IFERROR(VLOOKUP("industry|PM25|Asthma symptoms cough", US_national_yearly!$D:$AM, 12, FALSE) / VLOOKUP("industry|PM25|Asthma symptoms cough", US_national_yearly!$D:$AM, 10, FALSE), 1)</f>
        <v>3.1717356488334654E-3</v>
      </c>
      <c r="E6" s="7">
        <f>$B6 * IFERROR(VLOOKUP("industry|PM25|Asthma symptoms cough", US_national_yearly!$D:$AM, 13, FALSE) / VLOOKUP("industry|PM25|Asthma symptoms cough", US_national_yearly!$D:$AM, 10, FALSE), 1)</f>
        <v>3.1717356488334654E-3</v>
      </c>
      <c r="F6" s="7">
        <f>$B6 * IFERROR(VLOOKUP("industry|PM25|Asthma symptoms cough", US_national_yearly!$D:$AM, 14, FALSE) / VLOOKUP("industry|PM25|Asthma symptoms cough", US_national_yearly!$D:$AM, 10, FALSE), 1)</f>
        <v>3.1717356488334654E-3</v>
      </c>
      <c r="G6" s="7">
        <f>$B6 * IFERROR(VLOOKUP("industry|PM25|Asthma symptoms cough", US_national_yearly!$D:$AM, 15, FALSE) / VLOOKUP("industry|PM25|Asthma symptoms cough", US_national_yearly!$D:$AM, 10, FALSE), 1)</f>
        <v>3.1717356488334654E-3</v>
      </c>
      <c r="H6" s="7">
        <f>$B6 * IFERROR(VLOOKUP("industry|PM25|Asthma symptoms cough", US_national_yearly!$D:$AM, 16, FALSE) / VLOOKUP("industry|PM25|Asthma symptoms cough", US_national_yearly!$D:$AM, 10, FALSE), 1)</f>
        <v>3.1717356488334654E-3</v>
      </c>
      <c r="I6" s="7">
        <f>$B6 * IFERROR(VLOOKUP("industry|PM25|Asthma symptoms cough", US_national_yearly!$D:$AM, 17, FALSE) / VLOOKUP("industry|PM25|Asthma symptoms cough", US_national_yearly!$D:$AM, 10, FALSE), 1)</f>
        <v>3.1717356488334654E-3</v>
      </c>
      <c r="J6" s="7">
        <f>$B6 * IFERROR(VLOOKUP("industry|PM25|Asthma symptoms cough", US_national_yearly!$D:$AM, 18, FALSE) / VLOOKUP("industry|PM25|Asthma symptoms cough", US_national_yearly!$D:$AM, 10, FALSE), 1)</f>
        <v>3.1717356488334654E-3</v>
      </c>
      <c r="K6" s="7">
        <f>$B6 * IFERROR(VLOOKUP("industry|PM25|Asthma symptoms cough", US_national_yearly!$D:$AM, 19, FALSE) / VLOOKUP("industry|PM25|Asthma symptoms cough", US_national_yearly!$D:$AM, 10, FALSE), 1)</f>
        <v>3.1717356488334654E-3</v>
      </c>
      <c r="L6" s="7">
        <f>$B6 * IFERROR(VLOOKUP("industry|PM25|Asthma symptoms cough", US_national_yearly!$D:$AM, 20, FALSE) / VLOOKUP("industry|PM25|Asthma symptoms cough", US_national_yearly!$D:$AM, 10, FALSE), 1)</f>
        <v>3.1717356488334654E-3</v>
      </c>
      <c r="M6" s="7">
        <f>$B6 * IFERROR(VLOOKUP("industry|PM25|Asthma symptoms cough", US_national_yearly!$D:$AM, 21, FALSE) / VLOOKUP("industry|PM25|Asthma symptoms cough", US_national_yearly!$D:$AM, 10, FALSE), 1)</f>
        <v>3.1717356488334654E-3</v>
      </c>
      <c r="N6" s="7">
        <f>$B6 * IFERROR(VLOOKUP("industry|PM25|Asthma symptoms cough", US_national_yearly!$D:$AM, 22, FALSE) / VLOOKUP("industry|PM25|Asthma symptoms cough", US_national_yearly!$D:$AM, 10, FALSE), 1)</f>
        <v>3.1717356488334654E-3</v>
      </c>
      <c r="O6" s="7">
        <f>$B6 * IFERROR(VLOOKUP("industry|PM25|Asthma symptoms cough", US_national_yearly!$D:$AM, 23, FALSE) / VLOOKUP("industry|PM25|Asthma symptoms cough", US_national_yearly!$D:$AM, 10, FALSE), 1)</f>
        <v>3.1717356488334654E-3</v>
      </c>
      <c r="P6" s="7">
        <f>$B6 * IFERROR(VLOOKUP("industry|PM25|Asthma symptoms cough", US_national_yearly!$D:$AM, 24, FALSE) / VLOOKUP("industry|PM25|Asthma symptoms cough", US_national_yearly!$D:$AM, 10, FALSE), 1)</f>
        <v>3.1717356488334654E-3</v>
      </c>
      <c r="Q6" s="7">
        <f>$B6 * IFERROR(VLOOKUP("industry|PM25|Asthma symptoms cough", US_national_yearly!$D:$AM, 25, FALSE) / VLOOKUP("industry|PM25|Asthma symptoms cough", US_national_yearly!$D:$AM, 10, FALSE), 1)</f>
        <v>3.1717356488334654E-3</v>
      </c>
      <c r="R6" s="7">
        <f>$B6 * IFERROR(VLOOKUP("industry|PM25|Asthma symptoms cough", US_national_yearly!$D:$AM, 26, FALSE) / VLOOKUP("industry|PM25|Asthma symptoms cough", US_national_yearly!$D:$AM, 10, FALSE), 1)</f>
        <v>3.1717356488334654E-3</v>
      </c>
      <c r="S6" s="7">
        <f>$B6 * IFERROR(VLOOKUP("industry|PM25|Asthma symptoms cough", US_national_yearly!$D:$AM, 27, FALSE) / VLOOKUP("industry|PM25|Asthma symptoms cough", US_national_yearly!$D:$AM, 10, FALSE), 1)</f>
        <v>3.1717356488334654E-3</v>
      </c>
      <c r="T6" s="7">
        <f>$B6 * IFERROR(VLOOKUP("industry|PM25|Asthma symptoms cough", US_national_yearly!$D:$AM, 28, FALSE) / VLOOKUP("industry|PM25|Asthma symptoms cough", US_national_yearly!$D:$AM, 10, FALSE), 1)</f>
        <v>3.1717356488334654E-3</v>
      </c>
      <c r="U6" s="7">
        <f>$B6 * IFERROR(VLOOKUP("industry|PM25|Asthma symptoms cough", US_national_yearly!$D:$AM, 29, FALSE) / VLOOKUP("industry|PM25|Asthma symptoms cough", US_national_yearly!$D:$AM, 10, FALSE), 1)</f>
        <v>3.1717356488334654E-3</v>
      </c>
      <c r="V6" s="7">
        <f>$B6 * IFERROR(VLOOKUP("industry|PM25|Asthma symptoms cough", US_national_yearly!$D:$AM, 30, FALSE) / VLOOKUP("industry|PM25|Asthma symptoms cough", US_national_yearly!$D:$AM, 10, FALSE), 1)</f>
        <v>3.1717356488334654E-3</v>
      </c>
      <c r="W6" s="7">
        <f>$B6 * IFERROR(VLOOKUP("industry|PM25|Asthma symptoms cough", US_national_yearly!$D:$AM, 31, FALSE) / VLOOKUP("industry|PM25|Asthma symptoms cough", US_national_yearly!$D:$AM, 10, FALSE), 1)</f>
        <v>3.1717356488334654E-3</v>
      </c>
      <c r="X6" s="7">
        <f>$B6 * IFERROR(VLOOKUP("industry|PM25|Asthma symptoms cough", US_national_yearly!$D:$AM, 32, FALSE) / VLOOKUP("industry|PM25|Asthma symptoms cough", US_national_yearly!$D:$AM, 10, FALSE), 1)</f>
        <v>3.1717356488334654E-3</v>
      </c>
      <c r="Y6" s="7">
        <f>$B6 * IFERROR(VLOOKUP("industry|PM25|Asthma symptoms cough", US_national_yearly!$D:$AM, 33, FALSE) / VLOOKUP("industry|PM25|Asthma symptoms cough", US_national_yearly!$D:$AM, 10, FALSE), 1)</f>
        <v>3.1717356488334654E-3</v>
      </c>
      <c r="Z6" s="7">
        <f>$B6 * IFERROR(VLOOKUP("industry|PM25|Asthma symptoms cough", US_national_yearly!$D:$AM, 34, FALSE) / VLOOKUP("industry|PM25|Asthma symptoms cough", US_national_yearly!$D:$AM, 10, FALSE), 1)</f>
        <v>3.1717356488334654E-3</v>
      </c>
      <c r="AA6" s="7">
        <f>$B6 * IFERROR(VLOOKUP("industry|PM25|Asthma symptoms cough", US_national_yearly!$D:$AM, 35, FALSE) / VLOOKUP("industry|PM25|Asthma symptoms cough", US_national_yearly!$D:$AM, 10, FALSE), 1)</f>
        <v>3.1717356488334654E-3</v>
      </c>
      <c r="AB6" s="7">
        <f>$B6 * IFERROR(VLOOKUP("industry|PM25|Asthma symptoms cough", US_national_yearly!$D:$AM, 36, FALSE) / VLOOKUP("industry|PM25|Asthma symptoms cough", US_national_yearly!$D:$AM, 10, FALSE), 1)</f>
        <v>3.1717356488334654E-3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4.2711678423036714E-3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4.2711678423036714E-3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4.2711678423036714E-3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4.2711678423036714E-3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4.2711678423036714E-3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4.2711678423036714E-3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4.2711678423036714E-3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4.2711678423036714E-3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4.2711678423036714E-3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4.2711678423036714E-3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4.2711678423036714E-3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4.2711678423036714E-3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4.2711678423036714E-3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4.2711678423036714E-3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4.2711678423036714E-3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4.2711678423036714E-3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4.2711678423036714E-3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4.2711678423036714E-3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4.2711678423036714E-3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4.2711678423036714E-3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4.2711678423036714E-3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4.2711678423036714E-3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4.2711678423036714E-3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4.2711678423036714E-3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4.2711678423036714E-3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4.2711678423036714E-3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4.2711678423036714E-3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6.5257434353594469E-3</v>
      </c>
      <c r="C8" s="7">
        <f>$B8 * IFERROR(VLOOKUP("industry|PM25|Asthma symptoms wheeze", US_national_yearly!$D:$AM, 11, FALSE) / VLOOKUP("industry|PM25|Asthma symptoms wheeze", US_national_yearly!$D:$AM, 10, FALSE), 1)</f>
        <v>6.5257434353594469E-3</v>
      </c>
      <c r="D8" s="7">
        <f>$B8 * IFERROR(VLOOKUP("industry|PM25|Asthma symptoms wheeze", US_national_yearly!$D:$AM, 12, FALSE) / VLOOKUP("industry|PM25|Asthma symptoms wheeze", US_national_yearly!$D:$AM, 10, FALSE), 1)</f>
        <v>6.5257434353594469E-3</v>
      </c>
      <c r="E8" s="7">
        <f>$B8 * IFERROR(VLOOKUP("industry|PM25|Asthma symptoms wheeze", US_national_yearly!$D:$AM, 13, FALSE) / VLOOKUP("industry|PM25|Asthma symptoms wheeze", US_national_yearly!$D:$AM, 10, FALSE), 1)</f>
        <v>6.5257434353594469E-3</v>
      </c>
      <c r="F8" s="7">
        <f>$B8 * IFERROR(VLOOKUP("industry|PM25|Asthma symptoms wheeze", US_national_yearly!$D:$AM, 14, FALSE) / VLOOKUP("industry|PM25|Asthma symptoms wheeze", US_national_yearly!$D:$AM, 10, FALSE), 1)</f>
        <v>6.5257434353594469E-3</v>
      </c>
      <c r="G8" s="7">
        <f>$B8 * IFERROR(VLOOKUP("industry|PM25|Asthma symptoms wheeze", US_national_yearly!$D:$AM, 15, FALSE) / VLOOKUP("industry|PM25|Asthma symptoms wheeze", US_national_yearly!$D:$AM, 10, FALSE), 1)</f>
        <v>6.5257434353594469E-3</v>
      </c>
      <c r="H8" s="7">
        <f>$B8 * IFERROR(VLOOKUP("industry|PM25|Asthma symptoms wheeze", US_national_yearly!$D:$AM, 16, FALSE) / VLOOKUP("industry|PM25|Asthma symptoms wheeze", US_national_yearly!$D:$AM, 10, FALSE), 1)</f>
        <v>6.5257434353594469E-3</v>
      </c>
      <c r="I8" s="7">
        <f>$B8 * IFERROR(VLOOKUP("industry|PM25|Asthma symptoms wheeze", US_national_yearly!$D:$AM, 17, FALSE) / VLOOKUP("industry|PM25|Asthma symptoms wheeze", US_national_yearly!$D:$AM, 10, FALSE), 1)</f>
        <v>6.5257434353594469E-3</v>
      </c>
      <c r="J8" s="7">
        <f>$B8 * IFERROR(VLOOKUP("industry|PM25|Asthma symptoms wheeze", US_national_yearly!$D:$AM, 18, FALSE) / VLOOKUP("industry|PM25|Asthma symptoms wheeze", US_national_yearly!$D:$AM, 10, FALSE), 1)</f>
        <v>6.5257434353594469E-3</v>
      </c>
      <c r="K8" s="7">
        <f>$B8 * IFERROR(VLOOKUP("industry|PM25|Asthma symptoms wheeze", US_national_yearly!$D:$AM, 19, FALSE) / VLOOKUP("industry|PM25|Asthma symptoms wheeze", US_national_yearly!$D:$AM, 10, FALSE), 1)</f>
        <v>6.5257434353594469E-3</v>
      </c>
      <c r="L8" s="7">
        <f>$B8 * IFERROR(VLOOKUP("industry|PM25|Asthma symptoms wheeze", US_national_yearly!$D:$AM, 20, FALSE) / VLOOKUP("industry|PM25|Asthma symptoms wheeze", US_national_yearly!$D:$AM, 10, FALSE), 1)</f>
        <v>6.5257434353594469E-3</v>
      </c>
      <c r="M8" s="7">
        <f>$B8 * IFERROR(VLOOKUP("industry|PM25|Asthma symptoms wheeze", US_national_yearly!$D:$AM, 21, FALSE) / VLOOKUP("industry|PM25|Asthma symptoms wheeze", US_national_yearly!$D:$AM, 10, FALSE), 1)</f>
        <v>6.5257434353594469E-3</v>
      </c>
      <c r="N8" s="7">
        <f>$B8 * IFERROR(VLOOKUP("industry|PM25|Asthma symptoms wheeze", US_national_yearly!$D:$AM, 22, FALSE) / VLOOKUP("industry|PM25|Asthma symptoms wheeze", US_national_yearly!$D:$AM, 10, FALSE), 1)</f>
        <v>6.5257434353594469E-3</v>
      </c>
      <c r="O8" s="7">
        <f>$B8 * IFERROR(VLOOKUP("industry|PM25|Asthma symptoms wheeze", US_national_yearly!$D:$AM, 23, FALSE) / VLOOKUP("industry|PM25|Asthma symptoms wheeze", US_national_yearly!$D:$AM, 10, FALSE), 1)</f>
        <v>6.5257434353594469E-3</v>
      </c>
      <c r="P8" s="7">
        <f>$B8 * IFERROR(VLOOKUP("industry|PM25|Asthma symptoms wheeze", US_national_yearly!$D:$AM, 24, FALSE) / VLOOKUP("industry|PM25|Asthma symptoms wheeze", US_national_yearly!$D:$AM, 10, FALSE), 1)</f>
        <v>6.5257434353594469E-3</v>
      </c>
      <c r="Q8" s="7">
        <f>$B8 * IFERROR(VLOOKUP("industry|PM25|Asthma symptoms wheeze", US_national_yearly!$D:$AM, 25, FALSE) / VLOOKUP("industry|PM25|Asthma symptoms wheeze", US_national_yearly!$D:$AM, 10, FALSE), 1)</f>
        <v>6.5257434353594469E-3</v>
      </c>
      <c r="R8" s="7">
        <f>$B8 * IFERROR(VLOOKUP("industry|PM25|Asthma symptoms wheeze", US_national_yearly!$D:$AM, 26, FALSE) / VLOOKUP("industry|PM25|Asthma symptoms wheeze", US_national_yearly!$D:$AM, 10, FALSE), 1)</f>
        <v>6.5257434353594469E-3</v>
      </c>
      <c r="S8" s="7">
        <f>$B8 * IFERROR(VLOOKUP("industry|PM25|Asthma symptoms wheeze", US_national_yearly!$D:$AM, 27, FALSE) / VLOOKUP("industry|PM25|Asthma symptoms wheeze", US_national_yearly!$D:$AM, 10, FALSE), 1)</f>
        <v>6.5257434353594469E-3</v>
      </c>
      <c r="T8" s="7">
        <f>$B8 * IFERROR(VLOOKUP("industry|PM25|Asthma symptoms wheeze", US_national_yearly!$D:$AM, 28, FALSE) / VLOOKUP("industry|PM25|Asthma symptoms wheeze", US_national_yearly!$D:$AM, 10, FALSE), 1)</f>
        <v>6.5257434353594469E-3</v>
      </c>
      <c r="U8" s="7">
        <f>$B8 * IFERROR(VLOOKUP("industry|PM25|Asthma symptoms wheeze", US_national_yearly!$D:$AM, 29, FALSE) / VLOOKUP("industry|PM25|Asthma symptoms wheeze", US_national_yearly!$D:$AM, 10, FALSE), 1)</f>
        <v>6.5257434353594469E-3</v>
      </c>
      <c r="V8" s="7">
        <f>$B8 * IFERROR(VLOOKUP("industry|PM25|Asthma symptoms wheeze", US_national_yearly!$D:$AM, 30, FALSE) / VLOOKUP("industry|PM25|Asthma symptoms wheeze", US_national_yearly!$D:$AM, 10, FALSE), 1)</f>
        <v>6.5257434353594469E-3</v>
      </c>
      <c r="W8" s="7">
        <f>$B8 * IFERROR(VLOOKUP("industry|PM25|Asthma symptoms wheeze", US_national_yearly!$D:$AM, 31, FALSE) / VLOOKUP("industry|PM25|Asthma symptoms wheeze", US_national_yearly!$D:$AM, 10, FALSE), 1)</f>
        <v>6.5257434353594469E-3</v>
      </c>
      <c r="X8" s="7">
        <f>$B8 * IFERROR(VLOOKUP("industry|PM25|Asthma symptoms wheeze", US_national_yearly!$D:$AM, 32, FALSE) / VLOOKUP("industry|PM25|Asthma symptoms wheeze", US_national_yearly!$D:$AM, 10, FALSE), 1)</f>
        <v>6.5257434353594469E-3</v>
      </c>
      <c r="Y8" s="7">
        <f>$B8 * IFERROR(VLOOKUP("industry|PM25|Asthma symptoms wheeze", US_national_yearly!$D:$AM, 33, FALSE) / VLOOKUP("industry|PM25|Asthma symptoms wheeze", US_national_yearly!$D:$AM, 10, FALSE), 1)</f>
        <v>6.5257434353594469E-3</v>
      </c>
      <c r="Z8" s="7">
        <f>$B8 * IFERROR(VLOOKUP("industry|PM25|Asthma symptoms wheeze", US_national_yearly!$D:$AM, 34, FALSE) / VLOOKUP("industry|PM25|Asthma symptoms wheeze", US_national_yearly!$D:$AM, 10, FALSE), 1)</f>
        <v>6.5257434353594469E-3</v>
      </c>
      <c r="AA8" s="7">
        <f>$B8 * IFERROR(VLOOKUP("industry|PM25|Asthma symptoms wheeze", US_national_yearly!$D:$AM, 35, FALSE) / VLOOKUP("industry|PM25|Asthma symptoms wheeze", US_national_yearly!$D:$AM, 10, FALSE), 1)</f>
        <v>6.5257434353594469E-3</v>
      </c>
      <c r="AB8" s="7">
        <f>$B8 * IFERROR(VLOOKUP("industry|PM25|Asthma symptoms wheeze", US_national_yearly!$D:$AM, 36, FALSE) / VLOOKUP("industry|PM25|Asthma symptoms wheeze", US_national_yearly!$D:$AM, 10, FALSE), 1)</f>
        <v>6.5257434353594469E-3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7.2839477037894008E-5</v>
      </c>
      <c r="C12" s="7">
        <f>$B12 * IFERROR(VLOOKUP("industry|PM25|Respiratory hospital admissions", US_national_yearly!$D:$AM, 11, FALSE) / VLOOKUP("industry|PM25|Respiratory hospital admissions", US_national_yearly!$D:$AM, 10, FALSE), 1)</f>
        <v>7.3253027805634217E-5</v>
      </c>
      <c r="D12" s="7">
        <f>$B12 * IFERROR(VLOOKUP("industry|PM25|Respiratory hospital admissions", US_national_yearly!$D:$AM, 12, FALSE) / VLOOKUP("industry|PM25|Respiratory hospital admissions", US_national_yearly!$D:$AM, 10, FALSE), 1)</f>
        <v>7.3666578573374414E-5</v>
      </c>
      <c r="E12" s="7">
        <f>$B12 * IFERROR(VLOOKUP("industry|PM25|Respiratory hospital admissions", US_national_yearly!$D:$AM, 13, FALSE) / VLOOKUP("industry|PM25|Respiratory hospital admissions", US_national_yearly!$D:$AM, 10, FALSE), 1)</f>
        <v>7.4080129341114623E-5</v>
      </c>
      <c r="F12" s="7">
        <f>$B12 * IFERROR(VLOOKUP("industry|PM25|Respiratory hospital admissions", US_national_yearly!$D:$AM, 14, FALSE) / VLOOKUP("industry|PM25|Respiratory hospital admissions", US_national_yearly!$D:$AM, 10, FALSE), 1)</f>
        <v>7.4493680108854833E-5</v>
      </c>
      <c r="G12" s="7">
        <f>$B12 * IFERROR(VLOOKUP("industry|PM25|Respiratory hospital admissions", US_national_yearly!$D:$AM, 15, FALSE) / VLOOKUP("industry|PM25|Respiratory hospital admissions", US_national_yearly!$D:$AM, 10, FALSE), 1)</f>
        <v>7.4940806493457382E-5</v>
      </c>
      <c r="H12" s="7">
        <f>$B12 * IFERROR(VLOOKUP("industry|PM25|Respiratory hospital admissions", US_national_yearly!$D:$AM, 16, FALSE) / VLOOKUP("industry|PM25|Respiratory hospital admissions", US_national_yearly!$D:$AM, 10, FALSE), 1)</f>
        <v>7.5387932878059945E-5</v>
      </c>
      <c r="I12" s="7">
        <f>$B12 * IFERROR(VLOOKUP("industry|PM25|Respiratory hospital admissions", US_national_yearly!$D:$AM, 17, FALSE) / VLOOKUP("industry|PM25|Respiratory hospital admissions", US_national_yearly!$D:$AM, 10, FALSE), 1)</f>
        <v>7.5812088505238618E-5</v>
      </c>
      <c r="J12" s="7">
        <f>$B12 * IFERROR(VLOOKUP("industry|PM25|Respiratory hospital admissions", US_national_yearly!$D:$AM, 18, FALSE) / VLOOKUP("industry|PM25|Respiratory hospital admissions", US_national_yearly!$D:$AM, 10, FALSE), 1)</f>
        <v>7.6236244132417292E-5</v>
      </c>
      <c r="K12" s="7">
        <f>$B12 * IFERROR(VLOOKUP("industry|PM25|Respiratory hospital admissions", US_national_yearly!$D:$AM, 19, FALSE) / VLOOKUP("industry|PM25|Respiratory hospital admissions", US_national_yearly!$D:$AM, 10, FALSE), 1)</f>
        <v>7.6660399759595951E-5</v>
      </c>
      <c r="L12" s="7">
        <f>$B12 * IFERROR(VLOOKUP("industry|PM25|Respiratory hospital admissions", US_national_yearly!$D:$AM, 20, FALSE) / VLOOKUP("industry|PM25|Respiratory hospital admissions", US_national_yearly!$D:$AM, 10, FALSE), 1)</f>
        <v>7.7084555386774625E-5</v>
      </c>
      <c r="M12" s="7">
        <f>$B12 * IFERROR(VLOOKUP("industry|PM25|Respiratory hospital admissions", US_national_yearly!$D:$AM, 21, FALSE) / VLOOKUP("industry|PM25|Respiratory hospital admissions", US_national_yearly!$D:$AM, 10, FALSE), 1)</f>
        <v>7.7508711013953298E-5</v>
      </c>
      <c r="N12" s="7">
        <f>$B12 * IFERROR(VLOOKUP("industry|PM25|Respiratory hospital admissions", US_national_yearly!$D:$AM, 22, FALSE) / VLOOKUP("industry|PM25|Respiratory hospital admissions", US_national_yearly!$D:$AM, 10, FALSE), 1)</f>
        <v>7.7808704407448005E-5</v>
      </c>
      <c r="O12" s="7">
        <f>$B12 * IFERROR(VLOOKUP("industry|PM25|Respiratory hospital admissions", US_national_yearly!$D:$AM, 23, FALSE) / VLOOKUP("industry|PM25|Respiratory hospital admissions", US_national_yearly!$D:$AM, 10, FALSE), 1)</f>
        <v>7.8108697800942684E-5</v>
      </c>
      <c r="P12" s="7">
        <f>$B12 * IFERROR(VLOOKUP("industry|PM25|Respiratory hospital admissions", US_national_yearly!$D:$AM, 24, FALSE) / VLOOKUP("industry|PM25|Respiratory hospital admissions", US_national_yearly!$D:$AM, 10, FALSE), 1)</f>
        <v>7.8408691194437378E-5</v>
      </c>
      <c r="Q12" s="7">
        <f>$B12 * IFERROR(VLOOKUP("industry|PM25|Respiratory hospital admissions", US_national_yearly!$D:$AM, 25, FALSE) / VLOOKUP("industry|PM25|Respiratory hospital admissions", US_national_yearly!$D:$AM, 10, FALSE), 1)</f>
        <v>7.8708684587932057E-5</v>
      </c>
      <c r="R12" s="7">
        <f>$B12 * IFERROR(VLOOKUP("industry|PM25|Respiratory hospital admissions", US_national_yearly!$D:$AM, 26, FALSE) / VLOOKUP("industry|PM25|Respiratory hospital admissions", US_national_yearly!$D:$AM, 10, FALSE), 1)</f>
        <v>7.9008677981426751E-5</v>
      </c>
      <c r="S12" s="7">
        <f>$B12 * IFERROR(VLOOKUP("industry|PM25|Respiratory hospital admissions", US_national_yearly!$D:$AM, 27, FALSE) / VLOOKUP("industry|PM25|Respiratory hospital admissions", US_national_yearly!$D:$AM, 10, FALSE), 1)</f>
        <v>7.9291624789551134E-5</v>
      </c>
      <c r="T12" s="7">
        <f>$B12 * IFERROR(VLOOKUP("industry|PM25|Respiratory hospital admissions", US_national_yearly!$D:$AM, 28, FALSE) / VLOOKUP("industry|PM25|Respiratory hospital admissions", US_national_yearly!$D:$AM, 10, FALSE), 1)</f>
        <v>7.9574571597675503E-5</v>
      </c>
      <c r="U12" s="7">
        <f>$B12 * IFERROR(VLOOKUP("industry|PM25|Respiratory hospital admissions", US_national_yearly!$D:$AM, 29, FALSE) / VLOOKUP("industry|PM25|Respiratory hospital admissions", US_national_yearly!$D:$AM, 10, FALSE), 1)</f>
        <v>7.98575184057999E-5</v>
      </c>
      <c r="V12" s="7">
        <f>$B12 * IFERROR(VLOOKUP("industry|PM25|Respiratory hospital admissions", US_national_yearly!$D:$AM, 30, FALSE) / VLOOKUP("industry|PM25|Respiratory hospital admissions", US_national_yearly!$D:$AM, 10, FALSE), 1)</f>
        <v>8.014046521392427E-5</v>
      </c>
      <c r="W12" s="7">
        <f>$B12 * IFERROR(VLOOKUP("industry|PM25|Respiratory hospital admissions", US_national_yearly!$D:$AM, 31, FALSE) / VLOOKUP("industry|PM25|Respiratory hospital admissions", US_national_yearly!$D:$AM, 10, FALSE), 1)</f>
        <v>8.0423412022048653E-5</v>
      </c>
      <c r="X12" s="7">
        <f>$B12 * IFERROR(VLOOKUP("industry|PM25|Respiratory hospital admissions", US_national_yearly!$D:$AM, 32, FALSE) / VLOOKUP("industry|PM25|Respiratory hospital admissions", US_national_yearly!$D:$AM, 10, FALSE), 1)</f>
        <v>8.0695848661698898E-5</v>
      </c>
      <c r="Y12" s="7">
        <f>$B12 * IFERROR(VLOOKUP("industry|PM25|Respiratory hospital admissions", US_national_yearly!$D:$AM, 33, FALSE) / VLOOKUP("industry|PM25|Respiratory hospital admissions", US_national_yearly!$D:$AM, 10, FALSE), 1)</f>
        <v>8.0968285301349143E-5</v>
      </c>
      <c r="Z12" s="7">
        <f>$B12 * IFERROR(VLOOKUP("industry|PM25|Respiratory hospital admissions", US_national_yearly!$D:$AM, 34, FALSE) / VLOOKUP("industry|PM25|Respiratory hospital admissions", US_national_yearly!$D:$AM, 10, FALSE), 1)</f>
        <v>8.1240721940999401E-5</v>
      </c>
      <c r="AA12" s="7">
        <f>$B12 * IFERROR(VLOOKUP("industry|PM25|Respiratory hospital admissions", US_national_yearly!$D:$AM, 35, FALSE) / VLOOKUP("industry|PM25|Respiratory hospital admissions", US_national_yearly!$D:$AM, 10, FALSE), 1)</f>
        <v>8.1513158580649646E-5</v>
      </c>
      <c r="AB12" s="7">
        <f>$B12 * IFERROR(VLOOKUP("industry|PM25|Respiratory hospital admissions", US_national_yearly!$D:$AM, 36, FALSE) / VLOOKUP("industry|PM25|Respiratory hospital admissions", US_national_yearly!$D:$AM, 10, FALSE), 1)</f>
        <v>8.1785595220299891E-5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7.653764382154494E-4</v>
      </c>
      <c r="C13" s="7">
        <f>$B13 * IFERROR(VLOOKUP("industry|PM25|Non-fatal heart attacks", US_national_yearly!$D:$AM, 11, FALSE) / VLOOKUP("industry|PM25|Non-fatal heart attacks", US_national_yearly!$D:$AM, 10, FALSE), 1)</f>
        <v>7.8765674701812831E-4</v>
      </c>
      <c r="D13" s="7">
        <f>$B13 * IFERROR(VLOOKUP("industry|PM25|Non-fatal heart attacks", US_national_yearly!$D:$AM, 12, FALSE) / VLOOKUP("industry|PM25|Non-fatal heart attacks", US_national_yearly!$D:$AM, 10, FALSE), 1)</f>
        <v>8.0993705582080712E-4</v>
      </c>
      <c r="E13" s="7">
        <f>$B13 * IFERROR(VLOOKUP("industry|PM25|Non-fatal heart attacks", US_national_yearly!$D:$AM, 13, FALSE) / VLOOKUP("industry|PM25|Non-fatal heart attacks", US_national_yearly!$D:$AM, 10, FALSE), 1)</f>
        <v>8.3221736462348614E-4</v>
      </c>
      <c r="F13" s="7">
        <f>$B13 * IFERROR(VLOOKUP("industry|PM25|Non-fatal heart attacks", US_national_yearly!$D:$AM, 14, FALSE) / VLOOKUP("industry|PM25|Non-fatal heart attacks", US_national_yearly!$D:$AM, 10, FALSE), 1)</f>
        <v>8.5449767342616505E-4</v>
      </c>
      <c r="G13" s="7">
        <f>$B13 * IFERROR(VLOOKUP("industry|PM25|Non-fatal heart attacks", US_national_yearly!$D:$AM, 15, FALSE) / VLOOKUP("industry|PM25|Non-fatal heart attacks", US_national_yearly!$D:$AM, 10, FALSE), 1)</f>
        <v>8.7553185153633323E-4</v>
      </c>
      <c r="H13" s="7">
        <f>$B13 * IFERROR(VLOOKUP("industry|PM25|Non-fatal heart attacks", US_national_yearly!$D:$AM, 16, FALSE) / VLOOKUP("industry|PM25|Non-fatal heart attacks", US_national_yearly!$D:$AM, 10, FALSE), 1)</f>
        <v>8.9656602964650162E-4</v>
      </c>
      <c r="I13" s="7">
        <f>$B13 * IFERROR(VLOOKUP("industry|PM25|Non-fatal heart attacks", US_national_yearly!$D:$AM, 17, FALSE) / VLOOKUP("industry|PM25|Non-fatal heart attacks", US_national_yearly!$D:$AM, 10, FALSE), 1)</f>
        <v>9.135513227259849E-4</v>
      </c>
      <c r="J13" s="7">
        <f>$B13 * IFERROR(VLOOKUP("industry|PM25|Non-fatal heart attacks", US_national_yearly!$D:$AM, 18, FALSE) / VLOOKUP("industry|PM25|Non-fatal heart attacks", US_national_yearly!$D:$AM, 10, FALSE), 1)</f>
        <v>9.3053661580546796E-4</v>
      </c>
      <c r="K13" s="7">
        <f>$B13 * IFERROR(VLOOKUP("industry|PM25|Non-fatal heart attacks", US_national_yearly!$D:$AM, 19, FALSE) / VLOOKUP("industry|PM25|Non-fatal heart attacks", US_national_yearly!$D:$AM, 10, FALSE), 1)</f>
        <v>9.4752190888495102E-4</v>
      </c>
      <c r="L13" s="7">
        <f>$B13 * IFERROR(VLOOKUP("industry|PM25|Non-fatal heart attacks", US_national_yearly!$D:$AM, 20, FALSE) / VLOOKUP("industry|PM25|Non-fatal heart attacks", US_national_yearly!$D:$AM, 10, FALSE), 1)</f>
        <v>9.6450720196443408E-4</v>
      </c>
      <c r="M13" s="7">
        <f>$B13 * IFERROR(VLOOKUP("industry|PM25|Non-fatal heart attacks", US_national_yearly!$D:$AM, 21, FALSE) / VLOOKUP("industry|PM25|Non-fatal heart attacks", US_national_yearly!$D:$AM, 10, FALSE), 1)</f>
        <v>9.8149249504391714E-4</v>
      </c>
      <c r="N13" s="7">
        <f>$B13 * IFERROR(VLOOKUP("industry|PM25|Non-fatal heart attacks", US_national_yearly!$D:$AM, 22, FALSE) / VLOOKUP("industry|PM25|Non-fatal heart attacks", US_national_yearly!$D:$AM, 10, FALSE), 1)</f>
        <v>9.9247443294650365E-4</v>
      </c>
      <c r="O13" s="7">
        <f>$B13 * IFERROR(VLOOKUP("industry|PM25|Non-fatal heart attacks", US_national_yearly!$D:$AM, 23, FALSE) / VLOOKUP("industry|PM25|Non-fatal heart attacks", US_national_yearly!$D:$AM, 10, FALSE), 1)</f>
        <v>1.0034563708490899E-3</v>
      </c>
      <c r="P13" s="7">
        <f>$B13 * IFERROR(VLOOKUP("industry|PM25|Non-fatal heart attacks", US_national_yearly!$D:$AM, 24, FALSE) / VLOOKUP("industry|PM25|Non-fatal heart attacks", US_national_yearly!$D:$AM, 10, FALSE), 1)</f>
        <v>1.0144383087516765E-3</v>
      </c>
      <c r="Q13" s="7">
        <f>$B13 * IFERROR(VLOOKUP("industry|PM25|Non-fatal heart attacks", US_national_yearly!$D:$AM, 25, FALSE) / VLOOKUP("industry|PM25|Non-fatal heart attacks", US_national_yearly!$D:$AM, 10, FALSE), 1)</f>
        <v>1.0254202466542627E-3</v>
      </c>
      <c r="R13" s="7">
        <f>$B13 * IFERROR(VLOOKUP("industry|PM25|Non-fatal heart attacks", US_national_yearly!$D:$AM, 26, FALSE) / VLOOKUP("industry|PM25|Non-fatal heart attacks", US_national_yearly!$D:$AM, 10, FALSE), 1)</f>
        <v>1.0364021845568493E-3</v>
      </c>
      <c r="S13" s="7">
        <f>$B13 * IFERROR(VLOOKUP("industry|PM25|Non-fatal heart attacks", US_national_yearly!$D:$AM, 27, FALSE) / VLOOKUP("industry|PM25|Non-fatal heart attacks", US_national_yearly!$D:$AM, 10, FALSE), 1)</f>
        <v>1.0422676792083137E-3</v>
      </c>
      <c r="T13" s="7">
        <f>$B13 * IFERROR(VLOOKUP("industry|PM25|Non-fatal heart attacks", US_national_yearly!$D:$AM, 28, FALSE) / VLOOKUP("industry|PM25|Non-fatal heart attacks", US_national_yearly!$D:$AM, 10, FALSE), 1)</f>
        <v>1.0481331738597783E-3</v>
      </c>
      <c r="U13" s="7">
        <f>$B13 * IFERROR(VLOOKUP("industry|PM25|Non-fatal heart attacks", US_national_yearly!$D:$AM, 29, FALSE) / VLOOKUP("industry|PM25|Non-fatal heart attacks", US_national_yearly!$D:$AM, 10, FALSE), 1)</f>
        <v>1.0539986685112429E-3</v>
      </c>
      <c r="V13" s="7">
        <f>$B13 * IFERROR(VLOOKUP("industry|PM25|Non-fatal heart attacks", US_national_yearly!$D:$AM, 30, FALSE) / VLOOKUP("industry|PM25|Non-fatal heart attacks", US_national_yearly!$D:$AM, 10, FALSE), 1)</f>
        <v>1.0598641631627073E-3</v>
      </c>
      <c r="W13" s="7">
        <f>$B13 * IFERROR(VLOOKUP("industry|PM25|Non-fatal heart attacks", US_national_yearly!$D:$AM, 31, FALSE) / VLOOKUP("industry|PM25|Non-fatal heart attacks", US_national_yearly!$D:$AM, 10, FALSE), 1)</f>
        <v>1.0657296578141719E-3</v>
      </c>
      <c r="X13" s="7">
        <f>$B13 * IFERROR(VLOOKUP("industry|PM25|Non-fatal heart attacks", US_national_yearly!$D:$AM, 32, FALSE) / VLOOKUP("industry|PM25|Non-fatal heart attacks", US_national_yearly!$D:$AM, 10, FALSE), 1)</f>
        <v>1.070256608735028E-3</v>
      </c>
      <c r="Y13" s="7">
        <f>$B13 * IFERROR(VLOOKUP("industry|PM25|Non-fatal heart attacks", US_national_yearly!$D:$AM, 33, FALSE) / VLOOKUP("industry|PM25|Non-fatal heart attacks", US_national_yearly!$D:$AM, 10, FALSE), 1)</f>
        <v>1.0747835596558841E-3</v>
      </c>
      <c r="Z13" s="7">
        <f>$B13 * IFERROR(VLOOKUP("industry|PM25|Non-fatal heart attacks", US_national_yearly!$D:$AM, 34, FALSE) / VLOOKUP("industry|PM25|Non-fatal heart attacks", US_national_yearly!$D:$AM, 10, FALSE), 1)</f>
        <v>1.0793105105767402E-3</v>
      </c>
      <c r="AA13" s="7">
        <f>$B13 * IFERROR(VLOOKUP("industry|PM25|Non-fatal heart attacks", US_national_yearly!$D:$AM, 35, FALSE) / VLOOKUP("industry|PM25|Non-fatal heart attacks", US_national_yearly!$D:$AM, 10, FALSE), 1)</f>
        <v>1.0838374614975965E-3</v>
      </c>
      <c r="AB13" s="7">
        <f>$B13 * IFERROR(VLOOKUP("industry|PM25|Non-fatal heart attacks", US_national_yearly!$D:$AM, 36, FALSE) / VLOOKUP("industry|PM25|Non-fatal heart attacks", US_national_yearly!$D:$AM, 10, FALSE), 1)</f>
        <v>1.0883644124184526E-3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0.37465394346507008</v>
      </c>
      <c r="C14" s="7">
        <f>$B14 * IFERROR(VLOOKUP("industry|PM25|Minor restricted activity days", US_national_yearly!$D:$AM, 11, FALSE) / VLOOKUP("industry|PM25|Minor restricted activity days", US_national_yearly!$D:$AM, 10, FALSE), 1)</f>
        <v>0.37557153307367369</v>
      </c>
      <c r="D14" s="7">
        <f>$B14 * IFERROR(VLOOKUP("industry|PM25|Minor restricted activity days", US_national_yearly!$D:$AM, 12, FALSE) / VLOOKUP("industry|PM25|Minor restricted activity days", US_national_yearly!$D:$AM, 10, FALSE), 1)</f>
        <v>0.37648912268227741</v>
      </c>
      <c r="E14" s="7">
        <f>$B14 * IFERROR(VLOOKUP("industry|PM25|Minor restricted activity days", US_national_yearly!$D:$AM, 13, FALSE) / VLOOKUP("industry|PM25|Minor restricted activity days", US_national_yearly!$D:$AM, 10, FALSE), 1)</f>
        <v>0.37740671229088107</v>
      </c>
      <c r="F14" s="7">
        <f>$B14 * IFERROR(VLOOKUP("industry|PM25|Minor restricted activity days", US_national_yearly!$D:$AM, 14, FALSE) / VLOOKUP("industry|PM25|Minor restricted activity days", US_national_yearly!$D:$AM, 10, FALSE), 1)</f>
        <v>0.37832430189948468</v>
      </c>
      <c r="G14" s="7">
        <f>$B14 * IFERROR(VLOOKUP("industry|PM25|Minor restricted activity days", US_national_yearly!$D:$AM, 15, FALSE) / VLOOKUP("industry|PM25|Minor restricted activity days", US_national_yearly!$D:$AM, 10, FALSE), 1)</f>
        <v>0.37967117431029723</v>
      </c>
      <c r="H14" s="7">
        <f>$B14 * IFERROR(VLOOKUP("industry|PM25|Minor restricted activity days", US_national_yearly!$D:$AM, 16, FALSE) / VLOOKUP("industry|PM25|Minor restricted activity days", US_national_yearly!$D:$AM, 10, FALSE), 1)</f>
        <v>0.38101804672110967</v>
      </c>
      <c r="I14" s="7">
        <f>$B14 * IFERROR(VLOOKUP("industry|PM25|Minor restricted activity days", US_national_yearly!$D:$AM, 17, FALSE) / VLOOKUP("industry|PM25|Minor restricted activity days", US_national_yearly!$D:$AM, 10, FALSE), 1)</f>
        <v>0.38330603662926266</v>
      </c>
      <c r="J14" s="7">
        <f>$B14 * IFERROR(VLOOKUP("industry|PM25|Minor restricted activity days", US_national_yearly!$D:$AM, 18, FALSE) / VLOOKUP("industry|PM25|Minor restricted activity days", US_national_yearly!$D:$AM, 10, FALSE), 1)</f>
        <v>0.38559402653741576</v>
      </c>
      <c r="K14" s="7">
        <f>$B14 * IFERROR(VLOOKUP("industry|PM25|Minor restricted activity days", US_national_yearly!$D:$AM, 19, FALSE) / VLOOKUP("industry|PM25|Minor restricted activity days", US_national_yearly!$D:$AM, 10, FALSE), 1)</f>
        <v>0.38788201644556863</v>
      </c>
      <c r="L14" s="7">
        <f>$B14 * IFERROR(VLOOKUP("industry|PM25|Minor restricted activity days", US_national_yearly!$D:$AM, 20, FALSE) / VLOOKUP("industry|PM25|Minor restricted activity days", US_national_yearly!$D:$AM, 10, FALSE), 1)</f>
        <v>0.39017000635372162</v>
      </c>
      <c r="M14" s="7">
        <f>$B14 * IFERROR(VLOOKUP("industry|PM25|Minor restricted activity days", US_national_yearly!$D:$AM, 21, FALSE) / VLOOKUP("industry|PM25|Minor restricted activity days", US_national_yearly!$D:$AM, 10, FALSE), 1)</f>
        <v>0.39245799626187461</v>
      </c>
      <c r="N14" s="7">
        <f>$B14 * IFERROR(VLOOKUP("industry|PM25|Minor restricted activity days", US_national_yearly!$D:$AM, 22, FALSE) / VLOOKUP("industry|PM25|Minor restricted activity days", US_national_yearly!$D:$AM, 10, FALSE), 1)</f>
        <v>0.39558361639466333</v>
      </c>
      <c r="O14" s="7">
        <f>$B14 * IFERROR(VLOOKUP("industry|PM25|Minor restricted activity days", US_national_yearly!$D:$AM, 23, FALSE) / VLOOKUP("industry|PM25|Minor restricted activity days", US_national_yearly!$D:$AM, 10, FALSE), 1)</f>
        <v>0.39870923652745238</v>
      </c>
      <c r="P14" s="7">
        <f>$B14 * IFERROR(VLOOKUP("industry|PM25|Minor restricted activity days", US_national_yearly!$D:$AM, 24, FALSE) / VLOOKUP("industry|PM25|Minor restricted activity days", US_national_yearly!$D:$AM, 10, FALSE), 1)</f>
        <v>0.4018348566602411</v>
      </c>
      <c r="Q14" s="7">
        <f>$B14 * IFERROR(VLOOKUP("industry|PM25|Minor restricted activity days", US_national_yearly!$D:$AM, 25, FALSE) / VLOOKUP("industry|PM25|Minor restricted activity days", US_national_yearly!$D:$AM, 10, FALSE), 1)</f>
        <v>0.40496047679303027</v>
      </c>
      <c r="R14" s="7">
        <f>$B14 * IFERROR(VLOOKUP("industry|PM25|Minor restricted activity days", US_national_yearly!$D:$AM, 26, FALSE) / VLOOKUP("industry|PM25|Minor restricted activity days", US_national_yearly!$D:$AM, 10, FALSE), 1)</f>
        <v>0.40808609692581899</v>
      </c>
      <c r="S14" s="7">
        <f>$B14 * IFERROR(VLOOKUP("industry|PM25|Minor restricted activity days", US_national_yearly!$D:$AM, 27, FALSE) / VLOOKUP("industry|PM25|Minor restricted activity days", US_national_yearly!$D:$AM, 10, FALSE), 1)</f>
        <v>0.41124172423430322</v>
      </c>
      <c r="T14" s="7">
        <f>$B14 * IFERROR(VLOOKUP("industry|PM25|Minor restricted activity days", US_national_yearly!$D:$AM, 28, FALSE) / VLOOKUP("industry|PM25|Minor restricted activity days", US_national_yearly!$D:$AM, 10, FALSE), 1)</f>
        <v>0.41439735154278756</v>
      </c>
      <c r="U14" s="7">
        <f>$B14 * IFERROR(VLOOKUP("industry|PM25|Minor restricted activity days", US_national_yearly!$D:$AM, 29, FALSE) / VLOOKUP("industry|PM25|Minor restricted activity days", US_national_yearly!$D:$AM, 10, FALSE), 1)</f>
        <v>0.41755297885127179</v>
      </c>
      <c r="V14" s="7">
        <f>$B14 * IFERROR(VLOOKUP("industry|PM25|Minor restricted activity days", US_national_yearly!$D:$AM, 30, FALSE) / VLOOKUP("industry|PM25|Minor restricted activity days", US_national_yearly!$D:$AM, 10, FALSE), 1)</f>
        <v>0.42070860615975608</v>
      </c>
      <c r="W14" s="7">
        <f>$B14 * IFERROR(VLOOKUP("industry|PM25|Minor restricted activity days", US_national_yearly!$D:$AM, 31, FALSE) / VLOOKUP("industry|PM25|Minor restricted activity days", US_national_yearly!$D:$AM, 10, FALSE), 1)</f>
        <v>0.42386423346824037</v>
      </c>
      <c r="X14" s="7">
        <f>$B14 * IFERROR(VLOOKUP("industry|PM25|Minor restricted activity days", US_national_yearly!$D:$AM, 32, FALSE) / VLOOKUP("industry|PM25|Minor restricted activity days", US_national_yearly!$D:$AM, 10, FALSE), 1)</f>
        <v>0.42660635803083985</v>
      </c>
      <c r="Y14" s="7">
        <f>$B14 * IFERROR(VLOOKUP("industry|PM25|Minor restricted activity days", US_national_yearly!$D:$AM, 33, FALSE) / VLOOKUP("industry|PM25|Minor restricted activity days", US_national_yearly!$D:$AM, 10, FALSE), 1)</f>
        <v>0.42934848259343938</v>
      </c>
      <c r="Z14" s="7">
        <f>$B14 * IFERROR(VLOOKUP("industry|PM25|Minor restricted activity days", US_national_yearly!$D:$AM, 34, FALSE) / VLOOKUP("industry|PM25|Minor restricted activity days", US_national_yearly!$D:$AM, 10, FALSE), 1)</f>
        <v>0.43209060715603892</v>
      </c>
      <c r="AA14" s="7">
        <f>$B14 * IFERROR(VLOOKUP("industry|PM25|Minor restricted activity days", US_national_yearly!$D:$AM, 35, FALSE) / VLOOKUP("industry|PM25|Minor restricted activity days", US_national_yearly!$D:$AM, 10, FALSE), 1)</f>
        <v>0.43483273171863845</v>
      </c>
      <c r="AB14" s="7">
        <f>$B14 * IFERROR(VLOOKUP("industry|PM25|Minor restricted activity days", US_national_yearly!$D:$AM, 36, FALSE) / VLOOKUP("industry|PM25|Minor restricted activity days", US_national_yearly!$D:$AM, 10, FALSE), 1)</f>
        <v>0.43757485628123799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6.3847740972683975E-2</v>
      </c>
      <c r="C15" s="7">
        <f>$B15 * IFERROR(VLOOKUP("industry|PM25|Work loss days", US_national_yearly!$D:$AM, 11, FALSE) / VLOOKUP("industry|PM25|Work loss days", US_national_yearly!$D:$AM, 10, FALSE), 1)</f>
        <v>6.404569460453638E-2</v>
      </c>
      <c r="D15" s="7">
        <f>$B15 * IFERROR(VLOOKUP("industry|PM25|Work loss days", US_national_yearly!$D:$AM, 12, FALSE) / VLOOKUP("industry|PM25|Work loss days", US_national_yearly!$D:$AM, 10, FALSE), 1)</f>
        <v>6.4243648236388784E-2</v>
      </c>
      <c r="E15" s="7">
        <f>$B15 * IFERROR(VLOOKUP("industry|PM25|Work loss days", US_national_yearly!$D:$AM, 13, FALSE) / VLOOKUP("industry|PM25|Work loss days", US_national_yearly!$D:$AM, 10, FALSE), 1)</f>
        <v>6.4441601868241161E-2</v>
      </c>
      <c r="F15" s="7">
        <f>$B15 * IFERROR(VLOOKUP("industry|PM25|Work loss days", US_national_yearly!$D:$AM, 14, FALSE) / VLOOKUP("industry|PM25|Work loss days", US_national_yearly!$D:$AM, 10, FALSE), 1)</f>
        <v>6.4639555500093565E-2</v>
      </c>
      <c r="G15" s="7">
        <f>$B15 * IFERROR(VLOOKUP("industry|PM25|Work loss days", US_national_yearly!$D:$AM, 15, FALSE) / VLOOKUP("industry|PM25|Work loss days", US_national_yearly!$D:$AM, 10, FALSE), 1)</f>
        <v>6.4897992633845339E-2</v>
      </c>
      <c r="H15" s="7">
        <f>$B15 * IFERROR(VLOOKUP("industry|PM25|Work loss days", US_national_yearly!$D:$AM, 16, FALSE) / VLOOKUP("industry|PM25|Work loss days", US_national_yearly!$D:$AM, 10, FALSE), 1)</f>
        <v>6.5156429767597099E-2</v>
      </c>
      <c r="I15" s="7">
        <f>$B15 * IFERROR(VLOOKUP("industry|PM25|Work loss days", US_national_yearly!$D:$AM, 17, FALSE) / VLOOKUP("industry|PM25|Work loss days", US_national_yearly!$D:$AM, 10, FALSE), 1)</f>
        <v>6.553486398259839E-2</v>
      </c>
      <c r="J15" s="7">
        <f>$B15 * IFERROR(VLOOKUP("industry|PM25|Work loss days", US_national_yearly!$D:$AM, 18, FALSE) / VLOOKUP("industry|PM25|Work loss days", US_national_yearly!$D:$AM, 10, FALSE), 1)</f>
        <v>6.5913298197599682E-2</v>
      </c>
      <c r="K15" s="7">
        <f>$B15 * IFERROR(VLOOKUP("industry|PM25|Work loss days", US_national_yearly!$D:$AM, 19, FALSE) / VLOOKUP("industry|PM25|Work loss days", US_national_yearly!$D:$AM, 10, FALSE), 1)</f>
        <v>6.6291732412600959E-2</v>
      </c>
      <c r="L15" s="7">
        <f>$B15 * IFERROR(VLOOKUP("industry|PM25|Work loss days", US_national_yearly!$D:$AM, 20, FALSE) / VLOOKUP("industry|PM25|Work loss days", US_national_yearly!$D:$AM, 10, FALSE), 1)</f>
        <v>6.6670166627602251E-2</v>
      </c>
      <c r="M15" s="7">
        <f>$B15 * IFERROR(VLOOKUP("industry|PM25|Work loss days", US_national_yearly!$D:$AM, 21, FALSE) / VLOOKUP("industry|PM25|Work loss days", US_national_yearly!$D:$AM, 10, FALSE), 1)</f>
        <v>6.7048600842603542E-2</v>
      </c>
      <c r="N15" s="7">
        <f>$B15 * IFERROR(VLOOKUP("industry|PM25|Work loss days", US_national_yearly!$D:$AM, 22, FALSE) / VLOOKUP("industry|PM25|Work loss days", US_national_yearly!$D:$AM, 10, FALSE), 1)</f>
        <v>6.7526135149460084E-2</v>
      </c>
      <c r="O15" s="7">
        <f>$B15 * IFERROR(VLOOKUP("industry|PM25|Work loss days", US_national_yearly!$D:$AM, 23, FALSE) / VLOOKUP("industry|PM25|Work loss days", US_national_yearly!$D:$AM, 10, FALSE), 1)</f>
        <v>6.8003669456316612E-2</v>
      </c>
      <c r="P15" s="7">
        <f>$B15 * IFERROR(VLOOKUP("industry|PM25|Work loss days", US_national_yearly!$D:$AM, 24, FALSE) / VLOOKUP("industry|PM25|Work loss days", US_national_yearly!$D:$AM, 10, FALSE), 1)</f>
        <v>6.848120376317314E-2</v>
      </c>
      <c r="Q15" s="7">
        <f>$B15 * IFERROR(VLOOKUP("industry|PM25|Work loss days", US_national_yearly!$D:$AM, 25, FALSE) / VLOOKUP("industry|PM25|Work loss days", US_national_yearly!$D:$AM, 10, FALSE), 1)</f>
        <v>6.8958738070029668E-2</v>
      </c>
      <c r="R15" s="7">
        <f>$B15 * IFERROR(VLOOKUP("industry|PM25|Work loss days", US_national_yearly!$D:$AM, 26, FALSE) / VLOOKUP("industry|PM25|Work loss days", US_national_yearly!$D:$AM, 10, FALSE), 1)</f>
        <v>6.9436272376886196E-2</v>
      </c>
      <c r="S15" s="7">
        <f>$B15 * IFERROR(VLOOKUP("industry|PM25|Work loss days", US_national_yearly!$D:$AM, 27, FALSE) / VLOOKUP("industry|PM25|Work loss days", US_national_yearly!$D:$AM, 10, FALSE), 1)</f>
        <v>6.9965790223879429E-2</v>
      </c>
      <c r="T15" s="7">
        <f>$B15 * IFERROR(VLOOKUP("industry|PM25|Work loss days", US_national_yearly!$D:$AM, 28, FALSE) / VLOOKUP("industry|PM25|Work loss days", US_national_yearly!$D:$AM, 10, FALSE), 1)</f>
        <v>7.0495308070872648E-2</v>
      </c>
      <c r="U15" s="7">
        <f>$B15 * IFERROR(VLOOKUP("industry|PM25|Work loss days", US_national_yearly!$D:$AM, 29, FALSE) / VLOOKUP("industry|PM25|Work loss days", US_national_yearly!$D:$AM, 10, FALSE), 1)</f>
        <v>7.102482591786588E-2</v>
      </c>
      <c r="V15" s="7">
        <f>$B15 * IFERROR(VLOOKUP("industry|PM25|Work loss days", US_national_yearly!$D:$AM, 30, FALSE) / VLOOKUP("industry|PM25|Work loss days", US_national_yearly!$D:$AM, 10, FALSE), 1)</f>
        <v>7.1554343764859099E-2</v>
      </c>
      <c r="W15" s="7">
        <f>$B15 * IFERROR(VLOOKUP("industry|PM25|Work loss days", US_national_yearly!$D:$AM, 31, FALSE) / VLOOKUP("industry|PM25|Work loss days", US_national_yearly!$D:$AM, 10, FALSE), 1)</f>
        <v>7.2083861611852332E-2</v>
      </c>
      <c r="X15" s="7">
        <f>$B15 * IFERROR(VLOOKUP("industry|PM25|Work loss days", US_national_yearly!$D:$AM, 32, FALSE) / VLOOKUP("industry|PM25|Work loss days", US_national_yearly!$D:$AM, 10, FALSE), 1)</f>
        <v>7.2554407845227958E-2</v>
      </c>
      <c r="Y15" s="7">
        <f>$B15 * IFERROR(VLOOKUP("industry|PM25|Work loss days", US_national_yearly!$D:$AM, 33, FALSE) / VLOOKUP("industry|PM25|Work loss days", US_national_yearly!$D:$AM, 10, FALSE), 1)</f>
        <v>7.3024954078603599E-2</v>
      </c>
      <c r="Z15" s="7">
        <f>$B15 * IFERROR(VLOOKUP("industry|PM25|Work loss days", US_national_yearly!$D:$AM, 34, FALSE) / VLOOKUP("industry|PM25|Work loss days", US_national_yearly!$D:$AM, 10, FALSE), 1)</f>
        <v>7.3495500311979239E-2</v>
      </c>
      <c r="AA15" s="7">
        <f>$B15 * IFERROR(VLOOKUP("industry|PM25|Work loss days", US_national_yearly!$D:$AM, 35, FALSE) / VLOOKUP("industry|PM25|Work loss days", US_national_yearly!$D:$AM, 10, FALSE), 1)</f>
        <v>7.3966046545354866E-2</v>
      </c>
      <c r="AB15" s="7">
        <f>$B15 * IFERROR(VLOOKUP("industry|PM25|Work loss days", US_national_yearly!$D:$AM, 36, FALSE) / VLOOKUP("industry|PM25|Work loss days", US_national_yearly!$D:$AM, 10, FALSE), 1)</f>
        <v>7.4436592778730507E-2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1.1344486065423629E-4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1.1683806916823136E-4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1.2023127768222642E-4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1.2362448619622149E-4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1.2701769471021654E-4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1.3026984049277512E-4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1.3352198627533367E-4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1.3631423842944953E-4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1.391064905835654E-4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1.4189874273768131E-4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1.4469099489179717E-4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1.4748324704591306E-4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1.4934848201206581E-4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1.512137169782185E-4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1.5307895194437122E-4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1.5494418691052394E-4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1.5680942187667668E-4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1.5780876953858518E-4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1.588081172004937E-4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1.5980746486240224E-4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1.6080681252431071E-4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1.6180616018621923E-4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1.6249240678503789E-4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1.631786533838565E-4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1.6386489998267514E-4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1.6455114658149375E-4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1.6523739318031238E-4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2.0913725429351529E-5</v>
      </c>
      <c r="C2" s="7">
        <f>$B2 * IFERROR(VLOOKUP("industry|NOx|Premature mortality", US_national_yearly!$D:$AM, 11, FALSE) / VLOOKUP("industry|NOx|Premature mortality", US_national_yearly!$D:$AM, 10, FALSE), 1)</f>
        <v>2.1222971197872559E-5</v>
      </c>
      <c r="D2" s="7">
        <f>$B2 * IFERROR(VLOOKUP("industry|NOx|Premature mortality", US_national_yearly!$D:$AM, 12, FALSE) / VLOOKUP("industry|NOx|Premature mortality", US_national_yearly!$D:$AM, 10, FALSE), 1)</f>
        <v>2.1532216966393592E-5</v>
      </c>
      <c r="E2" s="7">
        <f>$B2 * IFERROR(VLOOKUP("industry|NOx|Premature mortality", US_national_yearly!$D:$AM, 13, FALSE) / VLOOKUP("industry|NOx|Premature mortality", US_national_yearly!$D:$AM, 10, FALSE), 1)</f>
        <v>2.1841462734914622E-5</v>
      </c>
      <c r="F2" s="7">
        <f>$B2 * IFERROR(VLOOKUP("industry|NOx|Premature mortality", US_national_yearly!$D:$AM, 14, FALSE) / VLOOKUP("industry|NOx|Premature mortality", US_national_yearly!$D:$AM, 10, FALSE), 1)</f>
        <v>2.2150708503435658E-5</v>
      </c>
      <c r="G2" s="7">
        <f>$B2 * IFERROR(VLOOKUP("industry|NOx|Premature mortality", US_national_yearly!$D:$AM, 15, FALSE) / VLOOKUP("industry|NOx|Premature mortality", US_national_yearly!$D:$AM, 10, FALSE), 1)</f>
        <v>2.2705301973519575E-5</v>
      </c>
      <c r="H2" s="7">
        <f>$B2 * IFERROR(VLOOKUP("industry|NOx|Premature mortality", US_national_yearly!$D:$AM, 16, FALSE) / VLOOKUP("industry|NOx|Premature mortality", US_national_yearly!$D:$AM, 10, FALSE), 1)</f>
        <v>2.3259895443603491E-5</v>
      </c>
      <c r="I2" s="7">
        <f>$B2 * IFERROR(VLOOKUP("industry|NOx|Premature mortality", US_national_yearly!$D:$AM, 17, FALSE) / VLOOKUP("industry|NOx|Premature mortality", US_national_yearly!$D:$AM, 10, FALSE), 1)</f>
        <v>2.3619678888873E-5</v>
      </c>
      <c r="J2" s="7">
        <f>$B2 * IFERROR(VLOOKUP("industry|NOx|Premature mortality", US_national_yearly!$D:$AM, 18, FALSE) / VLOOKUP("industry|NOx|Premature mortality", US_national_yearly!$D:$AM, 10, FALSE), 1)</f>
        <v>2.3979462334142506E-5</v>
      </c>
      <c r="K2" s="7">
        <f>$B2 * IFERROR(VLOOKUP("industry|NOx|Premature mortality", US_national_yearly!$D:$AM, 19, FALSE) / VLOOKUP("industry|NOx|Premature mortality", US_national_yearly!$D:$AM, 10, FALSE), 1)</f>
        <v>2.4339245779412019E-5</v>
      </c>
      <c r="L2" s="7">
        <f>$B2 * IFERROR(VLOOKUP("industry|NOx|Premature mortality", US_national_yearly!$D:$AM, 20, FALSE) / VLOOKUP("industry|NOx|Premature mortality", US_national_yearly!$D:$AM, 10, FALSE), 1)</f>
        <v>2.4699029224681528E-5</v>
      </c>
      <c r="M2" s="7">
        <f>$B2 * IFERROR(VLOOKUP("industry|NOx|Premature mortality", US_national_yearly!$D:$AM, 21, FALSE) / VLOOKUP("industry|NOx|Premature mortality", US_national_yearly!$D:$AM, 10, FALSE), 1)</f>
        <v>2.5058812669951034E-5</v>
      </c>
      <c r="N2" s="7">
        <f>$B2 * IFERROR(VLOOKUP("industry|NOx|Premature mortality", US_national_yearly!$D:$AM, 22, FALSE) / VLOOKUP("industry|NOx|Premature mortality", US_national_yearly!$D:$AM, 10, FALSE), 1)</f>
        <v>2.5326538501534137E-5</v>
      </c>
      <c r="O2" s="7">
        <f>$B2 * IFERROR(VLOOKUP("industry|NOx|Premature mortality", US_national_yearly!$D:$AM, 23, FALSE) / VLOOKUP("industry|NOx|Premature mortality", US_national_yearly!$D:$AM, 10, FALSE), 1)</f>
        <v>2.5594264333117233E-5</v>
      </c>
      <c r="P2" s="7">
        <f>$B2 * IFERROR(VLOOKUP("industry|NOx|Premature mortality", US_national_yearly!$D:$AM, 24, FALSE) / VLOOKUP("industry|NOx|Premature mortality", US_national_yearly!$D:$AM, 10, FALSE), 1)</f>
        <v>2.5861990164700325E-5</v>
      </c>
      <c r="Q2" s="7">
        <f>$B2 * IFERROR(VLOOKUP("industry|NOx|Premature mortality", US_national_yearly!$D:$AM, 25, FALSE) / VLOOKUP("industry|NOx|Premature mortality", US_national_yearly!$D:$AM, 10, FALSE), 1)</f>
        <v>2.6129715996283421E-5</v>
      </c>
      <c r="R2" s="7">
        <f>$B2 * IFERROR(VLOOKUP("industry|NOx|Premature mortality", US_national_yearly!$D:$AM, 26, FALSE) / VLOOKUP("industry|NOx|Premature mortality", US_national_yearly!$D:$AM, 10, FALSE), 1)</f>
        <v>2.6397441827866517E-5</v>
      </c>
      <c r="S2" s="7">
        <f>$B2 * IFERROR(VLOOKUP("industry|NOx|Premature mortality", US_national_yearly!$D:$AM, 27, FALSE) / VLOOKUP("industry|NOx|Premature mortality", US_national_yearly!$D:$AM, 10, FALSE), 1)</f>
        <v>2.6522111138854892E-5</v>
      </c>
      <c r="T2" s="7">
        <f>$B2 * IFERROR(VLOOKUP("industry|NOx|Premature mortality", US_national_yearly!$D:$AM, 28, FALSE) / VLOOKUP("industry|NOx|Premature mortality", US_national_yearly!$D:$AM, 10, FALSE), 1)</f>
        <v>2.6646780449843266E-5</v>
      </c>
      <c r="U2" s="7">
        <f>$B2 * IFERROR(VLOOKUP("industry|NOx|Premature mortality", US_national_yearly!$D:$AM, 29, FALSE) / VLOOKUP("industry|NOx|Premature mortality", US_national_yearly!$D:$AM, 10, FALSE), 1)</f>
        <v>2.6771449760831641E-5</v>
      </c>
      <c r="V2" s="7">
        <f>$B2 * IFERROR(VLOOKUP("industry|NOx|Premature mortality", US_national_yearly!$D:$AM, 30, FALSE) / VLOOKUP("industry|NOx|Premature mortality", US_national_yearly!$D:$AM, 10, FALSE), 1)</f>
        <v>2.6896119071820015E-5</v>
      </c>
      <c r="W2" s="7">
        <f>$B2 * IFERROR(VLOOKUP("industry|NOx|Premature mortality", US_national_yearly!$D:$AM, 31, FALSE) / VLOOKUP("industry|NOx|Premature mortality", US_national_yearly!$D:$AM, 10, FALSE), 1)</f>
        <v>2.7020788382808386E-5</v>
      </c>
      <c r="X2" s="7">
        <f>$B2 * IFERROR(VLOOKUP("industry|NOx|Premature mortality", US_national_yearly!$D:$AM, 32, FALSE) / VLOOKUP("industry|NOx|Premature mortality", US_national_yearly!$D:$AM, 10, FALSE), 1)</f>
        <v>2.7030316010268548E-5</v>
      </c>
      <c r="Y2" s="7">
        <f>$B2 * IFERROR(VLOOKUP("industry|NOx|Premature mortality", US_national_yearly!$D:$AM, 33, FALSE) / VLOOKUP("industry|NOx|Premature mortality", US_national_yearly!$D:$AM, 10, FALSE), 1)</f>
        <v>2.703984363772871E-5</v>
      </c>
      <c r="Z2" s="7">
        <f>$B2 * IFERROR(VLOOKUP("industry|NOx|Premature mortality", US_national_yearly!$D:$AM, 34, FALSE) / VLOOKUP("industry|NOx|Premature mortality", US_national_yearly!$D:$AM, 10, FALSE), 1)</f>
        <v>2.7049371265188871E-5</v>
      </c>
      <c r="AA2" s="7">
        <f>$B2 * IFERROR(VLOOKUP("industry|NOx|Premature mortality", US_national_yearly!$D:$AM, 35, FALSE) / VLOOKUP("industry|NOx|Premature mortality", US_national_yearly!$D:$AM, 10, FALSE), 1)</f>
        <v>2.7058898892649033E-5</v>
      </c>
      <c r="AB2" s="7">
        <f>$B2 * IFERROR(VLOOKUP("industry|NOx|Premature mortality", US_national_yearly!$D:$AM, 36, FALSE) / VLOOKUP("industry|NOx|Premature mortality", US_national_yearly!$D:$AM, 10, FALSE), 1)</f>
        <v>2.7068426520109195E-5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6.0276700525170871E-8</v>
      </c>
      <c r="C3" s="7">
        <f>$B3 * IFERROR(VLOOKUP("industry|NOx|Infant mortality", US_national_yearly!$D:$AM, 11, FALSE) / VLOOKUP("industry|NOx|Infant mortality", US_national_yearly!$D:$AM, 10, FALSE), 1)</f>
        <v>5.9699440665540593E-8</v>
      </c>
      <c r="D3" s="7">
        <f>$B3 * IFERROR(VLOOKUP("industry|NOx|Infant mortality", US_national_yearly!$D:$AM, 12, FALSE) / VLOOKUP("industry|NOx|Infant mortality", US_national_yearly!$D:$AM, 10, FALSE), 1)</f>
        <v>5.9122180805910308E-8</v>
      </c>
      <c r="E3" s="7">
        <f>$B3 * IFERROR(VLOOKUP("industry|NOx|Infant mortality", US_national_yearly!$D:$AM, 13, FALSE) / VLOOKUP("industry|NOx|Infant mortality", US_national_yearly!$D:$AM, 10, FALSE), 1)</f>
        <v>5.8544920946280029E-8</v>
      </c>
      <c r="F3" s="7">
        <f>$B3 * IFERROR(VLOOKUP("industry|NOx|Infant mortality", US_national_yearly!$D:$AM, 14, FALSE) / VLOOKUP("industry|NOx|Infant mortality", US_national_yearly!$D:$AM, 10, FALSE), 1)</f>
        <v>5.7967661086649744E-8</v>
      </c>
      <c r="G3" s="7">
        <f>$B3 * IFERROR(VLOOKUP("industry|NOx|Infant mortality", US_national_yearly!$D:$AM, 15, FALSE) / VLOOKUP("industry|NOx|Infant mortality", US_national_yearly!$D:$AM, 10, FALSE), 1)</f>
        <v>3.8449267643825837E-8</v>
      </c>
      <c r="H3" s="7">
        <f>$B3 * IFERROR(VLOOKUP("industry|NOx|Infant mortality", US_national_yearly!$D:$AM, 16, FALSE) / VLOOKUP("industry|NOx|Infant mortality", US_national_yearly!$D:$AM, 10, FALSE), 1)</f>
        <v>1.8930874201001936E-8</v>
      </c>
      <c r="I3" s="7">
        <f>$B3 * IFERROR(VLOOKUP("industry|NOx|Infant mortality", US_national_yearly!$D:$AM, 17, FALSE) / VLOOKUP("industry|NOx|Infant mortality", US_national_yearly!$D:$AM, 10, FALSE), 1)</f>
        <v>1.8794390771664536E-8</v>
      </c>
      <c r="J3" s="7">
        <f>$B3 * IFERROR(VLOOKUP("industry|NOx|Infant mortality", US_national_yearly!$D:$AM, 18, FALSE) / VLOOKUP("industry|NOx|Infant mortality", US_national_yearly!$D:$AM, 10, FALSE), 1)</f>
        <v>1.8657907342327139E-8</v>
      </c>
      <c r="K3" s="7">
        <f>$B3 * IFERROR(VLOOKUP("industry|NOx|Infant mortality", US_national_yearly!$D:$AM, 19, FALSE) / VLOOKUP("industry|NOx|Infant mortality", US_national_yearly!$D:$AM, 10, FALSE), 1)</f>
        <v>1.8521423912989739E-8</v>
      </c>
      <c r="L3" s="7">
        <f>$B3 * IFERROR(VLOOKUP("industry|NOx|Infant mortality", US_national_yearly!$D:$AM, 20, FALSE) / VLOOKUP("industry|NOx|Infant mortality", US_national_yearly!$D:$AM, 10, FALSE), 1)</f>
        <v>1.8384940483652335E-8</v>
      </c>
      <c r="M3" s="7">
        <f>$B3 * IFERROR(VLOOKUP("industry|NOx|Infant mortality", US_national_yearly!$D:$AM, 21, FALSE) / VLOOKUP("industry|NOx|Infant mortality", US_national_yearly!$D:$AM, 10, FALSE), 1)</f>
        <v>1.8248457054314935E-8</v>
      </c>
      <c r="N3" s="7">
        <f>$B3 * IFERROR(VLOOKUP("industry|NOx|Infant mortality", US_national_yearly!$D:$AM, 22, FALSE) / VLOOKUP("industry|NOx|Infant mortality", US_national_yearly!$D:$AM, 10, FALSE), 1)</f>
        <v>1.81565006759802E-8</v>
      </c>
      <c r="O3" s="7">
        <f>$B3 * IFERROR(VLOOKUP("industry|NOx|Infant mortality", US_national_yearly!$D:$AM, 23, FALSE) / VLOOKUP("industry|NOx|Infant mortality", US_national_yearly!$D:$AM, 10, FALSE), 1)</f>
        <v>1.8064544297645465E-8</v>
      </c>
      <c r="P3" s="7">
        <f>$B3 * IFERROR(VLOOKUP("industry|NOx|Infant mortality", US_national_yearly!$D:$AM, 24, FALSE) / VLOOKUP("industry|NOx|Infant mortality", US_national_yearly!$D:$AM, 10, FALSE), 1)</f>
        <v>1.7972587919310734E-8</v>
      </c>
      <c r="Q3" s="7">
        <f>$B3 * IFERROR(VLOOKUP("industry|NOx|Infant mortality", US_national_yearly!$D:$AM, 25, FALSE) / VLOOKUP("industry|NOx|Infant mortality", US_national_yearly!$D:$AM, 10, FALSE), 1)</f>
        <v>1.7880631540976003E-8</v>
      </c>
      <c r="R3" s="7">
        <f>$B3 * IFERROR(VLOOKUP("industry|NOx|Infant mortality", US_national_yearly!$D:$AM, 26, FALSE) / VLOOKUP("industry|NOx|Infant mortality", US_national_yearly!$D:$AM, 10, FALSE), 1)</f>
        <v>1.7788675162641271E-8</v>
      </c>
      <c r="S3" s="7">
        <f>$B3 * IFERROR(VLOOKUP("industry|NOx|Infant mortality", US_national_yearly!$D:$AM, 27, FALSE) / VLOOKUP("industry|NOx|Infant mortality", US_national_yearly!$D:$AM, 10, FALSE), 1)</f>
        <v>1.7679478607371863E-8</v>
      </c>
      <c r="T3" s="7">
        <f>$B3 * IFERROR(VLOOKUP("industry|NOx|Infant mortality", US_national_yearly!$D:$AM, 28, FALSE) / VLOOKUP("industry|NOx|Infant mortality", US_national_yearly!$D:$AM, 10, FALSE), 1)</f>
        <v>1.7570282052102451E-8</v>
      </c>
      <c r="U3" s="7">
        <f>$B3 * IFERROR(VLOOKUP("industry|NOx|Infant mortality", US_national_yearly!$D:$AM, 29, FALSE) / VLOOKUP("industry|NOx|Infant mortality", US_national_yearly!$D:$AM, 10, FALSE), 1)</f>
        <v>1.7461085496833042E-8</v>
      </c>
      <c r="V3" s="7">
        <f>$B3 * IFERROR(VLOOKUP("industry|NOx|Infant mortality", US_national_yearly!$D:$AM, 30, FALSE) / VLOOKUP("industry|NOx|Infant mortality", US_national_yearly!$D:$AM, 10, FALSE), 1)</f>
        <v>1.7351888941563634E-8</v>
      </c>
      <c r="W3" s="7">
        <f>$B3 * IFERROR(VLOOKUP("industry|NOx|Infant mortality", US_national_yearly!$D:$AM, 31, FALSE) / VLOOKUP("industry|NOx|Infant mortality", US_national_yearly!$D:$AM, 10, FALSE), 1)</f>
        <v>1.7242692386294225E-8</v>
      </c>
      <c r="X3" s="7">
        <f>$B3 * IFERROR(VLOOKUP("industry|NOx|Infant mortality", US_national_yearly!$D:$AM, 32, FALSE) / VLOOKUP("industry|NOx|Infant mortality", US_national_yearly!$D:$AM, 10, FALSE), 1)</f>
        <v>1.7128023912137382E-8</v>
      </c>
      <c r="Y3" s="7">
        <f>$B3 * IFERROR(VLOOKUP("industry|NOx|Infant mortality", US_national_yearly!$D:$AM, 33, FALSE) / VLOOKUP("industry|NOx|Infant mortality", US_national_yearly!$D:$AM, 10, FALSE), 1)</f>
        <v>1.7013355437980539E-8</v>
      </c>
      <c r="Z3" s="7">
        <f>$B3 * IFERROR(VLOOKUP("industry|NOx|Infant mortality", US_national_yearly!$D:$AM, 34, FALSE) / VLOOKUP("industry|NOx|Infant mortality", US_national_yearly!$D:$AM, 10, FALSE), 1)</f>
        <v>1.68986869638237E-8</v>
      </c>
      <c r="AA3" s="7">
        <f>$B3 * IFERROR(VLOOKUP("industry|NOx|Infant mortality", US_national_yearly!$D:$AM, 35, FALSE) / VLOOKUP("industry|NOx|Infant mortality", US_national_yearly!$D:$AM, 10, FALSE), 1)</f>
        <v>1.6784018489666861E-8</v>
      </c>
      <c r="AB3" s="7">
        <f>$B3 * IFERROR(VLOOKUP("industry|NOx|Infant mortality", US_national_yearly!$D:$AM, 36, FALSE) / VLOOKUP("industry|NOx|Infant mortality", US_national_yearly!$D:$AM, 10, FALSE), 1)</f>
        <v>1.6669350015510018E-8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5.9536486277448857E-5</v>
      </c>
      <c r="C6" s="7">
        <f>$B6 * IFERROR(VLOOKUP("industry|NOx|Asthma symptoms cough", US_national_yearly!$D:$AM, 11, FALSE) / VLOOKUP("industry|NOx|Asthma symptoms cough", US_national_yearly!$D:$AM, 10, FALSE), 1)</f>
        <v>6.0350965611527887E-5</v>
      </c>
      <c r="D6" s="7">
        <f>$B6 * IFERROR(VLOOKUP("industry|NOx|Asthma symptoms cough", US_national_yearly!$D:$AM, 12, FALSE) / VLOOKUP("industry|NOx|Asthma symptoms cough", US_national_yearly!$D:$AM, 10, FALSE), 1)</f>
        <v>6.1165444945606917E-5</v>
      </c>
      <c r="E6" s="7">
        <f>$B6 * IFERROR(VLOOKUP("industry|NOx|Asthma symptoms cough", US_national_yearly!$D:$AM, 13, FALSE) / VLOOKUP("industry|NOx|Asthma symptoms cough", US_national_yearly!$D:$AM, 10, FALSE), 1)</f>
        <v>6.1979924279685947E-5</v>
      </c>
      <c r="F6" s="7">
        <f>$B6 * IFERROR(VLOOKUP("industry|NOx|Asthma symptoms cough", US_national_yearly!$D:$AM, 14, FALSE) / VLOOKUP("industry|NOx|Asthma symptoms cough", US_national_yearly!$D:$AM, 10, FALSE), 1)</f>
        <v>6.2794403613764977E-5</v>
      </c>
      <c r="G6" s="7">
        <f>$B6 * IFERROR(VLOOKUP("industry|NOx|Asthma symptoms cough", US_national_yearly!$D:$AM, 15, FALSE) / VLOOKUP("industry|NOx|Asthma symptoms cough", US_national_yearly!$D:$AM, 10, FALSE), 1)</f>
        <v>6.3447489683450531E-5</v>
      </c>
      <c r="H6" s="7">
        <f>$B6 * IFERROR(VLOOKUP("industry|NOx|Asthma symptoms cough", US_national_yearly!$D:$AM, 16, FALSE) / VLOOKUP("industry|NOx|Asthma symptoms cough", US_national_yearly!$D:$AM, 10, FALSE), 1)</f>
        <v>6.4100575753136085E-5</v>
      </c>
      <c r="I6" s="7">
        <f>$B6 * IFERROR(VLOOKUP("industry|NOx|Asthma symptoms cough", US_national_yearly!$D:$AM, 17, FALSE) / VLOOKUP("industry|NOx|Asthma symptoms cough", US_national_yearly!$D:$AM, 10, FALSE), 1)</f>
        <v>6.4327855495038358E-5</v>
      </c>
      <c r="J6" s="7">
        <f>$B6 * IFERROR(VLOOKUP("industry|NOx|Asthma symptoms cough", US_national_yearly!$D:$AM, 18, FALSE) / VLOOKUP("industry|NOx|Asthma symptoms cough", US_national_yearly!$D:$AM, 10, FALSE), 1)</f>
        <v>6.4555135236940632E-5</v>
      </c>
      <c r="K6" s="7">
        <f>$B6 * IFERROR(VLOOKUP("industry|NOx|Asthma symptoms cough", US_national_yearly!$D:$AM, 19, FALSE) / VLOOKUP("industry|NOx|Asthma symptoms cough", US_national_yearly!$D:$AM, 10, FALSE), 1)</f>
        <v>6.4782414978842892E-5</v>
      </c>
      <c r="L6" s="7">
        <f>$B6 * IFERROR(VLOOKUP("industry|NOx|Asthma symptoms cough", US_national_yearly!$D:$AM, 20, FALSE) / VLOOKUP("industry|NOx|Asthma symptoms cough", US_national_yearly!$D:$AM, 10, FALSE), 1)</f>
        <v>6.5009694720745165E-5</v>
      </c>
      <c r="M6" s="7">
        <f>$B6 * IFERROR(VLOOKUP("industry|NOx|Asthma symptoms cough", US_national_yearly!$D:$AM, 21, FALSE) / VLOOKUP("industry|NOx|Asthma symptoms cough", US_national_yearly!$D:$AM, 10, FALSE), 1)</f>
        <v>6.5236974462647439E-5</v>
      </c>
      <c r="N6" s="7">
        <f>$B6 * IFERROR(VLOOKUP("industry|NOx|Asthma symptoms cough", US_national_yearly!$D:$AM, 22, FALSE) / VLOOKUP("industry|NOx|Asthma symptoms cough", US_national_yearly!$D:$AM, 10, FALSE), 1)</f>
        <v>6.5496420492464197E-5</v>
      </c>
      <c r="O6" s="7">
        <f>$B6 * IFERROR(VLOOKUP("industry|NOx|Asthma symptoms cough", US_national_yearly!$D:$AM, 23, FALSE) / VLOOKUP("industry|NOx|Asthma symptoms cough", US_national_yearly!$D:$AM, 10, FALSE), 1)</f>
        <v>6.5755866522280941E-5</v>
      </c>
      <c r="P6" s="7">
        <f>$B6 * IFERROR(VLOOKUP("industry|NOx|Asthma symptoms cough", US_national_yearly!$D:$AM, 24, FALSE) / VLOOKUP("industry|NOx|Asthma symptoms cough", US_national_yearly!$D:$AM, 10, FALSE), 1)</f>
        <v>6.6015312552097685E-5</v>
      </c>
      <c r="Q6" s="7">
        <f>$B6 * IFERROR(VLOOKUP("industry|NOx|Asthma symptoms cough", US_national_yearly!$D:$AM, 25, FALSE) / VLOOKUP("industry|NOx|Asthma symptoms cough", US_national_yearly!$D:$AM, 10, FALSE), 1)</f>
        <v>6.6274758581914443E-5</v>
      </c>
      <c r="R6" s="7">
        <f>$B6 * IFERROR(VLOOKUP("industry|NOx|Asthma symptoms cough", US_national_yearly!$D:$AM, 26, FALSE) / VLOOKUP("industry|NOx|Asthma symptoms cough", US_national_yearly!$D:$AM, 10, FALSE), 1)</f>
        <v>6.6534204611731187E-5</v>
      </c>
      <c r="S6" s="7">
        <f>$B6 * IFERROR(VLOOKUP("industry|NOx|Asthma symptoms cough", US_national_yearly!$D:$AM, 27, FALSE) / VLOOKUP("industry|NOx|Asthma symptoms cough", US_national_yearly!$D:$AM, 10, FALSE), 1)</f>
        <v>6.6868878510743302E-5</v>
      </c>
      <c r="T6" s="7">
        <f>$B6 * IFERROR(VLOOKUP("industry|NOx|Asthma symptoms cough", US_national_yearly!$D:$AM, 28, FALSE) / VLOOKUP("industry|NOx|Asthma symptoms cough", US_national_yearly!$D:$AM, 10, FALSE), 1)</f>
        <v>6.7203552409755404E-5</v>
      </c>
      <c r="U6" s="7">
        <f>$B6 * IFERROR(VLOOKUP("industry|NOx|Asthma symptoms cough", US_national_yearly!$D:$AM, 29, FALSE) / VLOOKUP("industry|NOx|Asthma symptoms cough", US_national_yearly!$D:$AM, 10, FALSE), 1)</f>
        <v>6.7538226308767505E-5</v>
      </c>
      <c r="V6" s="7">
        <f>$B6 * IFERROR(VLOOKUP("industry|NOx|Asthma symptoms cough", US_national_yearly!$D:$AM, 30, FALSE) / VLOOKUP("industry|NOx|Asthma symptoms cough", US_national_yearly!$D:$AM, 10, FALSE), 1)</f>
        <v>6.7872900207779593E-5</v>
      </c>
      <c r="W6" s="7">
        <f>$B6 * IFERROR(VLOOKUP("industry|NOx|Asthma symptoms cough", US_national_yearly!$D:$AM, 31, FALSE) / VLOOKUP("industry|NOx|Asthma symptoms cough", US_national_yearly!$D:$AM, 10, FALSE), 1)</f>
        <v>6.8207574106791708E-5</v>
      </c>
      <c r="X6" s="7">
        <f>$B6 * IFERROR(VLOOKUP("industry|NOx|Asthma symptoms cough", US_national_yearly!$D:$AM, 32, FALSE) / VLOOKUP("industry|NOx|Asthma symptoms cough", US_national_yearly!$D:$AM, 10, FALSE), 1)</f>
        <v>6.8517842547136072E-5</v>
      </c>
      <c r="Y6" s="7">
        <f>$B6 * IFERROR(VLOOKUP("industry|NOx|Asthma symptoms cough", US_national_yearly!$D:$AM, 33, FALSE) / VLOOKUP("industry|NOx|Asthma symptoms cough", US_national_yearly!$D:$AM, 10, FALSE), 1)</f>
        <v>6.8828110987480408E-5</v>
      </c>
      <c r="Z6" s="7">
        <f>$B6 * IFERROR(VLOOKUP("industry|NOx|Asthma symptoms cough", US_national_yearly!$D:$AM, 34, FALSE) / VLOOKUP("industry|NOx|Asthma symptoms cough", US_national_yearly!$D:$AM, 10, FALSE), 1)</f>
        <v>6.9138379427824772E-5</v>
      </c>
      <c r="AA6" s="7">
        <f>$B6 * IFERROR(VLOOKUP("industry|NOx|Asthma symptoms cough", US_national_yearly!$D:$AM, 35, FALSE) / VLOOKUP("industry|NOx|Asthma symptoms cough", US_national_yearly!$D:$AM, 10, FALSE), 1)</f>
        <v>6.9448647868169123E-5</v>
      </c>
      <c r="AB6" s="7">
        <f>$B6 * IFERROR(VLOOKUP("industry|NOx|Asthma symptoms cough", US_national_yearly!$D:$AM, 36, FALSE) / VLOOKUP("industry|NOx|Asthma symptoms cough", US_national_yearly!$D:$AM, 10, FALSE), 1)</f>
        <v>6.9758916308513487E-5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8.0174373571446043E-5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8.1271186204189236E-5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8.2367998836932414E-5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8.3464811469675606E-5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8.4561624102418812E-5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8.5441097675776319E-5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8.6320571249133852E-5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8.6626635846354688E-5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8.693270044357551E-5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8.7238765040796346E-5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8.7544829638017208E-5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8.7850894235238044E-5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8.8200275329093213E-5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8.8549656422948382E-5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8.8899037516803578E-5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8.9248418610658761E-5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8.959779970451393E-5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9.0048485858728645E-5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9.0499172012943388E-5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9.0949858167158117E-5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9.1400544321372846E-5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9.1851230475587547E-5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9.2269051197187027E-5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9.268687191878648E-5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9.3104692640385919E-5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9.3522513361985371E-5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9.3940334083584824E-5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1.2249337002356658E-4</v>
      </c>
      <c r="C8" s="7">
        <f>$B8 * IFERROR(VLOOKUP("industry|NOx|Asthma symptoms wheeze", US_national_yearly!$D:$AM, 11, FALSE) / VLOOKUP("industry|NOx|Asthma symptoms wheeze", US_national_yearly!$D:$AM, 10, FALSE), 1)</f>
        <v>1.2416912089082939E-4</v>
      </c>
      <c r="D8" s="7">
        <f>$B8 * IFERROR(VLOOKUP("industry|NOx|Asthma symptoms wheeze", US_national_yearly!$D:$AM, 12, FALSE) / VLOOKUP("industry|NOx|Asthma symptoms wheeze", US_national_yearly!$D:$AM, 10, FALSE), 1)</f>
        <v>1.2584487175809221E-4</v>
      </c>
      <c r="E8" s="7">
        <f>$B8 * IFERROR(VLOOKUP("industry|NOx|Asthma symptoms wheeze", US_national_yearly!$D:$AM, 13, FALSE) / VLOOKUP("industry|NOx|Asthma symptoms wheeze", US_national_yearly!$D:$AM, 10, FALSE), 1)</f>
        <v>1.2752062262535505E-4</v>
      </c>
      <c r="F8" s="7">
        <f>$B8 * IFERROR(VLOOKUP("industry|NOx|Asthma symptoms wheeze", US_national_yearly!$D:$AM, 14, FALSE) / VLOOKUP("industry|NOx|Asthma symptoms wheeze", US_national_yearly!$D:$AM, 10, FALSE), 1)</f>
        <v>1.2919637349261784E-4</v>
      </c>
      <c r="G8" s="7">
        <f>$B8 * IFERROR(VLOOKUP("industry|NOx|Asthma symptoms wheeze", US_national_yearly!$D:$AM, 15, FALSE) / VLOOKUP("industry|NOx|Asthma symptoms wheeze", US_national_yearly!$D:$AM, 10, FALSE), 1)</f>
        <v>1.3054006571678884E-4</v>
      </c>
      <c r="H8" s="7">
        <f>$B8 * IFERROR(VLOOKUP("industry|NOx|Asthma symptoms wheeze", US_national_yearly!$D:$AM, 16, FALSE) / VLOOKUP("industry|NOx|Asthma symptoms wheeze", US_national_yearly!$D:$AM, 10, FALSE), 1)</f>
        <v>1.3188375794095982E-4</v>
      </c>
      <c r="I8" s="7">
        <f>$B8 * IFERROR(VLOOKUP("industry|NOx|Asthma symptoms wheeze", US_national_yearly!$D:$AM, 17, FALSE) / VLOOKUP("industry|NOx|Asthma symptoms wheeze", US_national_yearly!$D:$AM, 10, FALSE), 1)</f>
        <v>1.3235137474728592E-4</v>
      </c>
      <c r="J8" s="7">
        <f>$B8 * IFERROR(VLOOKUP("industry|NOx|Asthma symptoms wheeze", US_national_yearly!$D:$AM, 18, FALSE) / VLOOKUP("industry|NOx|Asthma symptoms wheeze", US_national_yearly!$D:$AM, 10, FALSE), 1)</f>
        <v>1.3281899155361199E-4</v>
      </c>
      <c r="K8" s="7">
        <f>$B8 * IFERROR(VLOOKUP("industry|NOx|Asthma symptoms wheeze", US_national_yearly!$D:$AM, 19, FALSE) / VLOOKUP("industry|NOx|Asthma symptoms wheeze", US_national_yearly!$D:$AM, 10, FALSE), 1)</f>
        <v>1.3328660835993809E-4</v>
      </c>
      <c r="L8" s="7">
        <f>$B8 * IFERROR(VLOOKUP("industry|NOx|Asthma symptoms wheeze", US_national_yearly!$D:$AM, 20, FALSE) / VLOOKUP("industry|NOx|Asthma symptoms wheeze", US_national_yearly!$D:$AM, 10, FALSE), 1)</f>
        <v>1.3375422516626414E-4</v>
      </c>
      <c r="M8" s="7">
        <f>$B8 * IFERROR(VLOOKUP("industry|NOx|Asthma symptoms wheeze", US_national_yearly!$D:$AM, 21, FALSE) / VLOOKUP("industry|NOx|Asthma symptoms wheeze", US_national_yearly!$D:$AM, 10, FALSE), 1)</f>
        <v>1.3422184197259024E-4</v>
      </c>
      <c r="N8" s="7">
        <f>$B8 * IFERROR(VLOOKUP("industry|NOx|Asthma symptoms wheeze", US_national_yearly!$D:$AM, 22, FALSE) / VLOOKUP("industry|NOx|Asthma symptoms wheeze", US_national_yearly!$D:$AM, 10, FALSE), 1)</f>
        <v>1.3475563932221821E-4</v>
      </c>
      <c r="O8" s="7">
        <f>$B8 * IFERROR(VLOOKUP("industry|NOx|Asthma symptoms wheeze", US_national_yearly!$D:$AM, 23, FALSE) / VLOOKUP("industry|NOx|Asthma symptoms wheeze", US_national_yearly!$D:$AM, 10, FALSE), 1)</f>
        <v>1.352894366718462E-4</v>
      </c>
      <c r="P8" s="7">
        <f>$B8 * IFERROR(VLOOKUP("industry|NOx|Asthma symptoms wheeze", US_national_yearly!$D:$AM, 24, FALSE) / VLOOKUP("industry|NOx|Asthma symptoms wheeze", US_national_yearly!$D:$AM, 10, FALSE), 1)</f>
        <v>1.3582323402147413E-4</v>
      </c>
      <c r="Q8" s="7">
        <f>$B8 * IFERROR(VLOOKUP("industry|NOx|Asthma symptoms wheeze", US_national_yearly!$D:$AM, 25, FALSE) / VLOOKUP("industry|NOx|Asthma symptoms wheeze", US_national_yearly!$D:$AM, 10, FALSE), 1)</f>
        <v>1.3635703137110212E-4</v>
      </c>
      <c r="R8" s="7">
        <f>$B8 * IFERROR(VLOOKUP("industry|NOx|Asthma symptoms wheeze", US_national_yearly!$D:$AM, 26, FALSE) / VLOOKUP("industry|NOx|Asthma symptoms wheeze", US_national_yearly!$D:$AM, 10, FALSE), 1)</f>
        <v>1.3689082872073009E-4</v>
      </c>
      <c r="S8" s="7">
        <f>$B8 * IFERROR(VLOOKUP("industry|NOx|Asthma symptoms wheeze", US_national_yearly!$D:$AM, 27, FALSE) / VLOOKUP("industry|NOx|Asthma symptoms wheeze", US_national_yearly!$D:$AM, 10, FALSE), 1)</f>
        <v>1.3757940368311762E-4</v>
      </c>
      <c r="T8" s="7">
        <f>$B8 * IFERROR(VLOOKUP("industry|NOx|Asthma symptoms wheeze", US_national_yearly!$D:$AM, 28, FALSE) / VLOOKUP("industry|NOx|Asthma symptoms wheeze", US_national_yearly!$D:$AM, 10, FALSE), 1)</f>
        <v>1.3826797864550512E-4</v>
      </c>
      <c r="U8" s="7">
        <f>$B8 * IFERROR(VLOOKUP("industry|NOx|Asthma symptoms wheeze", US_national_yearly!$D:$AM, 29, FALSE) / VLOOKUP("industry|NOx|Asthma symptoms wheeze", US_national_yearly!$D:$AM, 10, FALSE), 1)</f>
        <v>1.3895655360789263E-4</v>
      </c>
      <c r="V8" s="7">
        <f>$B8 * IFERROR(VLOOKUP("industry|NOx|Asthma symptoms wheeze", US_national_yearly!$D:$AM, 30, FALSE) / VLOOKUP("industry|NOx|Asthma symptoms wheeze", US_national_yearly!$D:$AM, 10, FALSE), 1)</f>
        <v>1.3964512857028014E-4</v>
      </c>
      <c r="W8" s="7">
        <f>$B8 * IFERROR(VLOOKUP("industry|NOx|Asthma symptoms wheeze", US_national_yearly!$D:$AM, 31, FALSE) / VLOOKUP("industry|NOx|Asthma symptoms wheeze", US_national_yearly!$D:$AM, 10, FALSE), 1)</f>
        <v>1.4033370353266764E-4</v>
      </c>
      <c r="X8" s="7">
        <f>$B8 * IFERROR(VLOOKUP("industry|NOx|Asthma symptoms wheeze", US_national_yearly!$D:$AM, 32, FALSE) / VLOOKUP("industry|NOx|Asthma symptoms wheeze", US_national_yearly!$D:$AM, 10, FALSE), 1)</f>
        <v>1.409720654732537E-4</v>
      </c>
      <c r="Y8" s="7">
        <f>$B8 * IFERROR(VLOOKUP("industry|NOx|Asthma symptoms wheeze", US_national_yearly!$D:$AM, 33, FALSE) / VLOOKUP("industry|NOx|Asthma symptoms wheeze", US_national_yearly!$D:$AM, 10, FALSE), 1)</f>
        <v>1.4161042741383969E-4</v>
      </c>
      <c r="Z8" s="7">
        <f>$B8 * IFERROR(VLOOKUP("industry|NOx|Asthma symptoms wheeze", US_national_yearly!$D:$AM, 34, FALSE) / VLOOKUP("industry|NOx|Asthma symptoms wheeze", US_national_yearly!$D:$AM, 10, FALSE), 1)</f>
        <v>1.4224878935442572E-4</v>
      </c>
      <c r="AA8" s="7">
        <f>$B8 * IFERROR(VLOOKUP("industry|NOx|Asthma symptoms wheeze", US_national_yearly!$D:$AM, 35, FALSE) / VLOOKUP("industry|NOx|Asthma symptoms wheeze", US_national_yearly!$D:$AM, 10, FALSE), 1)</f>
        <v>1.4288715129501172E-4</v>
      </c>
      <c r="AB8" s="7">
        <f>$B8 * IFERROR(VLOOKUP("industry|NOx|Asthma symptoms wheeze", US_national_yearly!$D:$AM, 36, FALSE) / VLOOKUP("industry|NOx|Asthma symptoms wheeze", US_national_yearly!$D:$AM, 10, FALSE), 1)</f>
        <v>1.4352551323559785E-4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1.365314321005517E-6</v>
      </c>
      <c r="C12" s="7">
        <f>$B12 * IFERROR(VLOOKUP("industry|NOx|Respiratory hospital admissions", US_national_yearly!$D:$AM, 11, FALSE) / VLOOKUP("industry|NOx|Respiratory hospital admissions", US_national_yearly!$D:$AM, 10, FALSE), 1)</f>
        <v>1.3996155400544297E-6</v>
      </c>
      <c r="D12" s="7">
        <f>$B12 * IFERROR(VLOOKUP("industry|NOx|Respiratory hospital admissions", US_national_yearly!$D:$AM, 12, FALSE) / VLOOKUP("industry|NOx|Respiratory hospital admissions", US_national_yearly!$D:$AM, 10, FALSE), 1)</f>
        <v>1.4339167591033423E-6</v>
      </c>
      <c r="E12" s="7">
        <f>$B12 * IFERROR(VLOOKUP("industry|NOx|Respiratory hospital admissions", US_national_yearly!$D:$AM, 13, FALSE) / VLOOKUP("industry|NOx|Respiratory hospital admissions", US_national_yearly!$D:$AM, 10, FALSE), 1)</f>
        <v>1.4682179781522554E-6</v>
      </c>
      <c r="F12" s="7">
        <f>$B12 * IFERROR(VLOOKUP("industry|NOx|Respiratory hospital admissions", US_national_yearly!$D:$AM, 14, FALSE) / VLOOKUP("industry|NOx|Respiratory hospital admissions", US_national_yearly!$D:$AM, 10, FALSE), 1)</f>
        <v>1.5025191972011679E-6</v>
      </c>
      <c r="G12" s="7">
        <f>$B12 * IFERROR(VLOOKUP("industry|NOx|Respiratory hospital admissions", US_national_yearly!$D:$AM, 15, FALSE) / VLOOKUP("industry|NOx|Respiratory hospital admissions", US_national_yearly!$D:$AM, 10, FALSE), 1)</f>
        <v>1.5353298385021975E-6</v>
      </c>
      <c r="H12" s="7">
        <f>$B12 * IFERROR(VLOOKUP("industry|NOx|Respiratory hospital admissions", US_national_yearly!$D:$AM, 16, FALSE) / VLOOKUP("industry|NOx|Respiratory hospital admissions", US_national_yearly!$D:$AM, 10, FALSE), 1)</f>
        <v>1.568140479803227E-6</v>
      </c>
      <c r="I12" s="7">
        <f>$B12 * IFERROR(VLOOKUP("industry|NOx|Respiratory hospital admissions", US_national_yearly!$D:$AM, 17, FALSE) / VLOOKUP("industry|NOx|Respiratory hospital admissions", US_national_yearly!$D:$AM, 10, FALSE), 1)</f>
        <v>1.5960831962975753E-6</v>
      </c>
      <c r="J12" s="7">
        <f>$B12 * IFERROR(VLOOKUP("industry|NOx|Respiratory hospital admissions", US_national_yearly!$D:$AM, 18, FALSE) / VLOOKUP("industry|NOx|Respiratory hospital admissions", US_national_yearly!$D:$AM, 10, FALSE), 1)</f>
        <v>1.6240259127919233E-6</v>
      </c>
      <c r="K12" s="7">
        <f>$B12 * IFERROR(VLOOKUP("industry|NOx|Respiratory hospital admissions", US_national_yearly!$D:$AM, 19, FALSE) / VLOOKUP("industry|NOx|Respiratory hospital admissions", US_national_yearly!$D:$AM, 10, FALSE), 1)</f>
        <v>1.6519686292862718E-6</v>
      </c>
      <c r="L12" s="7">
        <f>$B12 * IFERROR(VLOOKUP("industry|NOx|Respiratory hospital admissions", US_national_yearly!$D:$AM, 20, FALSE) / VLOOKUP("industry|NOx|Respiratory hospital admissions", US_national_yearly!$D:$AM, 10, FALSE), 1)</f>
        <v>1.67991134578062E-6</v>
      </c>
      <c r="M12" s="7">
        <f>$B12 * IFERROR(VLOOKUP("industry|NOx|Respiratory hospital admissions", US_national_yearly!$D:$AM, 21, FALSE) / VLOOKUP("industry|NOx|Respiratory hospital admissions", US_national_yearly!$D:$AM, 10, FALSE), 1)</f>
        <v>1.7078540622749683E-6</v>
      </c>
      <c r="N12" s="7">
        <f>$B12 * IFERROR(VLOOKUP("industry|NOx|Respiratory hospital admissions", US_national_yearly!$D:$AM, 22, FALSE) / VLOOKUP("industry|NOx|Respiratory hospital admissions", US_national_yearly!$D:$AM, 10, FALSE), 1)</f>
        <v>1.7265817455832422E-6</v>
      </c>
      <c r="O12" s="7">
        <f>$B12 * IFERROR(VLOOKUP("industry|NOx|Respiratory hospital admissions", US_national_yearly!$D:$AM, 23, FALSE) / VLOOKUP("industry|NOx|Respiratory hospital admissions", US_national_yearly!$D:$AM, 10, FALSE), 1)</f>
        <v>1.7453094288915157E-6</v>
      </c>
      <c r="P12" s="7">
        <f>$B12 * IFERROR(VLOOKUP("industry|NOx|Respiratory hospital admissions", US_national_yearly!$D:$AM, 24, FALSE) / VLOOKUP("industry|NOx|Respiratory hospital admissions", US_national_yearly!$D:$AM, 10, FALSE), 1)</f>
        <v>1.7640371121997896E-6</v>
      </c>
      <c r="Q12" s="7">
        <f>$B12 * IFERROR(VLOOKUP("industry|NOx|Respiratory hospital admissions", US_national_yearly!$D:$AM, 25, FALSE) / VLOOKUP("industry|NOx|Respiratory hospital admissions", US_national_yearly!$D:$AM, 10, FALSE), 1)</f>
        <v>1.7827647955080633E-6</v>
      </c>
      <c r="R12" s="7">
        <f>$B12 * IFERROR(VLOOKUP("industry|NOx|Respiratory hospital admissions", US_national_yearly!$D:$AM, 26, FALSE) / VLOOKUP("industry|NOx|Respiratory hospital admissions", US_national_yearly!$D:$AM, 10, FALSE), 1)</f>
        <v>1.8014924788163372E-6</v>
      </c>
      <c r="S12" s="7">
        <f>$B12 * IFERROR(VLOOKUP("industry|NOx|Respiratory hospital admissions", US_national_yearly!$D:$AM, 27, FALSE) / VLOOKUP("industry|NOx|Respiratory hospital admissions", US_national_yearly!$D:$AM, 10, FALSE), 1)</f>
        <v>1.8116599836583394E-6</v>
      </c>
      <c r="T12" s="7">
        <f>$B12 * IFERROR(VLOOKUP("industry|NOx|Respiratory hospital admissions", US_national_yearly!$D:$AM, 28, FALSE) / VLOOKUP("industry|NOx|Respiratory hospital admissions", US_national_yearly!$D:$AM, 10, FALSE), 1)</f>
        <v>1.8218274885003418E-6</v>
      </c>
      <c r="U12" s="7">
        <f>$B12 * IFERROR(VLOOKUP("industry|NOx|Respiratory hospital admissions", US_national_yearly!$D:$AM, 29, FALSE) / VLOOKUP("industry|NOx|Respiratory hospital admissions", US_national_yearly!$D:$AM, 10, FALSE), 1)</f>
        <v>1.8319949933423438E-6</v>
      </c>
      <c r="V12" s="7">
        <f>$B12 * IFERROR(VLOOKUP("industry|NOx|Respiratory hospital admissions", US_national_yearly!$D:$AM, 30, FALSE) / VLOOKUP("industry|NOx|Respiratory hospital admissions", US_national_yearly!$D:$AM, 10, FALSE), 1)</f>
        <v>1.842162498184346E-6</v>
      </c>
      <c r="W12" s="7">
        <f>$B12 * IFERROR(VLOOKUP("industry|NOx|Respiratory hospital admissions", US_national_yearly!$D:$AM, 31, FALSE) / VLOOKUP("industry|NOx|Respiratory hospital admissions", US_national_yearly!$D:$AM, 10, FALSE), 1)</f>
        <v>1.8523300030263484E-6</v>
      </c>
      <c r="X12" s="7">
        <f>$B12 * IFERROR(VLOOKUP("industry|NOx|Respiratory hospital admissions", US_national_yearly!$D:$AM, 32, FALSE) / VLOOKUP("industry|NOx|Respiratory hospital admissions", US_national_yearly!$D:$AM, 10, FALSE), 1)</f>
        <v>1.8594194137324823E-6</v>
      </c>
      <c r="Y12" s="7">
        <f>$B12 * IFERROR(VLOOKUP("industry|NOx|Respiratory hospital admissions", US_national_yearly!$D:$AM, 33, FALSE) / VLOOKUP("industry|NOx|Respiratory hospital admissions", US_national_yearly!$D:$AM, 10, FALSE), 1)</f>
        <v>1.8665088244386164E-6</v>
      </c>
      <c r="Z12" s="7">
        <f>$B12 * IFERROR(VLOOKUP("industry|NOx|Respiratory hospital admissions", US_national_yearly!$D:$AM, 34, FALSE) / VLOOKUP("industry|NOx|Respiratory hospital admissions", US_national_yearly!$D:$AM, 10, FALSE), 1)</f>
        <v>1.8735982351447507E-6</v>
      </c>
      <c r="AA12" s="7">
        <f>$B12 * IFERROR(VLOOKUP("industry|NOx|Respiratory hospital admissions", US_national_yearly!$D:$AM, 35, FALSE) / VLOOKUP("industry|NOx|Respiratory hospital admissions", US_national_yearly!$D:$AM, 10, FALSE), 1)</f>
        <v>1.8806876458508846E-6</v>
      </c>
      <c r="AB12" s="7">
        <f>$B12 * IFERROR(VLOOKUP("industry|NOx|Respiratory hospital admissions", US_national_yearly!$D:$AM, 36, FALSE) / VLOOKUP("industry|NOx|Respiratory hospital admissions", US_national_yearly!$D:$AM, 10, FALSE), 1)</f>
        <v>1.8877770565570188E-6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1.4412083892358025E-5</v>
      </c>
      <c r="C13" s="7">
        <f>$B13 * IFERROR(VLOOKUP("industry|NOx|Non-fatal heart attacks", US_national_yearly!$D:$AM, 11, FALSE) / VLOOKUP("industry|NOx|Non-fatal heart attacks", US_national_yearly!$D:$AM, 10, FALSE), 1)</f>
        <v>1.4823850939975188E-5</v>
      </c>
      <c r="D13" s="7">
        <f>$B13 * IFERROR(VLOOKUP("industry|NOx|Non-fatal heart attacks", US_national_yearly!$D:$AM, 12, FALSE) / VLOOKUP("industry|NOx|Non-fatal heart attacks", US_national_yearly!$D:$AM, 10, FALSE), 1)</f>
        <v>1.5235617987592353E-5</v>
      </c>
      <c r="E13" s="7">
        <f>$B13 * IFERROR(VLOOKUP("industry|NOx|Non-fatal heart attacks", US_national_yearly!$D:$AM, 13, FALSE) / VLOOKUP("industry|NOx|Non-fatal heart attacks", US_national_yearly!$D:$AM, 10, FALSE), 1)</f>
        <v>1.5647385035209514E-5</v>
      </c>
      <c r="F13" s="7">
        <f>$B13 * IFERROR(VLOOKUP("industry|NOx|Non-fatal heart attacks", US_national_yearly!$D:$AM, 14, FALSE) / VLOOKUP("industry|NOx|Non-fatal heart attacks", US_national_yearly!$D:$AM, 10, FALSE), 1)</f>
        <v>1.6059152082826679E-5</v>
      </c>
      <c r="G13" s="7">
        <f>$B13 * IFERROR(VLOOKUP("industry|NOx|Non-fatal heart attacks", US_national_yearly!$D:$AM, 15, FALSE) / VLOOKUP("industry|NOx|Non-fatal heart attacks", US_national_yearly!$D:$AM, 10, FALSE), 1)</f>
        <v>1.6444274222241154E-5</v>
      </c>
      <c r="H13" s="7">
        <f>$B13 * IFERROR(VLOOKUP("industry|NOx|Non-fatal heart attacks", US_national_yearly!$D:$AM, 16, FALSE) / VLOOKUP("industry|NOx|Non-fatal heart attacks", US_national_yearly!$D:$AM, 10, FALSE), 1)</f>
        <v>1.6829396361655622E-5</v>
      </c>
      <c r="I13" s="7">
        <f>$B13 * IFERROR(VLOOKUP("industry|NOx|Non-fatal heart attacks", US_national_yearly!$D:$AM, 17, FALSE) / VLOOKUP("industry|NOx|Non-fatal heart attacks", US_national_yearly!$D:$AM, 10, FALSE), 1)</f>
        <v>1.7133987490214342E-5</v>
      </c>
      <c r="J13" s="7">
        <f>$B13 * IFERROR(VLOOKUP("industry|NOx|Non-fatal heart attacks", US_national_yearly!$D:$AM, 18, FALSE) / VLOOKUP("industry|NOx|Non-fatal heart attacks", US_national_yearly!$D:$AM, 10, FALSE), 1)</f>
        <v>1.7438578618773058E-5</v>
      </c>
      <c r="K13" s="7">
        <f>$B13 * IFERROR(VLOOKUP("industry|NOx|Non-fatal heart attacks", US_national_yearly!$D:$AM, 19, FALSE) / VLOOKUP("industry|NOx|Non-fatal heart attacks", US_national_yearly!$D:$AM, 10, FALSE), 1)</f>
        <v>1.774316974733177E-5</v>
      </c>
      <c r="L13" s="7">
        <f>$B13 * IFERROR(VLOOKUP("industry|NOx|Non-fatal heart attacks", US_national_yearly!$D:$AM, 20, FALSE) / VLOOKUP("industry|NOx|Non-fatal heart attacks", US_national_yearly!$D:$AM, 10, FALSE), 1)</f>
        <v>1.8047760875890493E-5</v>
      </c>
      <c r="M13" s="7">
        <f>$B13 * IFERROR(VLOOKUP("industry|NOx|Non-fatal heart attacks", US_national_yearly!$D:$AM, 21, FALSE) / VLOOKUP("industry|NOx|Non-fatal heart attacks", US_national_yearly!$D:$AM, 10, FALSE), 1)</f>
        <v>1.8352352004449213E-5</v>
      </c>
      <c r="N13" s="7">
        <f>$B13 * IFERROR(VLOOKUP("industry|NOx|Non-fatal heart attacks", US_national_yearly!$D:$AM, 22, FALSE) / VLOOKUP("industry|NOx|Non-fatal heart attacks", US_national_yearly!$D:$AM, 10, FALSE), 1)</f>
        <v>1.8535853540427418E-5</v>
      </c>
      <c r="O13" s="7">
        <f>$B13 * IFERROR(VLOOKUP("industry|NOx|Non-fatal heart attacks", US_national_yearly!$D:$AM, 23, FALSE) / VLOOKUP("industry|NOx|Non-fatal heart attacks", US_national_yearly!$D:$AM, 10, FALSE), 1)</f>
        <v>1.871935507640562E-5</v>
      </c>
      <c r="P13" s="7">
        <f>$B13 * IFERROR(VLOOKUP("industry|NOx|Non-fatal heart attacks", US_national_yearly!$D:$AM, 24, FALSE) / VLOOKUP("industry|NOx|Non-fatal heart attacks", US_national_yearly!$D:$AM, 10, FALSE), 1)</f>
        <v>1.8902856612383822E-5</v>
      </c>
      <c r="Q13" s="7">
        <f>$B13 * IFERROR(VLOOKUP("industry|NOx|Non-fatal heart attacks", US_national_yearly!$D:$AM, 25, FALSE) / VLOOKUP("industry|NOx|Non-fatal heart attacks", US_national_yearly!$D:$AM, 10, FALSE), 1)</f>
        <v>1.9086358148362025E-5</v>
      </c>
      <c r="R13" s="7">
        <f>$B13 * IFERROR(VLOOKUP("industry|NOx|Non-fatal heart attacks", US_national_yearly!$D:$AM, 26, FALSE) / VLOOKUP("industry|NOx|Non-fatal heart attacks", US_national_yearly!$D:$AM, 10, FALSE), 1)</f>
        <v>1.9269859684340227E-5</v>
      </c>
      <c r="S13" s="7">
        <f>$B13 * IFERROR(VLOOKUP("industry|NOx|Non-fatal heart attacks", US_national_yearly!$D:$AM, 27, FALSE) / VLOOKUP("industry|NOx|Non-fatal heart attacks", US_national_yearly!$D:$AM, 10, FALSE), 1)</f>
        <v>1.935405384924517E-5</v>
      </c>
      <c r="T13" s="7">
        <f>$B13 * IFERROR(VLOOKUP("industry|NOx|Non-fatal heart attacks", US_national_yearly!$D:$AM, 28, FALSE) / VLOOKUP("industry|NOx|Non-fatal heart attacks", US_national_yearly!$D:$AM, 10, FALSE), 1)</f>
        <v>1.943824801415011E-5</v>
      </c>
      <c r="U13" s="7">
        <f>$B13 * IFERROR(VLOOKUP("industry|NOx|Non-fatal heart attacks", US_national_yearly!$D:$AM, 29, FALSE) / VLOOKUP("industry|NOx|Non-fatal heart attacks", US_national_yearly!$D:$AM, 10, FALSE), 1)</f>
        <v>1.952244217905505E-5</v>
      </c>
      <c r="V13" s="7">
        <f>$B13 * IFERROR(VLOOKUP("industry|NOx|Non-fatal heart attacks", US_national_yearly!$D:$AM, 30, FALSE) / VLOOKUP("industry|NOx|Non-fatal heart attacks", US_national_yearly!$D:$AM, 10, FALSE), 1)</f>
        <v>1.9606636343959993E-5</v>
      </c>
      <c r="W13" s="7">
        <f>$B13 * IFERROR(VLOOKUP("industry|NOx|Non-fatal heart attacks", US_national_yearly!$D:$AM, 31, FALSE) / VLOOKUP("industry|NOx|Non-fatal heart attacks", US_national_yearly!$D:$AM, 10, FALSE), 1)</f>
        <v>1.9690830508864933E-5</v>
      </c>
      <c r="X13" s="7">
        <f>$B13 * IFERROR(VLOOKUP("industry|NOx|Non-fatal heart attacks", US_national_yearly!$D:$AM, 32, FALSE) / VLOOKUP("industry|NOx|Non-fatal heart attacks", US_national_yearly!$D:$AM, 10, FALSE), 1)</f>
        <v>1.9747652346316887E-5</v>
      </c>
      <c r="Y13" s="7">
        <f>$B13 * IFERROR(VLOOKUP("industry|NOx|Non-fatal heart attacks", US_national_yearly!$D:$AM, 33, FALSE) / VLOOKUP("industry|NOx|Non-fatal heart attacks", US_national_yearly!$D:$AM, 10, FALSE), 1)</f>
        <v>1.9804474183768845E-5</v>
      </c>
      <c r="Z13" s="7">
        <f>$B13 * IFERROR(VLOOKUP("industry|NOx|Non-fatal heart attacks", US_national_yearly!$D:$AM, 34, FALSE) / VLOOKUP("industry|NOx|Non-fatal heart attacks", US_national_yearly!$D:$AM, 10, FALSE), 1)</f>
        <v>1.9861296021220803E-5</v>
      </c>
      <c r="AA13" s="7">
        <f>$B13 * IFERROR(VLOOKUP("industry|NOx|Non-fatal heart attacks", US_national_yearly!$D:$AM, 35, FALSE) / VLOOKUP("industry|NOx|Non-fatal heart attacks", US_national_yearly!$D:$AM, 10, FALSE), 1)</f>
        <v>1.9918117858672757E-5</v>
      </c>
      <c r="AB13" s="7">
        <f>$B13 * IFERROR(VLOOKUP("industry|NOx|Non-fatal heart attacks", US_national_yearly!$D:$AM, 36, FALSE) / VLOOKUP("industry|NOx|Non-fatal heart attacks", US_national_yearly!$D:$AM, 10, FALSE), 1)</f>
        <v>1.9974939696124715E-5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6.8689927836716163E-3</v>
      </c>
      <c r="C14" s="7">
        <f>$B14 * IFERROR(VLOOKUP("industry|NOx|Minor restricted activity days", US_national_yearly!$D:$AM, 11, FALSE) / VLOOKUP("industry|NOx|Minor restricted activity days", US_national_yearly!$D:$AM, 10, FALSE), 1)</f>
        <v>6.8791697265231308E-3</v>
      </c>
      <c r="D14" s="7">
        <f>$B14 * IFERROR(VLOOKUP("industry|NOx|Minor restricted activity days", US_national_yearly!$D:$AM, 12, FALSE) / VLOOKUP("industry|NOx|Minor restricted activity days", US_national_yearly!$D:$AM, 10, FALSE), 1)</f>
        <v>6.8893466693746444E-3</v>
      </c>
      <c r="E14" s="7">
        <f>$B14 * IFERROR(VLOOKUP("industry|NOx|Minor restricted activity days", US_national_yearly!$D:$AM, 13, FALSE) / VLOOKUP("industry|NOx|Minor restricted activity days", US_national_yearly!$D:$AM, 10, FALSE), 1)</f>
        <v>6.8995236122261589E-3</v>
      </c>
      <c r="F14" s="7">
        <f>$B14 * IFERROR(VLOOKUP("industry|NOx|Minor restricted activity days", US_national_yearly!$D:$AM, 14, FALSE) / VLOOKUP("industry|NOx|Minor restricted activity days", US_national_yearly!$D:$AM, 10, FALSE), 1)</f>
        <v>6.9097005550776726E-3</v>
      </c>
      <c r="G14" s="7">
        <f>$B14 * IFERROR(VLOOKUP("industry|NOx|Minor restricted activity days", US_national_yearly!$D:$AM, 15, FALSE) / VLOOKUP("industry|NOx|Minor restricted activity days", US_national_yearly!$D:$AM, 10, FALSE), 1)</f>
        <v>6.9282267278089641E-3</v>
      </c>
      <c r="H14" s="7">
        <f>$B14 * IFERROR(VLOOKUP("industry|NOx|Minor restricted activity days", US_national_yearly!$D:$AM, 16, FALSE) / VLOOKUP("industry|NOx|Minor restricted activity days", US_national_yearly!$D:$AM, 10, FALSE), 1)</f>
        <v>6.9467529005402548E-3</v>
      </c>
      <c r="I14" s="7">
        <f>$B14 * IFERROR(VLOOKUP("industry|NOx|Minor restricted activity days", US_national_yearly!$D:$AM, 17, FALSE) / VLOOKUP("industry|NOx|Minor restricted activity days", US_national_yearly!$D:$AM, 10, FALSE), 1)</f>
        <v>6.9832243087168885E-3</v>
      </c>
      <c r="J14" s="7">
        <f>$B14 * IFERROR(VLOOKUP("industry|NOx|Minor restricted activity days", US_national_yearly!$D:$AM, 18, FALSE) / VLOOKUP("industry|NOx|Minor restricted activity days", US_national_yearly!$D:$AM, 10, FALSE), 1)</f>
        <v>7.0196957168935196E-3</v>
      </c>
      <c r="K14" s="7">
        <f>$B14 * IFERROR(VLOOKUP("industry|NOx|Minor restricted activity days", US_national_yearly!$D:$AM, 19, FALSE) / VLOOKUP("industry|NOx|Minor restricted activity days", US_national_yearly!$D:$AM, 10, FALSE), 1)</f>
        <v>7.0561671250701499E-3</v>
      </c>
      <c r="L14" s="7">
        <f>$B14 * IFERROR(VLOOKUP("industry|NOx|Minor restricted activity days", US_national_yearly!$D:$AM, 20, FALSE) / VLOOKUP("industry|NOx|Minor restricted activity days", US_national_yearly!$D:$AM, 10, FALSE), 1)</f>
        <v>7.0926385332467827E-3</v>
      </c>
      <c r="M14" s="7">
        <f>$B14 * IFERROR(VLOOKUP("industry|NOx|Minor restricted activity days", US_national_yearly!$D:$AM, 21, FALSE) / VLOOKUP("industry|NOx|Minor restricted activity days", US_national_yearly!$D:$AM, 10, FALSE), 1)</f>
        <v>7.1291099414234138E-3</v>
      </c>
      <c r="N14" s="7">
        <f>$B14 * IFERROR(VLOOKUP("industry|NOx|Minor restricted activity days", US_national_yearly!$D:$AM, 22, FALSE) / VLOOKUP("industry|NOx|Minor restricted activity days", US_national_yearly!$D:$AM, 10, FALSE), 1)</f>
        <v>7.1816312073867457E-3</v>
      </c>
      <c r="O14" s="7">
        <f>$B14 * IFERROR(VLOOKUP("industry|NOx|Minor restricted activity days", US_national_yearly!$D:$AM, 23, FALSE) / VLOOKUP("industry|NOx|Minor restricted activity days", US_national_yearly!$D:$AM, 10, FALSE), 1)</f>
        <v>7.2341524733500794E-3</v>
      </c>
      <c r="P14" s="7">
        <f>$B14 * IFERROR(VLOOKUP("industry|NOx|Minor restricted activity days", US_national_yearly!$D:$AM, 24, FALSE) / VLOOKUP("industry|NOx|Minor restricted activity days", US_national_yearly!$D:$AM, 10, FALSE), 1)</f>
        <v>7.286673739313413E-3</v>
      </c>
      <c r="Q14" s="7">
        <f>$B14 * IFERROR(VLOOKUP("industry|NOx|Minor restricted activity days", US_national_yearly!$D:$AM, 25, FALSE) / VLOOKUP("industry|NOx|Minor restricted activity days", US_national_yearly!$D:$AM, 10, FALSE), 1)</f>
        <v>7.3391950052767449E-3</v>
      </c>
      <c r="R14" s="7">
        <f>$B14 * IFERROR(VLOOKUP("industry|NOx|Minor restricted activity days", US_national_yearly!$D:$AM, 26, FALSE) / VLOOKUP("industry|NOx|Minor restricted activity days", US_national_yearly!$D:$AM, 10, FALSE), 1)</f>
        <v>7.3917162712400786E-3</v>
      </c>
      <c r="S14" s="7">
        <f>$B14 * IFERROR(VLOOKUP("industry|NOx|Minor restricted activity days", US_national_yearly!$D:$AM, 27, FALSE) / VLOOKUP("industry|NOx|Minor restricted activity days", US_national_yearly!$D:$AM, 10, FALSE), 1)</f>
        <v>7.4442937682472525E-3</v>
      </c>
      <c r="T14" s="7">
        <f>$B14 * IFERROR(VLOOKUP("industry|NOx|Minor restricted activity days", US_national_yearly!$D:$AM, 28, FALSE) / VLOOKUP("industry|NOx|Minor restricted activity days", US_national_yearly!$D:$AM, 10, FALSE), 1)</f>
        <v>7.4968712652544282E-3</v>
      </c>
      <c r="U14" s="7">
        <f>$B14 * IFERROR(VLOOKUP("industry|NOx|Minor restricted activity days", US_national_yearly!$D:$AM, 29, FALSE) / VLOOKUP("industry|NOx|Minor restricted activity days", US_national_yearly!$D:$AM, 10, FALSE), 1)</f>
        <v>7.5494487622616039E-3</v>
      </c>
      <c r="V14" s="7">
        <f>$B14 * IFERROR(VLOOKUP("industry|NOx|Minor restricted activity days", US_national_yearly!$D:$AM, 30, FALSE) / VLOOKUP("industry|NOx|Minor restricted activity days", US_national_yearly!$D:$AM, 10, FALSE), 1)</f>
        <v>7.6020262592687796E-3</v>
      </c>
      <c r="W14" s="7">
        <f>$B14 * IFERROR(VLOOKUP("industry|NOx|Minor restricted activity days", US_national_yearly!$D:$AM, 31, FALSE) / VLOOKUP("industry|NOx|Minor restricted activity days", US_national_yearly!$D:$AM, 10, FALSE), 1)</f>
        <v>7.6546037562759553E-3</v>
      </c>
      <c r="X14" s="7">
        <f>$B14 * IFERROR(VLOOKUP("industry|NOx|Minor restricted activity days", US_national_yearly!$D:$AM, 32, FALSE) / VLOOKUP("industry|NOx|Minor restricted activity days", US_national_yearly!$D:$AM, 10, FALSE), 1)</f>
        <v>7.6989941696566323E-3</v>
      </c>
      <c r="Y14" s="7">
        <f>$B14 * IFERROR(VLOOKUP("industry|NOx|Minor restricted activity days", US_national_yearly!$D:$AM, 33, FALSE) / VLOOKUP("industry|NOx|Minor restricted activity days", US_national_yearly!$D:$AM, 10, FALSE), 1)</f>
        <v>7.7433845830373075E-3</v>
      </c>
      <c r="Z14" s="7">
        <f>$B14 * IFERROR(VLOOKUP("industry|NOx|Minor restricted activity days", US_national_yearly!$D:$AM, 34, FALSE) / VLOOKUP("industry|NOx|Minor restricted activity days", US_national_yearly!$D:$AM, 10, FALSE), 1)</f>
        <v>7.7877749964179819E-3</v>
      </c>
      <c r="AA14" s="7">
        <f>$B14 * IFERROR(VLOOKUP("industry|NOx|Minor restricted activity days", US_national_yearly!$D:$AM, 35, FALSE) / VLOOKUP("industry|NOx|Minor restricted activity days", US_national_yearly!$D:$AM, 10, FALSE), 1)</f>
        <v>7.8321654097986589E-3</v>
      </c>
      <c r="AB14" s="7">
        <f>$B14 * IFERROR(VLOOKUP("industry|NOx|Minor restricted activity days", US_national_yearly!$D:$AM, 36, FALSE) / VLOOKUP("industry|NOx|Minor restricted activity days", US_national_yearly!$D:$AM, 10, FALSE), 1)</f>
        <v>7.8765558231793358E-3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1.1700589266991882E-3</v>
      </c>
      <c r="C15" s="7">
        <f>$B15 * IFERROR(VLOOKUP("industry|NOx|Work loss days", US_national_yearly!$D:$AM, 11, FALSE) / VLOOKUP("industry|NOx|Work loss days", US_national_yearly!$D:$AM, 10, FALSE), 1)</f>
        <v>1.1725940663243754E-3</v>
      </c>
      <c r="D15" s="7">
        <f>$B15 * IFERROR(VLOOKUP("industry|NOx|Work loss days", US_national_yearly!$D:$AM, 12, FALSE) / VLOOKUP("industry|NOx|Work loss days", US_national_yearly!$D:$AM, 10, FALSE), 1)</f>
        <v>1.1751292059495621E-3</v>
      </c>
      <c r="E15" s="7">
        <f>$B15 * IFERROR(VLOOKUP("industry|NOx|Work loss days", US_national_yearly!$D:$AM, 13, FALSE) / VLOOKUP("industry|NOx|Work loss days", US_national_yearly!$D:$AM, 10, FALSE), 1)</f>
        <v>1.1776643455747493E-3</v>
      </c>
      <c r="F15" s="7">
        <f>$B15 * IFERROR(VLOOKUP("industry|NOx|Work loss days", US_national_yearly!$D:$AM, 14, FALSE) / VLOOKUP("industry|NOx|Work loss days", US_national_yearly!$D:$AM, 10, FALSE), 1)</f>
        <v>1.180199485199936E-3</v>
      </c>
      <c r="G15" s="7">
        <f>$B15 * IFERROR(VLOOKUP("industry|NOx|Work loss days", US_national_yearly!$D:$AM, 15, FALSE) / VLOOKUP("industry|NOx|Work loss days", US_national_yearly!$D:$AM, 10, FALSE), 1)</f>
        <v>1.1839077586400725E-3</v>
      </c>
      <c r="H15" s="7">
        <f>$B15 * IFERROR(VLOOKUP("industry|NOx|Work loss days", US_national_yearly!$D:$AM, 16, FALSE) / VLOOKUP("industry|NOx|Work loss days", US_national_yearly!$D:$AM, 10, FALSE), 1)</f>
        <v>1.187616032080209E-3</v>
      </c>
      <c r="I15" s="7">
        <f>$B15 * IFERROR(VLOOKUP("industry|NOx|Work loss days", US_national_yearly!$D:$AM, 17, FALSE) / VLOOKUP("industry|NOx|Work loss days", US_national_yearly!$D:$AM, 10, FALSE), 1)</f>
        <v>1.1936410361706291E-3</v>
      </c>
      <c r="J15" s="7">
        <f>$B15 * IFERROR(VLOOKUP("industry|NOx|Work loss days", US_national_yearly!$D:$AM, 18, FALSE) / VLOOKUP("industry|NOx|Work loss days", US_national_yearly!$D:$AM, 10, FALSE), 1)</f>
        <v>1.1996660402610489E-3</v>
      </c>
      <c r="K15" s="7">
        <f>$B15 * IFERROR(VLOOKUP("industry|NOx|Work loss days", US_national_yearly!$D:$AM, 19, FALSE) / VLOOKUP("industry|NOx|Work loss days", US_national_yearly!$D:$AM, 10, FALSE), 1)</f>
        <v>1.2056910443514692E-3</v>
      </c>
      <c r="L15" s="7">
        <f>$B15 * IFERROR(VLOOKUP("industry|NOx|Work loss days", US_national_yearly!$D:$AM, 20, FALSE) / VLOOKUP("industry|NOx|Work loss days", US_national_yearly!$D:$AM, 10, FALSE), 1)</f>
        <v>1.211716048441889E-3</v>
      </c>
      <c r="M15" s="7">
        <f>$B15 * IFERROR(VLOOKUP("industry|NOx|Work loss days", US_national_yearly!$D:$AM, 21, FALSE) / VLOOKUP("industry|NOx|Work loss days", US_national_yearly!$D:$AM, 10, FALSE), 1)</f>
        <v>1.2177410525323091E-3</v>
      </c>
      <c r="N15" s="7">
        <f>$B15 * IFERROR(VLOOKUP("industry|NOx|Work loss days", US_national_yearly!$D:$AM, 22, FALSE) / VLOOKUP("industry|NOx|Work loss days", US_national_yearly!$D:$AM, 10, FALSE), 1)</f>
        <v>1.2256203915516895E-3</v>
      </c>
      <c r="O15" s="7">
        <f>$B15 * IFERROR(VLOOKUP("industry|NOx|Work loss days", US_national_yearly!$D:$AM, 23, FALSE) / VLOOKUP("industry|NOx|Work loss days", US_national_yearly!$D:$AM, 10, FALSE), 1)</f>
        <v>1.2334997305710703E-3</v>
      </c>
      <c r="P15" s="7">
        <f>$B15 * IFERROR(VLOOKUP("industry|NOx|Work loss days", US_national_yearly!$D:$AM, 24, FALSE) / VLOOKUP("industry|NOx|Work loss days", US_national_yearly!$D:$AM, 10, FALSE), 1)</f>
        <v>1.2413790695904507E-3</v>
      </c>
      <c r="Q15" s="7">
        <f>$B15 * IFERROR(VLOOKUP("industry|NOx|Work loss days", US_national_yearly!$D:$AM, 25, FALSE) / VLOOKUP("industry|NOx|Work loss days", US_national_yearly!$D:$AM, 10, FALSE), 1)</f>
        <v>1.2492584086098311E-3</v>
      </c>
      <c r="R15" s="7">
        <f>$B15 * IFERROR(VLOOKUP("industry|NOx|Work loss days", US_national_yearly!$D:$AM, 26, FALSE) / VLOOKUP("industry|NOx|Work loss days", US_national_yearly!$D:$AM, 10, FALSE), 1)</f>
        <v>1.2571377476292118E-3</v>
      </c>
      <c r="S15" s="7">
        <f>$B15 * IFERROR(VLOOKUP("industry|NOx|Work loss days", US_national_yearly!$D:$AM, 27, FALSE) / VLOOKUP("industry|NOx|Work loss days", US_national_yearly!$D:$AM, 10, FALSE), 1)</f>
        <v>1.2659463713862822E-3</v>
      </c>
      <c r="T15" s="7">
        <f>$B15 * IFERROR(VLOOKUP("industry|NOx|Work loss days", US_national_yearly!$D:$AM, 28, FALSE) / VLOOKUP("industry|NOx|Work loss days", US_national_yearly!$D:$AM, 10, FALSE), 1)</f>
        <v>1.2747549951433528E-3</v>
      </c>
      <c r="U15" s="7">
        <f>$B15 * IFERROR(VLOOKUP("industry|NOx|Work loss days", US_national_yearly!$D:$AM, 29, FALSE) / VLOOKUP("industry|NOx|Work loss days", US_national_yearly!$D:$AM, 10, FALSE), 1)</f>
        <v>1.2835636189004237E-3</v>
      </c>
      <c r="V15" s="7">
        <f>$B15 * IFERROR(VLOOKUP("industry|NOx|Work loss days", US_national_yearly!$D:$AM, 30, FALSE) / VLOOKUP("industry|NOx|Work loss days", US_national_yearly!$D:$AM, 10, FALSE), 1)</f>
        <v>1.2923722426574941E-3</v>
      </c>
      <c r="W15" s="7">
        <f>$B15 * IFERROR(VLOOKUP("industry|NOx|Work loss days", US_national_yearly!$D:$AM, 31, FALSE) / VLOOKUP("industry|NOx|Work loss days", US_national_yearly!$D:$AM, 10, FALSE), 1)</f>
        <v>1.3011808664145647E-3</v>
      </c>
      <c r="X15" s="7">
        <f>$B15 * IFERROR(VLOOKUP("industry|NOx|Work loss days", US_national_yearly!$D:$AM, 32, FALSE) / VLOOKUP("industry|NOx|Work loss days", US_national_yearly!$D:$AM, 10, FALSE), 1)</f>
        <v>1.3088226547245457E-3</v>
      </c>
      <c r="Y15" s="7">
        <f>$B15 * IFERROR(VLOOKUP("industry|NOx|Work loss days", US_national_yearly!$D:$AM, 33, FALSE) / VLOOKUP("industry|NOx|Work loss days", US_national_yearly!$D:$AM, 10, FALSE), 1)</f>
        <v>1.3164644430345269E-3</v>
      </c>
      <c r="Z15" s="7">
        <f>$B15 * IFERROR(VLOOKUP("industry|NOx|Work loss days", US_national_yearly!$D:$AM, 34, FALSE) / VLOOKUP("industry|NOx|Work loss days", US_national_yearly!$D:$AM, 10, FALSE), 1)</f>
        <v>1.3241062313445078E-3</v>
      </c>
      <c r="AA15" s="7">
        <f>$B15 * IFERROR(VLOOKUP("industry|NOx|Work loss days", US_national_yearly!$D:$AM, 35, FALSE) / VLOOKUP("industry|NOx|Work loss days", US_national_yearly!$D:$AM, 10, FALSE), 1)</f>
        <v>1.3317480196544888E-3</v>
      </c>
      <c r="AB15" s="7">
        <f>$B15 * IFERROR(VLOOKUP("industry|NOx|Work loss days", US_national_yearly!$D:$AM, 36, FALSE) / VLOOKUP("industry|NOx|Work loss days", US_national_yearly!$D:$AM, 10, FALSE), 1)</f>
        <v>1.3393898079644697E-3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2.128683339093597E-6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2.1911871679694521E-6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2.2536909968453068E-6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2.3161948257211619E-6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2.3786986545970174E-6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2.4381038029801777E-6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2.4975089513633388E-6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2.5475917898346795E-6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2.5976746283060203E-6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2.6477574667773606E-6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2.6978403052487014E-6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2.7479231437200417E-6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2.7792770615473632E-6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2.8106309793746838E-6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2.8419848972020049E-6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2.8733388150293259E-6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2.9046927328566466E-6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2.9191569118060357E-6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2.9336210907554249E-6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2.948085269704814E-6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2.9625494486542032E-6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2.9770136276035919E-6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2.9851857876235844E-6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2.9933579476435769E-6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3.001530107663569E-6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3.0097022676835611E-6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3.0178744277035541E-6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2.4039421469690723E-4</v>
      </c>
      <c r="C2" s="7">
        <f>$B2 * IFERROR(VLOOKUP("industry|SO2|Premature mortality", US_national_yearly!$D:$AM, 11, FALSE) / VLOOKUP("industry|SO2|Premature mortality", US_national_yearly!$D:$AM, 10, FALSE), 1)</f>
        <v>2.4344166876530542E-4</v>
      </c>
      <c r="D2" s="7">
        <f>$B2 * IFERROR(VLOOKUP("industry|SO2|Premature mortality", US_national_yearly!$D:$AM, 12, FALSE) / VLOOKUP("industry|SO2|Premature mortality", US_national_yearly!$D:$AM, 10, FALSE), 1)</f>
        <v>2.4648912283370357E-4</v>
      </c>
      <c r="E2" s="7">
        <f>$B2 * IFERROR(VLOOKUP("industry|SO2|Premature mortality", US_national_yearly!$D:$AM, 13, FALSE) / VLOOKUP("industry|SO2|Premature mortality", US_national_yearly!$D:$AM, 10, FALSE), 1)</f>
        <v>2.4953657690210174E-4</v>
      </c>
      <c r="F2" s="7">
        <f>$B2 * IFERROR(VLOOKUP("industry|SO2|Premature mortality", US_national_yearly!$D:$AM, 14, FALSE) / VLOOKUP("industry|SO2|Premature mortality", US_national_yearly!$D:$AM, 10, FALSE), 1)</f>
        <v>2.5258403097049996E-4</v>
      </c>
      <c r="G2" s="7">
        <f>$B2 * IFERROR(VLOOKUP("industry|SO2|Premature mortality", US_national_yearly!$D:$AM, 15, FALSE) / VLOOKUP("industry|SO2|Premature mortality", US_national_yearly!$D:$AM, 10, FALSE), 1)</f>
        <v>2.5845788780742997E-4</v>
      </c>
      <c r="H2" s="7">
        <f>$B2 * IFERROR(VLOOKUP("industry|SO2|Premature mortality", US_national_yearly!$D:$AM, 16, FALSE) / VLOOKUP("industry|SO2|Premature mortality", US_national_yearly!$D:$AM, 10, FALSE), 1)</f>
        <v>2.6433174464436004E-4</v>
      </c>
      <c r="I2" s="7">
        <f>$B2 * IFERROR(VLOOKUP("industry|SO2|Premature mortality", US_national_yearly!$D:$AM, 17, FALSE) / VLOOKUP("industry|SO2|Premature mortality", US_national_yearly!$D:$AM, 10, FALSE), 1)</f>
        <v>2.6822124072012853E-4</v>
      </c>
      <c r="J2" s="7">
        <f>$B2 * IFERROR(VLOOKUP("industry|SO2|Premature mortality", US_national_yearly!$D:$AM, 18, FALSE) / VLOOKUP("industry|SO2|Premature mortality", US_national_yearly!$D:$AM, 10, FALSE), 1)</f>
        <v>2.7211073679589697E-4</v>
      </c>
      <c r="K2" s="7">
        <f>$B2 * IFERROR(VLOOKUP("industry|SO2|Premature mortality", US_national_yearly!$D:$AM, 19, FALSE) / VLOOKUP("industry|SO2|Premature mortality", US_national_yearly!$D:$AM, 10, FALSE), 1)</f>
        <v>2.7600023287166541E-4</v>
      </c>
      <c r="L2" s="7">
        <f>$B2 * IFERROR(VLOOKUP("industry|SO2|Premature mortality", US_national_yearly!$D:$AM, 20, FALSE) / VLOOKUP("industry|SO2|Premature mortality", US_national_yearly!$D:$AM, 10, FALSE), 1)</f>
        <v>2.7988972894743395E-4</v>
      </c>
      <c r="M2" s="7">
        <f>$B2 * IFERROR(VLOOKUP("industry|SO2|Premature mortality", US_national_yearly!$D:$AM, 21, FALSE) / VLOOKUP("industry|SO2|Premature mortality", US_national_yearly!$D:$AM, 10, FALSE), 1)</f>
        <v>2.8377922502320239E-4</v>
      </c>
      <c r="N2" s="7">
        <f>$B2 * IFERROR(VLOOKUP("industry|SO2|Premature mortality", US_national_yearly!$D:$AM, 22, FALSE) / VLOOKUP("industry|SO2|Premature mortality", US_national_yearly!$D:$AM, 10, FALSE), 1)</f>
        <v>2.8682173572633536E-4</v>
      </c>
      <c r="O2" s="7">
        <f>$B2 * IFERROR(VLOOKUP("industry|SO2|Premature mortality", US_national_yearly!$D:$AM, 23, FALSE) / VLOOKUP("industry|SO2|Premature mortality", US_national_yearly!$D:$AM, 10, FALSE), 1)</f>
        <v>2.8986424642946839E-4</v>
      </c>
      <c r="P2" s="7">
        <f>$B2 * IFERROR(VLOOKUP("industry|SO2|Premature mortality", US_national_yearly!$D:$AM, 24, FALSE) / VLOOKUP("industry|SO2|Premature mortality", US_national_yearly!$D:$AM, 10, FALSE), 1)</f>
        <v>2.9290675713260141E-4</v>
      </c>
      <c r="Q2" s="7">
        <f>$B2 * IFERROR(VLOOKUP("industry|SO2|Premature mortality", US_national_yearly!$D:$AM, 25, FALSE) / VLOOKUP("industry|SO2|Premature mortality", US_national_yearly!$D:$AM, 10, FALSE), 1)</f>
        <v>2.9594926783573438E-4</v>
      </c>
      <c r="R2" s="7">
        <f>$B2 * IFERROR(VLOOKUP("industry|SO2|Premature mortality", US_national_yearly!$D:$AM, 26, FALSE) / VLOOKUP("industry|SO2|Premature mortality", US_national_yearly!$D:$AM, 10, FALSE), 1)</f>
        <v>2.989917785388674E-4</v>
      </c>
      <c r="S2" s="7">
        <f>$B2 * IFERROR(VLOOKUP("industry|SO2|Premature mortality", US_national_yearly!$D:$AM, 27, FALSE) / VLOOKUP("industry|SO2|Premature mortality", US_national_yearly!$D:$AM, 10, FALSE), 1)</f>
        <v>3.0063456670456439E-4</v>
      </c>
      <c r="T2" s="7">
        <f>$B2 * IFERROR(VLOOKUP("industry|SO2|Premature mortality", US_national_yearly!$D:$AM, 28, FALSE) / VLOOKUP("industry|SO2|Premature mortality", US_national_yearly!$D:$AM, 10, FALSE), 1)</f>
        <v>3.0227735487026137E-4</v>
      </c>
      <c r="U2" s="7">
        <f>$B2 * IFERROR(VLOOKUP("industry|SO2|Premature mortality", US_national_yearly!$D:$AM, 29, FALSE) / VLOOKUP("industry|SO2|Premature mortality", US_national_yearly!$D:$AM, 10, FALSE), 1)</f>
        <v>3.0392014303595846E-4</v>
      </c>
      <c r="V2" s="7">
        <f>$B2 * IFERROR(VLOOKUP("industry|SO2|Premature mortality", US_national_yearly!$D:$AM, 30, FALSE) / VLOOKUP("industry|SO2|Premature mortality", US_national_yearly!$D:$AM, 10, FALSE), 1)</f>
        <v>3.055629312016555E-4</v>
      </c>
      <c r="W2" s="7">
        <f>$B2 * IFERROR(VLOOKUP("industry|SO2|Premature mortality", US_national_yearly!$D:$AM, 31, FALSE) / VLOOKUP("industry|SO2|Premature mortality", US_national_yearly!$D:$AM, 10, FALSE), 1)</f>
        <v>3.0720571936735248E-4</v>
      </c>
      <c r="X2" s="7">
        <f>$B2 * IFERROR(VLOOKUP("industry|SO2|Premature mortality", US_national_yearly!$D:$AM, 32, FALSE) / VLOOKUP("industry|SO2|Premature mortality", US_national_yearly!$D:$AM, 10, FALSE), 1)</f>
        <v>3.0755929750849587E-4</v>
      </c>
      <c r="Y2" s="7">
        <f>$B2 * IFERROR(VLOOKUP("industry|SO2|Premature mortality", US_national_yearly!$D:$AM, 33, FALSE) / VLOOKUP("industry|SO2|Premature mortality", US_national_yearly!$D:$AM, 10, FALSE), 1)</f>
        <v>3.0791287564963925E-4</v>
      </c>
      <c r="Z2" s="7">
        <f>$B2 * IFERROR(VLOOKUP("industry|SO2|Premature mortality", US_national_yearly!$D:$AM, 34, FALSE) / VLOOKUP("industry|SO2|Premature mortality", US_national_yearly!$D:$AM, 10, FALSE), 1)</f>
        <v>3.0826645379078269E-4</v>
      </c>
      <c r="AA2" s="7">
        <f>$B2 * IFERROR(VLOOKUP("industry|SO2|Premature mortality", US_national_yearly!$D:$AM, 35, FALSE) / VLOOKUP("industry|SO2|Premature mortality", US_national_yearly!$D:$AM, 10, FALSE), 1)</f>
        <v>3.0862003193192608E-4</v>
      </c>
      <c r="AB2" s="7">
        <f>$B2 * IFERROR(VLOOKUP("industry|SO2|Premature mortality", US_national_yearly!$D:$AM, 36, FALSE) / VLOOKUP("industry|SO2|Premature mortality", US_national_yearly!$D:$AM, 10, FALSE), 1)</f>
        <v>3.0897361007306947E-4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7.1026700293683681E-7</v>
      </c>
      <c r="C3" s="7">
        <f>$B3 * IFERROR(VLOOKUP("industry|SO2|Infant mortality", US_national_yearly!$D:$AM, 11, FALSE) / VLOOKUP("industry|SO2|Infant mortality", US_national_yearly!$D:$AM, 10, FALSE), 1)</f>
        <v>7.0415652113708138E-7</v>
      </c>
      <c r="D3" s="7">
        <f>$B3 * IFERROR(VLOOKUP("industry|SO2|Infant mortality", US_national_yearly!$D:$AM, 12, FALSE) / VLOOKUP("industry|SO2|Infant mortality", US_national_yearly!$D:$AM, 10, FALSE), 1)</f>
        <v>6.9804603933732617E-7</v>
      </c>
      <c r="E3" s="7">
        <f>$B3 * IFERROR(VLOOKUP("industry|SO2|Infant mortality", US_national_yearly!$D:$AM, 13, FALSE) / VLOOKUP("industry|SO2|Infant mortality", US_national_yearly!$D:$AM, 10, FALSE), 1)</f>
        <v>6.9193555753757075E-7</v>
      </c>
      <c r="F3" s="7">
        <f>$B3 * IFERROR(VLOOKUP("industry|SO2|Infant mortality", US_national_yearly!$D:$AM, 14, FALSE) / VLOOKUP("industry|SO2|Infant mortality", US_national_yearly!$D:$AM, 10, FALSE), 1)</f>
        <v>6.8582507573781543E-7</v>
      </c>
      <c r="G3" s="7">
        <f>$B3 * IFERROR(VLOOKUP("industry|SO2|Infant mortality", US_national_yearly!$D:$AM, 15, FALSE) / VLOOKUP("industry|SO2|Infant mortality", US_national_yearly!$D:$AM, 10, FALSE), 1)</f>
        <v>4.5655261874729017E-7</v>
      </c>
      <c r="H3" s="7">
        <f>$B3 * IFERROR(VLOOKUP("industry|SO2|Infant mortality", US_national_yearly!$D:$AM, 16, FALSE) / VLOOKUP("industry|SO2|Infant mortality", US_national_yearly!$D:$AM, 10, FALSE), 1)</f>
        <v>2.2728016175676497E-7</v>
      </c>
      <c r="I3" s="7">
        <f>$B3 * IFERROR(VLOOKUP("industry|SO2|Infant mortality", US_national_yearly!$D:$AM, 17, FALSE) / VLOOKUP("industry|SO2|Infant mortality", US_national_yearly!$D:$AM, 10, FALSE), 1)</f>
        <v>2.2583695211450093E-7</v>
      </c>
      <c r="J3" s="7">
        <f>$B3 * IFERROR(VLOOKUP("industry|SO2|Infant mortality", US_national_yearly!$D:$AM, 18, FALSE) / VLOOKUP("industry|SO2|Infant mortality", US_national_yearly!$D:$AM, 10, FALSE), 1)</f>
        <v>2.2439374247223692E-7</v>
      </c>
      <c r="K3" s="7">
        <f>$B3 * IFERROR(VLOOKUP("industry|SO2|Infant mortality", US_national_yearly!$D:$AM, 19, FALSE) / VLOOKUP("industry|SO2|Infant mortality", US_national_yearly!$D:$AM, 10, FALSE), 1)</f>
        <v>2.2295053282997288E-7</v>
      </c>
      <c r="L3" s="7">
        <f>$B3 * IFERROR(VLOOKUP("industry|SO2|Infant mortality", US_national_yearly!$D:$AM, 20, FALSE) / VLOOKUP("industry|SO2|Infant mortality", US_national_yearly!$D:$AM, 10, FALSE), 1)</f>
        <v>2.2150732318770886E-7</v>
      </c>
      <c r="M3" s="7">
        <f>$B3 * IFERROR(VLOOKUP("industry|SO2|Infant mortality", US_national_yearly!$D:$AM, 21, FALSE) / VLOOKUP("industry|SO2|Infant mortality", US_national_yearly!$D:$AM, 10, FALSE), 1)</f>
        <v>2.2006411354544482E-7</v>
      </c>
      <c r="N3" s="7">
        <f>$B3 * IFERROR(VLOOKUP("industry|SO2|Infant mortality", US_national_yearly!$D:$AM, 22, FALSE) / VLOOKUP("industry|SO2|Infant mortality", US_national_yearly!$D:$AM, 10, FALSE), 1)</f>
        <v>2.1914940049405451E-7</v>
      </c>
      <c r="O3" s="7">
        <f>$B3 * IFERROR(VLOOKUP("industry|SO2|Infant mortality", US_national_yearly!$D:$AM, 23, FALSE) / VLOOKUP("industry|SO2|Infant mortality", US_national_yearly!$D:$AM, 10, FALSE), 1)</f>
        <v>2.1823468744266418E-7</v>
      </c>
      <c r="P3" s="7">
        <f>$B3 * IFERROR(VLOOKUP("industry|SO2|Infant mortality", US_national_yearly!$D:$AM, 24, FALSE) / VLOOKUP("industry|SO2|Infant mortality", US_national_yearly!$D:$AM, 10, FALSE), 1)</f>
        <v>2.1731997439127385E-7</v>
      </c>
      <c r="Q3" s="7">
        <f>$B3 * IFERROR(VLOOKUP("industry|SO2|Infant mortality", US_national_yearly!$D:$AM, 25, FALSE) / VLOOKUP("industry|SO2|Infant mortality", US_national_yearly!$D:$AM, 10, FALSE), 1)</f>
        <v>2.1640526133988352E-7</v>
      </c>
      <c r="R3" s="7">
        <f>$B3 * IFERROR(VLOOKUP("industry|SO2|Infant mortality", US_national_yearly!$D:$AM, 26, FALSE) / VLOOKUP("industry|SO2|Infant mortality", US_national_yearly!$D:$AM, 10, FALSE), 1)</f>
        <v>2.1549054828849321E-7</v>
      </c>
      <c r="S3" s="7">
        <f>$B3 * IFERROR(VLOOKUP("industry|SO2|Infant mortality", US_national_yearly!$D:$AM, 27, FALSE) / VLOOKUP("industry|SO2|Infant mortality", US_national_yearly!$D:$AM, 10, FALSE), 1)</f>
        <v>2.1435219833079553E-7</v>
      </c>
      <c r="T3" s="7">
        <f>$B3 * IFERROR(VLOOKUP("industry|SO2|Infant mortality", US_national_yearly!$D:$AM, 28, FALSE) / VLOOKUP("industry|SO2|Infant mortality", US_national_yearly!$D:$AM, 10, FALSE), 1)</f>
        <v>2.1321384837309784E-7</v>
      </c>
      <c r="U3" s="7">
        <f>$B3 * IFERROR(VLOOKUP("industry|SO2|Infant mortality", US_national_yearly!$D:$AM, 29, FALSE) / VLOOKUP("industry|SO2|Infant mortality", US_national_yearly!$D:$AM, 10, FALSE), 1)</f>
        <v>2.1207549841540016E-7</v>
      </c>
      <c r="V3" s="7">
        <f>$B3 * IFERROR(VLOOKUP("industry|SO2|Infant mortality", US_national_yearly!$D:$AM, 30, FALSE) / VLOOKUP("industry|SO2|Infant mortality", US_national_yearly!$D:$AM, 10, FALSE), 1)</f>
        <v>2.1093714845770247E-7</v>
      </c>
      <c r="W3" s="7">
        <f>$B3 * IFERROR(VLOOKUP("industry|SO2|Infant mortality", US_national_yearly!$D:$AM, 31, FALSE) / VLOOKUP("industry|SO2|Infant mortality", US_national_yearly!$D:$AM, 10, FALSE), 1)</f>
        <v>2.0979879850000479E-7</v>
      </c>
      <c r="X3" s="7">
        <f>$B3 * IFERROR(VLOOKUP("industry|SO2|Infant mortality", US_national_yearly!$D:$AM, 32, FALSE) / VLOOKUP("industry|SO2|Infant mortality", US_national_yearly!$D:$AM, 10, FALSE), 1)</f>
        <v>2.0856175180362498E-7</v>
      </c>
      <c r="Y3" s="7">
        <f>$B3 * IFERROR(VLOOKUP("industry|SO2|Infant mortality", US_national_yearly!$D:$AM, 33, FALSE) / VLOOKUP("industry|SO2|Infant mortality", US_national_yearly!$D:$AM, 10, FALSE), 1)</f>
        <v>2.073247051072452E-7</v>
      </c>
      <c r="Z3" s="7">
        <f>$B3 * IFERROR(VLOOKUP("industry|SO2|Infant mortality", US_national_yearly!$D:$AM, 34, FALSE) / VLOOKUP("industry|SO2|Infant mortality", US_national_yearly!$D:$AM, 10, FALSE), 1)</f>
        <v>2.0608765841086542E-7</v>
      </c>
      <c r="AA3" s="7">
        <f>$B3 * IFERROR(VLOOKUP("industry|SO2|Infant mortality", US_national_yearly!$D:$AM, 35, FALSE) / VLOOKUP("industry|SO2|Infant mortality", US_national_yearly!$D:$AM, 10, FALSE), 1)</f>
        <v>2.0485061171448564E-7</v>
      </c>
      <c r="AB3" s="7">
        <f>$B3 * IFERROR(VLOOKUP("industry|SO2|Infant mortality", US_national_yearly!$D:$AM, 36, FALSE) / VLOOKUP("industry|SO2|Infant mortality", US_national_yearly!$D:$AM, 10, FALSE), 1)</f>
        <v>2.0361356501810585E-7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7.08907625150558E-4</v>
      </c>
      <c r="C6" s="7">
        <f>$B6 * IFERROR(VLOOKUP("industry|SO2|Asthma symptoms cough", US_national_yearly!$D:$AM, 11, FALSE) / VLOOKUP("industry|SO2|Asthma symptoms cough", US_national_yearly!$D:$AM, 10, FALSE), 1)</f>
        <v>7.08907625150558E-4</v>
      </c>
      <c r="D6" s="7">
        <f>$B6 * IFERROR(VLOOKUP("industry|SO2|Asthma symptoms cough", US_national_yearly!$D:$AM, 12, FALSE) / VLOOKUP("industry|SO2|Asthma symptoms cough", US_national_yearly!$D:$AM, 10, FALSE), 1)</f>
        <v>7.08907625150558E-4</v>
      </c>
      <c r="E6" s="7">
        <f>$B6 * IFERROR(VLOOKUP("industry|SO2|Asthma symptoms cough", US_national_yearly!$D:$AM, 13, FALSE) / VLOOKUP("industry|SO2|Asthma symptoms cough", US_national_yearly!$D:$AM, 10, FALSE), 1)</f>
        <v>7.08907625150558E-4</v>
      </c>
      <c r="F6" s="7">
        <f>$B6 * IFERROR(VLOOKUP("industry|SO2|Asthma symptoms cough", US_national_yearly!$D:$AM, 14, FALSE) / VLOOKUP("industry|SO2|Asthma symptoms cough", US_national_yearly!$D:$AM, 10, FALSE), 1)</f>
        <v>7.08907625150558E-4</v>
      </c>
      <c r="G6" s="7">
        <f>$B6 * IFERROR(VLOOKUP("industry|SO2|Asthma symptoms cough", US_national_yearly!$D:$AM, 15, FALSE) / VLOOKUP("industry|SO2|Asthma symptoms cough", US_national_yearly!$D:$AM, 10, FALSE), 1)</f>
        <v>7.08907625150558E-4</v>
      </c>
      <c r="H6" s="7">
        <f>$B6 * IFERROR(VLOOKUP("industry|SO2|Asthma symptoms cough", US_national_yearly!$D:$AM, 16, FALSE) / VLOOKUP("industry|SO2|Asthma symptoms cough", US_national_yearly!$D:$AM, 10, FALSE), 1)</f>
        <v>7.08907625150558E-4</v>
      </c>
      <c r="I6" s="7">
        <f>$B6 * IFERROR(VLOOKUP("industry|SO2|Asthma symptoms cough", US_national_yearly!$D:$AM, 17, FALSE) / VLOOKUP("industry|SO2|Asthma symptoms cough", US_national_yearly!$D:$AM, 10, FALSE), 1)</f>
        <v>7.08907625150558E-4</v>
      </c>
      <c r="J6" s="7">
        <f>$B6 * IFERROR(VLOOKUP("industry|SO2|Asthma symptoms cough", US_national_yearly!$D:$AM, 18, FALSE) / VLOOKUP("industry|SO2|Asthma symptoms cough", US_national_yearly!$D:$AM, 10, FALSE), 1)</f>
        <v>7.08907625150558E-4</v>
      </c>
      <c r="K6" s="7">
        <f>$B6 * IFERROR(VLOOKUP("industry|SO2|Asthma symptoms cough", US_national_yearly!$D:$AM, 19, FALSE) / VLOOKUP("industry|SO2|Asthma symptoms cough", US_national_yearly!$D:$AM, 10, FALSE), 1)</f>
        <v>7.08907625150558E-4</v>
      </c>
      <c r="L6" s="7">
        <f>$B6 * IFERROR(VLOOKUP("industry|SO2|Asthma symptoms cough", US_national_yearly!$D:$AM, 20, FALSE) / VLOOKUP("industry|SO2|Asthma symptoms cough", US_national_yearly!$D:$AM, 10, FALSE), 1)</f>
        <v>7.08907625150558E-4</v>
      </c>
      <c r="M6" s="7">
        <f>$B6 * IFERROR(VLOOKUP("industry|SO2|Asthma symptoms cough", US_national_yearly!$D:$AM, 21, FALSE) / VLOOKUP("industry|SO2|Asthma symptoms cough", US_national_yearly!$D:$AM, 10, FALSE), 1)</f>
        <v>7.08907625150558E-4</v>
      </c>
      <c r="N6" s="7">
        <f>$B6 * IFERROR(VLOOKUP("industry|SO2|Asthma symptoms cough", US_national_yearly!$D:$AM, 22, FALSE) / VLOOKUP("industry|SO2|Asthma symptoms cough", US_national_yearly!$D:$AM, 10, FALSE), 1)</f>
        <v>7.08907625150558E-4</v>
      </c>
      <c r="O6" s="7">
        <f>$B6 * IFERROR(VLOOKUP("industry|SO2|Asthma symptoms cough", US_national_yearly!$D:$AM, 23, FALSE) / VLOOKUP("industry|SO2|Asthma symptoms cough", US_national_yearly!$D:$AM, 10, FALSE), 1)</f>
        <v>7.08907625150558E-4</v>
      </c>
      <c r="P6" s="7">
        <f>$B6 * IFERROR(VLOOKUP("industry|SO2|Asthma symptoms cough", US_national_yearly!$D:$AM, 24, FALSE) / VLOOKUP("industry|SO2|Asthma symptoms cough", US_national_yearly!$D:$AM, 10, FALSE), 1)</f>
        <v>7.08907625150558E-4</v>
      </c>
      <c r="Q6" s="7">
        <f>$B6 * IFERROR(VLOOKUP("industry|SO2|Asthma symptoms cough", US_national_yearly!$D:$AM, 25, FALSE) / VLOOKUP("industry|SO2|Asthma symptoms cough", US_national_yearly!$D:$AM, 10, FALSE), 1)</f>
        <v>7.08907625150558E-4</v>
      </c>
      <c r="R6" s="7">
        <f>$B6 * IFERROR(VLOOKUP("industry|SO2|Asthma symptoms cough", US_national_yearly!$D:$AM, 26, FALSE) / VLOOKUP("industry|SO2|Asthma symptoms cough", US_national_yearly!$D:$AM, 10, FALSE), 1)</f>
        <v>7.08907625150558E-4</v>
      </c>
      <c r="S6" s="7">
        <f>$B6 * IFERROR(VLOOKUP("industry|SO2|Asthma symptoms cough", US_national_yearly!$D:$AM, 27, FALSE) / VLOOKUP("industry|SO2|Asthma symptoms cough", US_national_yearly!$D:$AM, 10, FALSE), 1)</f>
        <v>7.08907625150558E-4</v>
      </c>
      <c r="T6" s="7">
        <f>$B6 * IFERROR(VLOOKUP("industry|SO2|Asthma symptoms cough", US_national_yearly!$D:$AM, 28, FALSE) / VLOOKUP("industry|SO2|Asthma symptoms cough", US_national_yearly!$D:$AM, 10, FALSE), 1)</f>
        <v>7.08907625150558E-4</v>
      </c>
      <c r="U6" s="7">
        <f>$B6 * IFERROR(VLOOKUP("industry|SO2|Asthma symptoms cough", US_national_yearly!$D:$AM, 29, FALSE) / VLOOKUP("industry|SO2|Asthma symptoms cough", US_national_yearly!$D:$AM, 10, FALSE), 1)</f>
        <v>7.08907625150558E-4</v>
      </c>
      <c r="V6" s="7">
        <f>$B6 * IFERROR(VLOOKUP("industry|SO2|Asthma symptoms cough", US_national_yearly!$D:$AM, 30, FALSE) / VLOOKUP("industry|SO2|Asthma symptoms cough", US_national_yearly!$D:$AM, 10, FALSE), 1)</f>
        <v>7.08907625150558E-4</v>
      </c>
      <c r="W6" s="7">
        <f>$B6 * IFERROR(VLOOKUP("industry|SO2|Asthma symptoms cough", US_national_yearly!$D:$AM, 31, FALSE) / VLOOKUP("industry|SO2|Asthma symptoms cough", US_national_yearly!$D:$AM, 10, FALSE), 1)</f>
        <v>7.08907625150558E-4</v>
      </c>
      <c r="X6" s="7">
        <f>$B6 * IFERROR(VLOOKUP("industry|SO2|Asthma symptoms cough", US_national_yearly!$D:$AM, 32, FALSE) / VLOOKUP("industry|SO2|Asthma symptoms cough", US_national_yearly!$D:$AM, 10, FALSE), 1)</f>
        <v>7.08907625150558E-4</v>
      </c>
      <c r="Y6" s="7">
        <f>$B6 * IFERROR(VLOOKUP("industry|SO2|Asthma symptoms cough", US_national_yearly!$D:$AM, 33, FALSE) / VLOOKUP("industry|SO2|Asthma symptoms cough", US_national_yearly!$D:$AM, 10, FALSE), 1)</f>
        <v>7.08907625150558E-4</v>
      </c>
      <c r="Z6" s="7">
        <f>$B6 * IFERROR(VLOOKUP("industry|SO2|Asthma symptoms cough", US_national_yearly!$D:$AM, 34, FALSE) / VLOOKUP("industry|SO2|Asthma symptoms cough", US_national_yearly!$D:$AM, 10, FALSE), 1)</f>
        <v>7.08907625150558E-4</v>
      </c>
      <c r="AA6" s="7">
        <f>$B6 * IFERROR(VLOOKUP("industry|SO2|Asthma symptoms cough", US_national_yearly!$D:$AM, 35, FALSE) / VLOOKUP("industry|SO2|Asthma symptoms cough", US_national_yearly!$D:$AM, 10, FALSE), 1)</f>
        <v>7.08907625150558E-4</v>
      </c>
      <c r="AB6" s="7">
        <f>$B6 * IFERROR(VLOOKUP("industry|SO2|Asthma symptoms cough", US_national_yearly!$D:$AM, 36, FALSE) / VLOOKUP("industry|SO2|Asthma symptoms cough", US_national_yearly!$D:$AM, 10, FALSE), 1)</f>
        <v>7.08907625150558E-4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9.5464067137332367E-4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9.5464067137332367E-4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9.5464067137332367E-4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9.5464067137332367E-4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9.5464067137332367E-4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9.5464067137332367E-4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9.5464067137332367E-4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9.5464067137332367E-4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9.5464067137332367E-4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9.5464067137332367E-4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9.5464067137332367E-4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9.5464067137332367E-4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9.5464067137332367E-4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9.5464067137332367E-4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9.5464067137332367E-4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9.5464067137332367E-4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9.5464067137332367E-4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9.5464067137332367E-4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9.5464067137332367E-4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9.5464067137332367E-4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9.5464067137332367E-4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9.5464067137332367E-4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9.5464067137332367E-4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9.5464067137332367E-4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9.5464067137332367E-4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9.5464067137332367E-4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9.5464067137332367E-4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1.4585516668220635E-3</v>
      </c>
      <c r="C8" s="7">
        <f>$B8 * IFERROR(VLOOKUP("industry|SO2|Asthma symptoms wheeze", US_national_yearly!$D:$AM, 11, FALSE) / VLOOKUP("industry|SO2|Asthma symptoms wheeze", US_national_yearly!$D:$AM, 10, FALSE), 1)</f>
        <v>1.4585516668220635E-3</v>
      </c>
      <c r="D8" s="7">
        <f>$B8 * IFERROR(VLOOKUP("industry|SO2|Asthma symptoms wheeze", US_national_yearly!$D:$AM, 12, FALSE) / VLOOKUP("industry|SO2|Asthma symptoms wheeze", US_national_yearly!$D:$AM, 10, FALSE), 1)</f>
        <v>1.4585516668220635E-3</v>
      </c>
      <c r="E8" s="7">
        <f>$B8 * IFERROR(VLOOKUP("industry|SO2|Asthma symptoms wheeze", US_national_yearly!$D:$AM, 13, FALSE) / VLOOKUP("industry|SO2|Asthma symptoms wheeze", US_national_yearly!$D:$AM, 10, FALSE), 1)</f>
        <v>1.4585516668220635E-3</v>
      </c>
      <c r="F8" s="7">
        <f>$B8 * IFERROR(VLOOKUP("industry|SO2|Asthma symptoms wheeze", US_national_yearly!$D:$AM, 14, FALSE) / VLOOKUP("industry|SO2|Asthma symptoms wheeze", US_national_yearly!$D:$AM, 10, FALSE), 1)</f>
        <v>1.4585516668220635E-3</v>
      </c>
      <c r="G8" s="7">
        <f>$B8 * IFERROR(VLOOKUP("industry|SO2|Asthma symptoms wheeze", US_national_yearly!$D:$AM, 15, FALSE) / VLOOKUP("industry|SO2|Asthma symptoms wheeze", US_national_yearly!$D:$AM, 10, FALSE), 1)</f>
        <v>1.4585516668220635E-3</v>
      </c>
      <c r="H8" s="7">
        <f>$B8 * IFERROR(VLOOKUP("industry|SO2|Asthma symptoms wheeze", US_national_yearly!$D:$AM, 16, FALSE) / VLOOKUP("industry|SO2|Asthma symptoms wheeze", US_national_yearly!$D:$AM, 10, FALSE), 1)</f>
        <v>1.4585516668220635E-3</v>
      </c>
      <c r="I8" s="7">
        <f>$B8 * IFERROR(VLOOKUP("industry|SO2|Asthma symptoms wheeze", US_national_yearly!$D:$AM, 17, FALSE) / VLOOKUP("industry|SO2|Asthma symptoms wheeze", US_national_yearly!$D:$AM, 10, FALSE), 1)</f>
        <v>1.4585516668220635E-3</v>
      </c>
      <c r="J8" s="7">
        <f>$B8 * IFERROR(VLOOKUP("industry|SO2|Asthma symptoms wheeze", US_national_yearly!$D:$AM, 18, FALSE) / VLOOKUP("industry|SO2|Asthma symptoms wheeze", US_national_yearly!$D:$AM, 10, FALSE), 1)</f>
        <v>1.4585516668220635E-3</v>
      </c>
      <c r="K8" s="7">
        <f>$B8 * IFERROR(VLOOKUP("industry|SO2|Asthma symptoms wheeze", US_national_yearly!$D:$AM, 19, FALSE) / VLOOKUP("industry|SO2|Asthma symptoms wheeze", US_national_yearly!$D:$AM, 10, FALSE), 1)</f>
        <v>1.4585516668220635E-3</v>
      </c>
      <c r="L8" s="7">
        <f>$B8 * IFERROR(VLOOKUP("industry|SO2|Asthma symptoms wheeze", US_national_yearly!$D:$AM, 20, FALSE) / VLOOKUP("industry|SO2|Asthma symptoms wheeze", US_national_yearly!$D:$AM, 10, FALSE), 1)</f>
        <v>1.4585516668220635E-3</v>
      </c>
      <c r="M8" s="7">
        <f>$B8 * IFERROR(VLOOKUP("industry|SO2|Asthma symptoms wheeze", US_national_yearly!$D:$AM, 21, FALSE) / VLOOKUP("industry|SO2|Asthma symptoms wheeze", US_national_yearly!$D:$AM, 10, FALSE), 1)</f>
        <v>1.4585516668220635E-3</v>
      </c>
      <c r="N8" s="7">
        <f>$B8 * IFERROR(VLOOKUP("industry|SO2|Asthma symptoms wheeze", US_national_yearly!$D:$AM, 22, FALSE) / VLOOKUP("industry|SO2|Asthma symptoms wheeze", US_national_yearly!$D:$AM, 10, FALSE), 1)</f>
        <v>1.4585516668220635E-3</v>
      </c>
      <c r="O8" s="7">
        <f>$B8 * IFERROR(VLOOKUP("industry|SO2|Asthma symptoms wheeze", US_national_yearly!$D:$AM, 23, FALSE) / VLOOKUP("industry|SO2|Asthma symptoms wheeze", US_national_yearly!$D:$AM, 10, FALSE), 1)</f>
        <v>1.4585516668220635E-3</v>
      </c>
      <c r="P8" s="7">
        <f>$B8 * IFERROR(VLOOKUP("industry|SO2|Asthma symptoms wheeze", US_national_yearly!$D:$AM, 24, FALSE) / VLOOKUP("industry|SO2|Asthma symptoms wheeze", US_national_yearly!$D:$AM, 10, FALSE), 1)</f>
        <v>1.4585516668220635E-3</v>
      </c>
      <c r="Q8" s="7">
        <f>$B8 * IFERROR(VLOOKUP("industry|SO2|Asthma symptoms wheeze", US_national_yearly!$D:$AM, 25, FALSE) / VLOOKUP("industry|SO2|Asthma symptoms wheeze", US_national_yearly!$D:$AM, 10, FALSE), 1)</f>
        <v>1.4585516668220635E-3</v>
      </c>
      <c r="R8" s="7">
        <f>$B8 * IFERROR(VLOOKUP("industry|SO2|Asthma symptoms wheeze", US_national_yearly!$D:$AM, 26, FALSE) / VLOOKUP("industry|SO2|Asthma symptoms wheeze", US_national_yearly!$D:$AM, 10, FALSE), 1)</f>
        <v>1.4585516668220635E-3</v>
      </c>
      <c r="S8" s="7">
        <f>$B8 * IFERROR(VLOOKUP("industry|SO2|Asthma symptoms wheeze", US_national_yearly!$D:$AM, 27, FALSE) / VLOOKUP("industry|SO2|Asthma symptoms wheeze", US_national_yearly!$D:$AM, 10, FALSE), 1)</f>
        <v>1.4585516668220635E-3</v>
      </c>
      <c r="T8" s="7">
        <f>$B8 * IFERROR(VLOOKUP("industry|SO2|Asthma symptoms wheeze", US_national_yearly!$D:$AM, 28, FALSE) / VLOOKUP("industry|SO2|Asthma symptoms wheeze", US_national_yearly!$D:$AM, 10, FALSE), 1)</f>
        <v>1.4585516668220635E-3</v>
      </c>
      <c r="U8" s="7">
        <f>$B8 * IFERROR(VLOOKUP("industry|SO2|Asthma symptoms wheeze", US_national_yearly!$D:$AM, 29, FALSE) / VLOOKUP("industry|SO2|Asthma symptoms wheeze", US_national_yearly!$D:$AM, 10, FALSE), 1)</f>
        <v>1.4585516668220635E-3</v>
      </c>
      <c r="V8" s="7">
        <f>$B8 * IFERROR(VLOOKUP("industry|SO2|Asthma symptoms wheeze", US_national_yearly!$D:$AM, 30, FALSE) / VLOOKUP("industry|SO2|Asthma symptoms wheeze", US_national_yearly!$D:$AM, 10, FALSE), 1)</f>
        <v>1.4585516668220635E-3</v>
      </c>
      <c r="W8" s="7">
        <f>$B8 * IFERROR(VLOOKUP("industry|SO2|Asthma symptoms wheeze", US_national_yearly!$D:$AM, 31, FALSE) / VLOOKUP("industry|SO2|Asthma symptoms wheeze", US_national_yearly!$D:$AM, 10, FALSE), 1)</f>
        <v>1.4585516668220635E-3</v>
      </c>
      <c r="X8" s="7">
        <f>$B8 * IFERROR(VLOOKUP("industry|SO2|Asthma symptoms wheeze", US_national_yearly!$D:$AM, 32, FALSE) / VLOOKUP("industry|SO2|Asthma symptoms wheeze", US_national_yearly!$D:$AM, 10, FALSE), 1)</f>
        <v>1.4585516668220635E-3</v>
      </c>
      <c r="Y8" s="7">
        <f>$B8 * IFERROR(VLOOKUP("industry|SO2|Asthma symptoms wheeze", US_national_yearly!$D:$AM, 33, FALSE) / VLOOKUP("industry|SO2|Asthma symptoms wheeze", US_national_yearly!$D:$AM, 10, FALSE), 1)</f>
        <v>1.4585516668220635E-3</v>
      </c>
      <c r="Z8" s="7">
        <f>$B8 * IFERROR(VLOOKUP("industry|SO2|Asthma symptoms wheeze", US_national_yearly!$D:$AM, 34, FALSE) / VLOOKUP("industry|SO2|Asthma symptoms wheeze", US_national_yearly!$D:$AM, 10, FALSE), 1)</f>
        <v>1.4585516668220635E-3</v>
      </c>
      <c r="AA8" s="7">
        <f>$B8 * IFERROR(VLOOKUP("industry|SO2|Asthma symptoms wheeze", US_national_yearly!$D:$AM, 35, FALSE) / VLOOKUP("industry|SO2|Asthma symptoms wheeze", US_national_yearly!$D:$AM, 10, FALSE), 1)</f>
        <v>1.4585516668220635E-3</v>
      </c>
      <c r="AB8" s="7">
        <f>$B8 * IFERROR(VLOOKUP("industry|SO2|Asthma symptoms wheeze", US_national_yearly!$D:$AM, 36, FALSE) / VLOOKUP("industry|SO2|Asthma symptoms wheeze", US_national_yearly!$D:$AM, 10, FALSE), 1)</f>
        <v>1.4585516668220635E-3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1.5305968286161609E-5</v>
      </c>
      <c r="C12" s="7">
        <f>$B12 * IFERROR(VLOOKUP("industry|SO2|Respiratory hospital admissions", US_national_yearly!$D:$AM, 11, FALSE) / VLOOKUP("industry|SO2|Respiratory hospital admissions", US_national_yearly!$D:$AM, 10, FALSE), 1)</f>
        <v>1.5395632040435533E-5</v>
      </c>
      <c r="D12" s="7">
        <f>$B12 * IFERROR(VLOOKUP("industry|SO2|Respiratory hospital admissions", US_national_yearly!$D:$AM, 12, FALSE) / VLOOKUP("industry|SO2|Respiratory hospital admissions", US_national_yearly!$D:$AM, 10, FALSE), 1)</f>
        <v>1.5485295794709454E-5</v>
      </c>
      <c r="E12" s="7">
        <f>$B12 * IFERROR(VLOOKUP("industry|SO2|Respiratory hospital admissions", US_national_yearly!$D:$AM, 13, FALSE) / VLOOKUP("industry|SO2|Respiratory hospital admissions", US_national_yearly!$D:$AM, 10, FALSE), 1)</f>
        <v>1.5574959548983378E-5</v>
      </c>
      <c r="F12" s="7">
        <f>$B12 * IFERROR(VLOOKUP("industry|SO2|Respiratory hospital admissions", US_national_yearly!$D:$AM, 14, FALSE) / VLOOKUP("industry|SO2|Respiratory hospital admissions", US_national_yearly!$D:$AM, 10, FALSE), 1)</f>
        <v>1.5664623303257306E-5</v>
      </c>
      <c r="G12" s="7">
        <f>$B12 * IFERROR(VLOOKUP("industry|SO2|Respiratory hospital admissions", US_national_yearly!$D:$AM, 15, FALSE) / VLOOKUP("industry|SO2|Respiratory hospital admissions", US_national_yearly!$D:$AM, 10, FALSE), 1)</f>
        <v>1.5762374140168065E-5</v>
      </c>
      <c r="H12" s="7">
        <f>$B12 * IFERROR(VLOOKUP("industry|SO2|Respiratory hospital admissions", US_national_yearly!$D:$AM, 16, FALSE) / VLOOKUP("industry|SO2|Respiratory hospital admissions", US_national_yearly!$D:$AM, 10, FALSE), 1)</f>
        <v>1.5860124977078827E-5</v>
      </c>
      <c r="I12" s="7">
        <f>$B12 * IFERROR(VLOOKUP("industry|SO2|Respiratory hospital admissions", US_national_yearly!$D:$AM, 17, FALSE) / VLOOKUP("industry|SO2|Respiratory hospital admissions", US_national_yearly!$D:$AM, 10, FALSE), 1)</f>
        <v>1.5956132327239557E-5</v>
      </c>
      <c r="J12" s="7">
        <f>$B12 * IFERROR(VLOOKUP("industry|SO2|Respiratory hospital admissions", US_national_yearly!$D:$AM, 18, FALSE) / VLOOKUP("industry|SO2|Respiratory hospital admissions", US_national_yearly!$D:$AM, 10, FALSE), 1)</f>
        <v>1.6052139677400286E-5</v>
      </c>
      <c r="K12" s="7">
        <f>$B12 * IFERROR(VLOOKUP("industry|SO2|Respiratory hospital admissions", US_national_yearly!$D:$AM, 19, FALSE) / VLOOKUP("industry|SO2|Respiratory hospital admissions", US_national_yearly!$D:$AM, 10, FALSE), 1)</f>
        <v>1.6148147027561013E-5</v>
      </c>
      <c r="L12" s="7">
        <f>$B12 * IFERROR(VLOOKUP("industry|SO2|Respiratory hospital admissions", US_national_yearly!$D:$AM, 20, FALSE) / VLOOKUP("industry|SO2|Respiratory hospital admissions", US_national_yearly!$D:$AM, 10, FALSE), 1)</f>
        <v>1.6244154377721743E-5</v>
      </c>
      <c r="M12" s="7">
        <f>$B12 * IFERROR(VLOOKUP("industry|SO2|Respiratory hospital admissions", US_national_yearly!$D:$AM, 21, FALSE) / VLOOKUP("industry|SO2|Respiratory hospital admissions", US_national_yearly!$D:$AM, 10, FALSE), 1)</f>
        <v>1.6340161727882472E-5</v>
      </c>
      <c r="N12" s="7">
        <f>$B12 * IFERROR(VLOOKUP("industry|SO2|Respiratory hospital admissions", US_national_yearly!$D:$AM, 22, FALSE) / VLOOKUP("industry|SO2|Respiratory hospital admissions", US_national_yearly!$D:$AM, 10, FALSE), 1)</f>
        <v>1.6409633997774752E-5</v>
      </c>
      <c r="O12" s="7">
        <f>$B12 * IFERROR(VLOOKUP("industry|SO2|Respiratory hospital admissions", US_national_yearly!$D:$AM, 23, FALSE) / VLOOKUP("industry|SO2|Respiratory hospital admissions", US_national_yearly!$D:$AM, 10, FALSE), 1)</f>
        <v>1.6479106267667035E-5</v>
      </c>
      <c r="P12" s="7">
        <f>$B12 * IFERROR(VLOOKUP("industry|SO2|Respiratory hospital admissions", US_national_yearly!$D:$AM, 24, FALSE) / VLOOKUP("industry|SO2|Respiratory hospital admissions", US_national_yearly!$D:$AM, 10, FALSE), 1)</f>
        <v>1.6548578537559312E-5</v>
      </c>
      <c r="Q12" s="7">
        <f>$B12 * IFERROR(VLOOKUP("industry|SO2|Respiratory hospital admissions", US_national_yearly!$D:$AM, 25, FALSE) / VLOOKUP("industry|SO2|Respiratory hospital admissions", US_national_yearly!$D:$AM, 10, FALSE), 1)</f>
        <v>1.6618050807451592E-5</v>
      </c>
      <c r="R12" s="7">
        <f>$B12 * IFERROR(VLOOKUP("industry|SO2|Respiratory hospital admissions", US_national_yearly!$D:$AM, 26, FALSE) / VLOOKUP("industry|SO2|Respiratory hospital admissions", US_national_yearly!$D:$AM, 10, FALSE), 1)</f>
        <v>1.6687523077343871E-5</v>
      </c>
      <c r="S12" s="7">
        <f>$B12 * IFERROR(VLOOKUP("industry|SO2|Respiratory hospital admissions", US_national_yearly!$D:$AM, 27, FALSE) / VLOOKUP("industry|SO2|Respiratory hospital admissions", US_national_yearly!$D:$AM, 10, FALSE), 1)</f>
        <v>1.6753545850517256E-5</v>
      </c>
      <c r="T12" s="7">
        <f>$B12 * IFERROR(VLOOKUP("industry|SO2|Respiratory hospital admissions", US_national_yearly!$D:$AM, 28, FALSE) / VLOOKUP("industry|SO2|Respiratory hospital admissions", US_national_yearly!$D:$AM, 10, FALSE), 1)</f>
        <v>1.6819568623690637E-5</v>
      </c>
      <c r="U12" s="7">
        <f>$B12 * IFERROR(VLOOKUP("industry|SO2|Respiratory hospital admissions", US_national_yearly!$D:$AM, 29, FALSE) / VLOOKUP("industry|SO2|Respiratory hospital admissions", US_national_yearly!$D:$AM, 10, FALSE), 1)</f>
        <v>1.6885591396864015E-5</v>
      </c>
      <c r="V12" s="7">
        <f>$B12 * IFERROR(VLOOKUP("industry|SO2|Respiratory hospital admissions", US_national_yearly!$D:$AM, 30, FALSE) / VLOOKUP("industry|SO2|Respiratory hospital admissions", US_national_yearly!$D:$AM, 10, FALSE), 1)</f>
        <v>1.6951614170037399E-5</v>
      </c>
      <c r="W12" s="7">
        <f>$B12 * IFERROR(VLOOKUP("industry|SO2|Respiratory hospital admissions", US_national_yearly!$D:$AM, 31, FALSE) / VLOOKUP("industry|SO2|Respiratory hospital admissions", US_national_yearly!$D:$AM, 10, FALSE), 1)</f>
        <v>1.701763694321078E-5</v>
      </c>
      <c r="X12" s="7">
        <f>$B12 * IFERROR(VLOOKUP("industry|SO2|Respiratory hospital admissions", US_national_yearly!$D:$AM, 32, FALSE) / VLOOKUP("industry|SO2|Respiratory hospital admissions", US_national_yearly!$D:$AM, 10, FALSE), 1)</f>
        <v>1.7080333160402883E-5</v>
      </c>
      <c r="Y12" s="7">
        <f>$B12 * IFERROR(VLOOKUP("industry|SO2|Respiratory hospital admissions", US_national_yearly!$D:$AM, 33, FALSE) / VLOOKUP("industry|SO2|Respiratory hospital admissions", US_national_yearly!$D:$AM, 10, FALSE), 1)</f>
        <v>1.7143029377594993E-5</v>
      </c>
      <c r="Z12" s="7">
        <f>$B12 * IFERROR(VLOOKUP("industry|SO2|Respiratory hospital admissions", US_national_yearly!$D:$AM, 34, FALSE) / VLOOKUP("industry|SO2|Respiratory hospital admissions", US_national_yearly!$D:$AM, 10, FALSE), 1)</f>
        <v>1.7205725594787097E-5</v>
      </c>
      <c r="AA12" s="7">
        <f>$B12 * IFERROR(VLOOKUP("industry|SO2|Respiratory hospital admissions", US_national_yearly!$D:$AM, 35, FALSE) / VLOOKUP("industry|SO2|Respiratory hospital admissions", US_national_yearly!$D:$AM, 10, FALSE), 1)</f>
        <v>1.72684218119792E-5</v>
      </c>
      <c r="AB12" s="7">
        <f>$B12 * IFERROR(VLOOKUP("industry|SO2|Respiratory hospital admissions", US_national_yearly!$D:$AM, 36, FALSE) / VLOOKUP("industry|SO2|Respiratory hospital admissions", US_national_yearly!$D:$AM, 10, FALSE), 1)</f>
        <v>1.7331118029171307E-5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1.6459978705457754E-4</v>
      </c>
      <c r="C13" s="7">
        <f>$B13 * IFERROR(VLOOKUP("industry|SO2|Non-fatal heart attacks", US_national_yearly!$D:$AM, 11, FALSE) / VLOOKUP("industry|SO2|Non-fatal heart attacks", US_national_yearly!$D:$AM, 10, FALSE), 1)</f>
        <v>1.6943181956390811E-4</v>
      </c>
      <c r="D13" s="7">
        <f>$B13 * IFERROR(VLOOKUP("industry|SO2|Non-fatal heart attacks", US_national_yearly!$D:$AM, 12, FALSE) / VLOOKUP("industry|SO2|Non-fatal heart attacks", US_national_yearly!$D:$AM, 10, FALSE), 1)</f>
        <v>1.7426385207323868E-4</v>
      </c>
      <c r="E13" s="7">
        <f>$B13 * IFERROR(VLOOKUP("industry|SO2|Non-fatal heart attacks", US_national_yearly!$D:$AM, 13, FALSE) / VLOOKUP("industry|SO2|Non-fatal heart attacks", US_national_yearly!$D:$AM, 10, FALSE), 1)</f>
        <v>1.7909588458256919E-4</v>
      </c>
      <c r="F13" s="7">
        <f>$B13 * IFERROR(VLOOKUP("industry|SO2|Non-fatal heart attacks", US_national_yearly!$D:$AM, 14, FALSE) / VLOOKUP("industry|SO2|Non-fatal heart attacks", US_national_yearly!$D:$AM, 10, FALSE), 1)</f>
        <v>1.8392791709189981E-4</v>
      </c>
      <c r="G13" s="7">
        <f>$B13 * IFERROR(VLOOKUP("industry|SO2|Non-fatal heart attacks", US_national_yearly!$D:$AM, 15, FALSE) / VLOOKUP("industry|SO2|Non-fatal heart attacks", US_national_yearly!$D:$AM, 10, FALSE), 1)</f>
        <v>1.8848800214429104E-4</v>
      </c>
      <c r="H13" s="7">
        <f>$B13 * IFERROR(VLOOKUP("industry|SO2|Non-fatal heart attacks", US_national_yearly!$D:$AM, 16, FALSE) / VLOOKUP("industry|SO2|Non-fatal heart attacks", US_national_yearly!$D:$AM, 10, FALSE), 1)</f>
        <v>1.930480871966823E-4</v>
      </c>
      <c r="I13" s="7">
        <f>$B13 * IFERROR(VLOOKUP("industry|SO2|Non-fatal heart attacks", US_national_yearly!$D:$AM, 17, FALSE) / VLOOKUP("industry|SO2|Non-fatal heart attacks", US_national_yearly!$D:$AM, 10, FALSE), 1)</f>
        <v>1.9672430507248641E-4</v>
      </c>
      <c r="J13" s="7">
        <f>$B13 * IFERROR(VLOOKUP("industry|SO2|Non-fatal heart attacks", US_national_yearly!$D:$AM, 18, FALSE) / VLOOKUP("industry|SO2|Non-fatal heart attacks", US_national_yearly!$D:$AM, 10, FALSE), 1)</f>
        <v>2.0040052294829059E-4</v>
      </c>
      <c r="K13" s="7">
        <f>$B13 * IFERROR(VLOOKUP("industry|SO2|Non-fatal heart attacks", US_national_yearly!$D:$AM, 19, FALSE) / VLOOKUP("industry|SO2|Non-fatal heart attacks", US_national_yearly!$D:$AM, 10, FALSE), 1)</f>
        <v>2.0407674082409475E-4</v>
      </c>
      <c r="L13" s="7">
        <f>$B13 * IFERROR(VLOOKUP("industry|SO2|Non-fatal heart attacks", US_national_yearly!$D:$AM, 20, FALSE) / VLOOKUP("industry|SO2|Non-fatal heart attacks", US_national_yearly!$D:$AM, 10, FALSE), 1)</f>
        <v>2.0775295869989891E-4</v>
      </c>
      <c r="M13" s="7">
        <f>$B13 * IFERROR(VLOOKUP("industry|SO2|Non-fatal heart attacks", US_national_yearly!$D:$AM, 21, FALSE) / VLOOKUP("industry|SO2|Non-fatal heart attacks", US_national_yearly!$D:$AM, 10, FALSE), 1)</f>
        <v>2.1142917657570307E-4</v>
      </c>
      <c r="N13" s="7">
        <f>$B13 * IFERROR(VLOOKUP("industry|SO2|Non-fatal heart attacks", US_national_yearly!$D:$AM, 22, FALSE) / VLOOKUP("industry|SO2|Non-fatal heart attacks", US_national_yearly!$D:$AM, 10, FALSE), 1)</f>
        <v>2.1381744356171312E-4</v>
      </c>
      <c r="O13" s="7">
        <f>$B13 * IFERROR(VLOOKUP("industry|SO2|Non-fatal heart attacks", US_national_yearly!$D:$AM, 23, FALSE) / VLOOKUP("industry|SO2|Non-fatal heart attacks", US_national_yearly!$D:$AM, 10, FALSE), 1)</f>
        <v>2.1620571054772325E-4</v>
      </c>
      <c r="P13" s="7">
        <f>$B13 * IFERROR(VLOOKUP("industry|SO2|Non-fatal heart attacks", US_national_yearly!$D:$AM, 24, FALSE) / VLOOKUP("industry|SO2|Non-fatal heart attacks", US_national_yearly!$D:$AM, 10, FALSE), 1)</f>
        <v>2.1859397753373329E-4</v>
      </c>
      <c r="Q13" s="7">
        <f>$B13 * IFERROR(VLOOKUP("industry|SO2|Non-fatal heart attacks", US_national_yearly!$D:$AM, 25, FALSE) / VLOOKUP("industry|SO2|Non-fatal heart attacks", US_national_yearly!$D:$AM, 10, FALSE), 1)</f>
        <v>2.2098224451974334E-4</v>
      </c>
      <c r="R13" s="7">
        <f>$B13 * IFERROR(VLOOKUP("industry|SO2|Non-fatal heart attacks", US_national_yearly!$D:$AM, 26, FALSE) / VLOOKUP("industry|SO2|Non-fatal heart attacks", US_national_yearly!$D:$AM, 10, FALSE), 1)</f>
        <v>2.2337051150575344E-4</v>
      </c>
      <c r="S13" s="7">
        <f>$B13 * IFERROR(VLOOKUP("industry|SO2|Non-fatal heart attacks", US_national_yearly!$D:$AM, 27, FALSE) / VLOOKUP("industry|SO2|Non-fatal heart attacks", US_national_yearly!$D:$AM, 10, FALSE), 1)</f>
        <v>2.2462486444141768E-4</v>
      </c>
      <c r="T13" s="7">
        <f>$B13 * IFERROR(VLOOKUP("industry|SO2|Non-fatal heart attacks", US_national_yearly!$D:$AM, 28, FALSE) / VLOOKUP("industry|SO2|Non-fatal heart attacks", US_national_yearly!$D:$AM, 10, FALSE), 1)</f>
        <v>2.2587921737708192E-4</v>
      </c>
      <c r="U13" s="7">
        <f>$B13 * IFERROR(VLOOKUP("industry|SO2|Non-fatal heart attacks", US_national_yearly!$D:$AM, 29, FALSE) / VLOOKUP("industry|SO2|Non-fatal heart attacks", US_national_yearly!$D:$AM, 10, FALSE), 1)</f>
        <v>2.2713357031274616E-4</v>
      </c>
      <c r="V13" s="7">
        <f>$B13 * IFERROR(VLOOKUP("industry|SO2|Non-fatal heart attacks", US_national_yearly!$D:$AM, 30, FALSE) / VLOOKUP("industry|SO2|Non-fatal heart attacks", US_national_yearly!$D:$AM, 10, FALSE), 1)</f>
        <v>2.283879232484104E-4</v>
      </c>
      <c r="W13" s="7">
        <f>$B13 * IFERROR(VLOOKUP("industry|SO2|Non-fatal heart attacks", US_national_yearly!$D:$AM, 31, FALSE) / VLOOKUP("industry|SO2|Non-fatal heart attacks", US_national_yearly!$D:$AM, 10, FALSE), 1)</f>
        <v>2.2964227618407464E-4</v>
      </c>
      <c r="X13" s="7">
        <f>$B13 * IFERROR(VLOOKUP("industry|SO2|Non-fatal heart attacks", US_national_yearly!$D:$AM, 32, FALSE) / VLOOKUP("industry|SO2|Non-fatal heart attacks", US_national_yearly!$D:$AM, 10, FALSE), 1)</f>
        <v>2.30594921041726E-4</v>
      </c>
      <c r="Y13" s="7">
        <f>$B13 * IFERROR(VLOOKUP("industry|SO2|Non-fatal heart attacks", US_national_yearly!$D:$AM, 33, FALSE) / VLOOKUP("industry|SO2|Non-fatal heart attacks", US_national_yearly!$D:$AM, 10, FALSE), 1)</f>
        <v>2.3154756589937735E-4</v>
      </c>
      <c r="Z13" s="7">
        <f>$B13 * IFERROR(VLOOKUP("industry|SO2|Non-fatal heart attacks", US_national_yearly!$D:$AM, 34, FALSE) / VLOOKUP("industry|SO2|Non-fatal heart attacks", US_national_yearly!$D:$AM, 10, FALSE), 1)</f>
        <v>2.325002107570287E-4</v>
      </c>
      <c r="AA13" s="7">
        <f>$B13 * IFERROR(VLOOKUP("industry|SO2|Non-fatal heart attacks", US_national_yearly!$D:$AM, 35, FALSE) / VLOOKUP("industry|SO2|Non-fatal heart attacks", US_national_yearly!$D:$AM, 10, FALSE), 1)</f>
        <v>2.3345285561468009E-4</v>
      </c>
      <c r="AB13" s="7">
        <f>$B13 * IFERROR(VLOOKUP("industry|SO2|Non-fatal heart attacks", US_national_yearly!$D:$AM, 36, FALSE) / VLOOKUP("industry|SO2|Non-fatal heart attacks", US_national_yearly!$D:$AM, 10, FALSE), 1)</f>
        <v>2.3440550047233144E-4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8.050373919033417E-2</v>
      </c>
      <c r="C14" s="7">
        <f>$B14 * IFERROR(VLOOKUP("industry|SO2|Minor restricted activity days", US_national_yearly!$D:$AM, 11, FALSE) / VLOOKUP("industry|SO2|Minor restricted activity days", US_national_yearly!$D:$AM, 10, FALSE), 1)</f>
        <v>8.0705110361688676E-2</v>
      </c>
      <c r="D14" s="7">
        <f>$B14 * IFERROR(VLOOKUP("industry|SO2|Minor restricted activity days", US_national_yearly!$D:$AM, 12, FALSE) / VLOOKUP("industry|SO2|Minor restricted activity days", US_national_yearly!$D:$AM, 10, FALSE), 1)</f>
        <v>8.0906481533043167E-2</v>
      </c>
      <c r="E14" s="7">
        <f>$B14 * IFERROR(VLOOKUP("industry|SO2|Minor restricted activity days", US_national_yearly!$D:$AM, 13, FALSE) / VLOOKUP("industry|SO2|Minor restricted activity days", US_national_yearly!$D:$AM, 10, FALSE), 1)</f>
        <v>8.1107852704397673E-2</v>
      </c>
      <c r="F14" s="7">
        <f>$B14 * IFERROR(VLOOKUP("industry|SO2|Minor restricted activity days", US_national_yearly!$D:$AM, 14, FALSE) / VLOOKUP("industry|SO2|Minor restricted activity days", US_national_yearly!$D:$AM, 10, FALSE), 1)</f>
        <v>8.1309223875752179E-2</v>
      </c>
      <c r="G14" s="7">
        <f>$B14 * IFERROR(VLOOKUP("industry|SO2|Minor restricted activity days", US_national_yearly!$D:$AM, 15, FALSE) / VLOOKUP("industry|SO2|Minor restricted activity days", US_national_yearly!$D:$AM, 10, FALSE), 1)</f>
        <v>8.1605460056927162E-2</v>
      </c>
      <c r="H14" s="7">
        <f>$B14 * IFERROR(VLOOKUP("industry|SO2|Minor restricted activity days", US_national_yearly!$D:$AM, 16, FALSE) / VLOOKUP("industry|SO2|Minor restricted activity days", US_national_yearly!$D:$AM, 10, FALSE), 1)</f>
        <v>8.1901696238102145E-2</v>
      </c>
      <c r="I14" s="7">
        <f>$B14 * IFERROR(VLOOKUP("industry|SO2|Minor restricted activity days", US_national_yearly!$D:$AM, 17, FALSE) / VLOOKUP("industry|SO2|Minor restricted activity days", US_national_yearly!$D:$AM, 10, FALSE), 1)</f>
        <v>8.2406868531694308E-2</v>
      </c>
      <c r="J14" s="7">
        <f>$B14 * IFERROR(VLOOKUP("industry|SO2|Minor restricted activity days", US_national_yearly!$D:$AM, 18, FALSE) / VLOOKUP("industry|SO2|Minor restricted activity days", US_national_yearly!$D:$AM, 10, FALSE), 1)</f>
        <v>8.2912040825286484E-2</v>
      </c>
      <c r="K14" s="7">
        <f>$B14 * IFERROR(VLOOKUP("industry|SO2|Minor restricted activity days", US_national_yearly!$D:$AM, 19, FALSE) / VLOOKUP("industry|SO2|Minor restricted activity days", US_national_yearly!$D:$AM, 10, FALSE), 1)</f>
        <v>8.3417213118878661E-2</v>
      </c>
      <c r="L14" s="7">
        <f>$B14 * IFERROR(VLOOKUP("industry|SO2|Minor restricted activity days", US_national_yearly!$D:$AM, 20, FALSE) / VLOOKUP("industry|SO2|Minor restricted activity days", US_national_yearly!$D:$AM, 10, FALSE), 1)</f>
        <v>8.3922385412470824E-2</v>
      </c>
      <c r="M14" s="7">
        <f>$B14 * IFERROR(VLOOKUP("industry|SO2|Minor restricted activity days", US_national_yearly!$D:$AM, 21, FALSE) / VLOOKUP("industry|SO2|Minor restricted activity days", US_national_yearly!$D:$AM, 10, FALSE), 1)</f>
        <v>8.4427557706063E-2</v>
      </c>
      <c r="N14" s="7">
        <f>$B14 * IFERROR(VLOOKUP("industry|SO2|Minor restricted activity days", US_national_yearly!$D:$AM, 22, FALSE) / VLOOKUP("industry|SO2|Minor restricted activity days", US_national_yearly!$D:$AM, 10, FALSE), 1)</f>
        <v>8.5120209676244382E-2</v>
      </c>
      <c r="O14" s="7">
        <f>$B14 * IFERROR(VLOOKUP("industry|SO2|Minor restricted activity days", US_national_yearly!$D:$AM, 23, FALSE) / VLOOKUP("industry|SO2|Minor restricted activity days", US_national_yearly!$D:$AM, 10, FALSE), 1)</f>
        <v>8.5812861646425778E-2</v>
      </c>
      <c r="P14" s="7">
        <f>$B14 * IFERROR(VLOOKUP("industry|SO2|Minor restricted activity days", US_national_yearly!$D:$AM, 24, FALSE) / VLOOKUP("industry|SO2|Minor restricted activity days", US_national_yearly!$D:$AM, 10, FALSE), 1)</f>
        <v>8.650551361660716E-2</v>
      </c>
      <c r="Q14" s="7">
        <f>$B14 * IFERROR(VLOOKUP("industry|SO2|Minor restricted activity days", US_national_yearly!$D:$AM, 25, FALSE) / VLOOKUP("industry|SO2|Minor restricted activity days", US_national_yearly!$D:$AM, 10, FALSE), 1)</f>
        <v>8.719816558678857E-2</v>
      </c>
      <c r="R14" s="7">
        <f>$B14 * IFERROR(VLOOKUP("industry|SO2|Minor restricted activity days", US_national_yearly!$D:$AM, 26, FALSE) / VLOOKUP("industry|SO2|Minor restricted activity days", US_national_yearly!$D:$AM, 10, FALSE), 1)</f>
        <v>8.7890817556969952E-2</v>
      </c>
      <c r="S14" s="7">
        <f>$B14 * IFERROR(VLOOKUP("industry|SO2|Minor restricted activity days", US_national_yearly!$D:$AM, 27, FALSE) / VLOOKUP("industry|SO2|Minor restricted activity days", US_national_yearly!$D:$AM, 10, FALSE), 1)</f>
        <v>8.8597724832487429E-2</v>
      </c>
      <c r="T14" s="7">
        <f>$B14 * IFERROR(VLOOKUP("industry|SO2|Minor restricted activity days", US_national_yearly!$D:$AM, 28, FALSE) / VLOOKUP("industry|SO2|Minor restricted activity days", US_national_yearly!$D:$AM, 10, FALSE), 1)</f>
        <v>8.9304632108004933E-2</v>
      </c>
      <c r="U14" s="7">
        <f>$B14 * IFERROR(VLOOKUP("industry|SO2|Minor restricted activity days", US_national_yearly!$D:$AM, 29, FALSE) / VLOOKUP("industry|SO2|Minor restricted activity days", US_national_yearly!$D:$AM, 10, FALSE), 1)</f>
        <v>9.001153938352241E-2</v>
      </c>
      <c r="V14" s="7">
        <f>$B14 * IFERROR(VLOOKUP("industry|SO2|Minor restricted activity days", US_national_yearly!$D:$AM, 30, FALSE) / VLOOKUP("industry|SO2|Minor restricted activity days", US_national_yearly!$D:$AM, 10, FALSE), 1)</f>
        <v>9.0718446659039914E-2</v>
      </c>
      <c r="W14" s="7">
        <f>$B14 * IFERROR(VLOOKUP("industry|SO2|Minor restricted activity days", US_national_yearly!$D:$AM, 31, FALSE) / VLOOKUP("industry|SO2|Minor restricted activity days", US_national_yearly!$D:$AM, 10, FALSE), 1)</f>
        <v>9.1425353934557391E-2</v>
      </c>
      <c r="X14" s="7">
        <f>$B14 * IFERROR(VLOOKUP("industry|SO2|Minor restricted activity days", US_national_yearly!$D:$AM, 32, FALSE) / VLOOKUP("industry|SO2|Minor restricted activity days", US_national_yearly!$D:$AM, 10, FALSE), 1)</f>
        <v>9.2046931922602673E-2</v>
      </c>
      <c r="Y14" s="7">
        <f>$B14 * IFERROR(VLOOKUP("industry|SO2|Minor restricted activity days", US_national_yearly!$D:$AM, 33, FALSE) / VLOOKUP("industry|SO2|Minor restricted activity days", US_national_yearly!$D:$AM, 10, FALSE), 1)</f>
        <v>9.2668509910647956E-2</v>
      </c>
      <c r="Z14" s="7">
        <f>$B14 * IFERROR(VLOOKUP("industry|SO2|Minor restricted activity days", US_national_yearly!$D:$AM, 34, FALSE) / VLOOKUP("industry|SO2|Minor restricted activity days", US_national_yearly!$D:$AM, 10, FALSE), 1)</f>
        <v>9.3290087898693225E-2</v>
      </c>
      <c r="AA14" s="7">
        <f>$B14 * IFERROR(VLOOKUP("industry|SO2|Minor restricted activity days", US_national_yearly!$D:$AM, 35, FALSE) / VLOOKUP("industry|SO2|Minor restricted activity days", US_national_yearly!$D:$AM, 10, FALSE), 1)</f>
        <v>9.3911665886738493E-2</v>
      </c>
      <c r="AB14" s="7">
        <f>$B14 * IFERROR(VLOOKUP("industry|SO2|Minor restricted activity days", US_national_yearly!$D:$AM, 36, FALSE) / VLOOKUP("industry|SO2|Minor restricted activity days", US_national_yearly!$D:$AM, 10, FALSE), 1)</f>
        <v>9.453324387478379E-2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1.3740395694066562E-2</v>
      </c>
      <c r="C15" s="7">
        <f>$B15 * IFERROR(VLOOKUP("industry|SO2|Work loss days", US_national_yearly!$D:$AM, 11, FALSE) / VLOOKUP("industry|SO2|Work loss days", US_national_yearly!$D:$AM, 10, FALSE), 1)</f>
        <v>1.3784583254271773E-2</v>
      </c>
      <c r="D15" s="7">
        <f>$B15 * IFERROR(VLOOKUP("industry|SO2|Work loss days", US_national_yearly!$D:$AM, 12, FALSE) / VLOOKUP("industry|SO2|Work loss days", US_national_yearly!$D:$AM, 10, FALSE), 1)</f>
        <v>1.382877081447699E-2</v>
      </c>
      <c r="E15" s="7">
        <f>$B15 * IFERROR(VLOOKUP("industry|SO2|Work loss days", US_national_yearly!$D:$AM, 13, FALSE) / VLOOKUP("industry|SO2|Work loss days", US_national_yearly!$D:$AM, 10, FALSE), 1)</f>
        <v>1.3872958374682201E-2</v>
      </c>
      <c r="F15" s="7">
        <f>$B15 * IFERROR(VLOOKUP("industry|SO2|Work loss days", US_national_yearly!$D:$AM, 14, FALSE) / VLOOKUP("industry|SO2|Work loss days", US_national_yearly!$D:$AM, 10, FALSE), 1)</f>
        <v>1.3917145934887418E-2</v>
      </c>
      <c r="G15" s="7">
        <f>$B15 * IFERROR(VLOOKUP("industry|SO2|Work loss days", US_national_yearly!$D:$AM, 15, FALSE) / VLOOKUP("industry|SO2|Work loss days", US_national_yearly!$D:$AM, 10, FALSE), 1)</f>
        <v>1.3974822642122346E-2</v>
      </c>
      <c r="H15" s="7">
        <f>$B15 * IFERROR(VLOOKUP("industry|SO2|Work loss days", US_national_yearly!$D:$AM, 16, FALSE) / VLOOKUP("industry|SO2|Work loss days", US_national_yearly!$D:$AM, 10, FALSE), 1)</f>
        <v>1.4032499349357276E-2</v>
      </c>
      <c r="I15" s="7">
        <f>$B15 * IFERROR(VLOOKUP("industry|SO2|Work loss days", US_national_yearly!$D:$AM, 17, FALSE) / VLOOKUP("industry|SO2|Work loss days", US_national_yearly!$D:$AM, 10, FALSE), 1)</f>
        <v>1.4116806442853664E-2</v>
      </c>
      <c r="J15" s="7">
        <f>$B15 * IFERROR(VLOOKUP("industry|SO2|Work loss days", US_national_yearly!$D:$AM, 18, FALSE) / VLOOKUP("industry|SO2|Work loss days", US_national_yearly!$D:$AM, 10, FALSE), 1)</f>
        <v>1.4201113536350049E-2</v>
      </c>
      <c r="K15" s="7">
        <f>$B15 * IFERROR(VLOOKUP("industry|SO2|Work loss days", US_national_yearly!$D:$AM, 19, FALSE) / VLOOKUP("industry|SO2|Work loss days", US_national_yearly!$D:$AM, 10, FALSE), 1)</f>
        <v>1.4285420629846435E-2</v>
      </c>
      <c r="L15" s="7">
        <f>$B15 * IFERROR(VLOOKUP("industry|SO2|Work loss days", US_national_yearly!$D:$AM, 20, FALSE) / VLOOKUP("industry|SO2|Work loss days", US_national_yearly!$D:$AM, 10, FALSE), 1)</f>
        <v>1.4369727723342824E-2</v>
      </c>
      <c r="M15" s="7">
        <f>$B15 * IFERROR(VLOOKUP("industry|SO2|Work loss days", US_national_yearly!$D:$AM, 21, FALSE) / VLOOKUP("industry|SO2|Work loss days", US_national_yearly!$D:$AM, 10, FALSE), 1)</f>
        <v>1.4454034816839208E-2</v>
      </c>
      <c r="N15" s="7">
        <f>$B15 * IFERROR(VLOOKUP("industry|SO2|Work loss days", US_national_yearly!$D:$AM, 22, FALSE) / VLOOKUP("industry|SO2|Work loss days", US_national_yearly!$D:$AM, 10, FALSE), 1)</f>
        <v>1.4559996421730127E-2</v>
      </c>
      <c r="O15" s="7">
        <f>$B15 * IFERROR(VLOOKUP("industry|SO2|Work loss days", US_national_yearly!$D:$AM, 23, FALSE) / VLOOKUP("industry|SO2|Work loss days", US_national_yearly!$D:$AM, 10, FALSE), 1)</f>
        <v>1.4665958026621044E-2</v>
      </c>
      <c r="P15" s="7">
        <f>$B15 * IFERROR(VLOOKUP("industry|SO2|Work loss days", US_national_yearly!$D:$AM, 24, FALSE) / VLOOKUP("industry|SO2|Work loss days", US_national_yearly!$D:$AM, 10, FALSE), 1)</f>
        <v>1.477191963151196E-2</v>
      </c>
      <c r="Q15" s="7">
        <f>$B15 * IFERROR(VLOOKUP("industry|SO2|Work loss days", US_national_yearly!$D:$AM, 25, FALSE) / VLOOKUP("industry|SO2|Work loss days", US_national_yearly!$D:$AM, 10, FALSE), 1)</f>
        <v>1.4877881236402877E-2</v>
      </c>
      <c r="R15" s="7">
        <f>$B15 * IFERROR(VLOOKUP("industry|SO2|Work loss days", US_national_yearly!$D:$AM, 26, FALSE) / VLOOKUP("industry|SO2|Work loss days", US_national_yearly!$D:$AM, 10, FALSE), 1)</f>
        <v>1.4983842841293794E-2</v>
      </c>
      <c r="S15" s="7">
        <f>$B15 * IFERROR(VLOOKUP("industry|SO2|Work loss days", US_national_yearly!$D:$AM, 27, FALSE) / VLOOKUP("industry|SO2|Work loss days", US_national_yearly!$D:$AM, 10, FALSE), 1)</f>
        <v>1.5102409510211422E-2</v>
      </c>
      <c r="T15" s="7">
        <f>$B15 * IFERROR(VLOOKUP("industry|SO2|Work loss days", US_national_yearly!$D:$AM, 28, FALSE) / VLOOKUP("industry|SO2|Work loss days", US_national_yearly!$D:$AM, 10, FALSE), 1)</f>
        <v>1.5220976179129054E-2</v>
      </c>
      <c r="U15" s="7">
        <f>$B15 * IFERROR(VLOOKUP("industry|SO2|Work loss days", US_national_yearly!$D:$AM, 29, FALSE) / VLOOKUP("industry|SO2|Work loss days", US_national_yearly!$D:$AM, 10, FALSE), 1)</f>
        <v>1.533954284804669E-2</v>
      </c>
      <c r="V15" s="7">
        <f>$B15 * IFERROR(VLOOKUP("industry|SO2|Work loss days", US_national_yearly!$D:$AM, 30, FALSE) / VLOOKUP("industry|SO2|Work loss days", US_national_yearly!$D:$AM, 10, FALSE), 1)</f>
        <v>1.5458109516964318E-2</v>
      </c>
      <c r="W15" s="7">
        <f>$B15 * IFERROR(VLOOKUP("industry|SO2|Work loss days", US_national_yearly!$D:$AM, 31, FALSE) / VLOOKUP("industry|SO2|Work loss days", US_national_yearly!$D:$AM, 10, FALSE), 1)</f>
        <v>1.5576676185881948E-2</v>
      </c>
      <c r="X15" s="7">
        <f>$B15 * IFERROR(VLOOKUP("industry|SO2|Work loss days", US_national_yearly!$D:$AM, 32, FALSE) / VLOOKUP("industry|SO2|Work loss days", US_national_yearly!$D:$AM, 10, FALSE), 1)</f>
        <v>1.5683169553994722E-2</v>
      </c>
      <c r="Y15" s="7">
        <f>$B15 * IFERROR(VLOOKUP("industry|SO2|Work loss days", US_national_yearly!$D:$AM, 33, FALSE) / VLOOKUP("industry|SO2|Work loss days", US_national_yearly!$D:$AM, 10, FALSE), 1)</f>
        <v>1.5789662922107497E-2</v>
      </c>
      <c r="Z15" s="7">
        <f>$B15 * IFERROR(VLOOKUP("industry|SO2|Work loss days", US_national_yearly!$D:$AM, 34, FALSE) / VLOOKUP("industry|SO2|Work loss days", US_national_yearly!$D:$AM, 10, FALSE), 1)</f>
        <v>1.5896156290220266E-2</v>
      </c>
      <c r="AA15" s="7">
        <f>$B15 * IFERROR(VLOOKUP("industry|SO2|Work loss days", US_national_yearly!$D:$AM, 35, FALSE) / VLOOKUP("industry|SO2|Work loss days", US_national_yearly!$D:$AM, 10, FALSE), 1)</f>
        <v>1.6002649658333045E-2</v>
      </c>
      <c r="AB15" s="7">
        <f>$B15 * IFERROR(VLOOKUP("industry|SO2|Work loss days", US_national_yearly!$D:$AM, 36, FALSE) / VLOOKUP("industry|SO2|Work loss days", US_national_yearly!$D:$AM, 10, FALSE), 1)</f>
        <v>1.6109143026445817E-2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2.4243601688375008E-5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2.4976660236870949E-5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2.5709718785366894E-5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2.6442777333862841E-5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2.7175835882358786E-5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2.7878370379362471E-5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2.8580904876366159E-5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2.9183704075114733E-5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2.9786503273863311E-5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3.0389302472611892E-5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3.0992101671360469E-5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3.1594900870109043E-5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3.1999894047637277E-5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3.2404887225165511E-5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3.2809880402693745E-5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3.3214873580221979E-5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3.3619866757750213E-5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3.3834011449086059E-5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3.4048156140421925E-5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3.4262300831757778E-5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3.4476445523093637E-5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3.469059021442949E-5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3.4835408803521302E-5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3.4980227392613115E-5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3.5125045981704941E-5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3.5269864570796761E-5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3.5414683159888567E-5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2.0913725429351529E-5</v>
      </c>
      <c r="C2" s="7">
        <f>$B2 * IFERROR(VLOOKUP("LULUCF|PM25|Premature mortality", US_national_yearly!$D:$AM, 11, FALSE) / VLOOKUP("LULUCF|PM25|Premature mortality", US_national_yearly!$D:$AM, 10, FALSE), 1)</f>
        <v>2.1173009792536199E-5</v>
      </c>
      <c r="D2" s="7">
        <f>$B2 * IFERROR(VLOOKUP("LULUCF|PM25|Premature mortality", US_national_yearly!$D:$AM, 12, FALSE) / VLOOKUP("LULUCF|PM25|Premature mortality", US_national_yearly!$D:$AM, 10, FALSE), 1)</f>
        <v>2.1432294155720866E-5</v>
      </c>
      <c r="E2" s="7">
        <f>$B2 * IFERROR(VLOOKUP("LULUCF|PM25|Premature mortality", US_national_yearly!$D:$AM, 13, FALSE) / VLOOKUP("LULUCF|PM25|Premature mortality", US_national_yearly!$D:$AM, 10, FALSE), 1)</f>
        <v>2.1691578518905533E-5</v>
      </c>
      <c r="F2" s="7">
        <f>$B2 * IFERROR(VLOOKUP("LULUCF|PM25|Premature mortality", US_national_yearly!$D:$AM, 14, FALSE) / VLOOKUP("LULUCF|PM25|Premature mortality", US_national_yearly!$D:$AM, 10, FALSE), 1)</f>
        <v>2.1950862882090201E-5</v>
      </c>
      <c r="G2" s="7">
        <f>$B2 * IFERROR(VLOOKUP("LULUCF|PM25|Premature mortality", US_national_yearly!$D:$AM, 15, FALSE) / VLOOKUP("LULUCF|PM25|Premature mortality", US_national_yearly!$D:$AM, 10, FALSE), 1)</f>
        <v>2.2455817223915968E-5</v>
      </c>
      <c r="H2" s="7">
        <f>$B2 * IFERROR(VLOOKUP("LULUCF|PM25|Premature mortality", US_national_yearly!$D:$AM, 16, FALSE) / VLOOKUP("LULUCF|PM25|Premature mortality", US_national_yearly!$D:$AM, 10, FALSE), 1)</f>
        <v>2.2960771565741731E-5</v>
      </c>
      <c r="I2" s="7">
        <f>$B2 * IFERROR(VLOOKUP("LULUCF|PM25|Premature mortality", US_national_yearly!$D:$AM, 17, FALSE) / VLOOKUP("LULUCF|PM25|Premature mortality", US_national_yearly!$D:$AM, 10, FALSE), 1)</f>
        <v>2.3292446833574298E-5</v>
      </c>
      <c r="J2" s="7">
        <f>$B2 * IFERROR(VLOOKUP("LULUCF|PM25|Premature mortality", US_national_yearly!$D:$AM, 18, FALSE) / VLOOKUP("LULUCF|PM25|Premature mortality", US_national_yearly!$D:$AM, 10, FALSE), 1)</f>
        <v>2.3624122101406876E-5</v>
      </c>
      <c r="K2" s="7">
        <f>$B2 * IFERROR(VLOOKUP("LULUCF|PM25|Premature mortality", US_national_yearly!$D:$AM, 19, FALSE) / VLOOKUP("LULUCF|PM25|Premature mortality", US_national_yearly!$D:$AM, 10, FALSE), 1)</f>
        <v>2.3955797369239446E-5</v>
      </c>
      <c r="L2" s="7">
        <f>$B2 * IFERROR(VLOOKUP("LULUCF|PM25|Premature mortality", US_national_yearly!$D:$AM, 20, FALSE) / VLOOKUP("LULUCF|PM25|Premature mortality", US_national_yearly!$D:$AM, 10, FALSE), 1)</f>
        <v>2.4287472637072024E-5</v>
      </c>
      <c r="M2" s="7">
        <f>$B2 * IFERROR(VLOOKUP("LULUCF|PM25|Premature mortality", US_national_yearly!$D:$AM, 21, FALSE) / VLOOKUP("LULUCF|PM25|Premature mortality", US_national_yearly!$D:$AM, 10, FALSE), 1)</f>
        <v>2.4619147904904598E-5</v>
      </c>
      <c r="N2" s="7">
        <f>$B2 * IFERROR(VLOOKUP("LULUCF|PM25|Premature mortality", US_national_yearly!$D:$AM, 22, FALSE) / VLOOKUP("LULUCF|PM25|Premature mortality", US_national_yearly!$D:$AM, 10, FALSE), 1)</f>
        <v>2.4876672641222774E-5</v>
      </c>
      <c r="O2" s="7">
        <f>$B2 * IFERROR(VLOOKUP("LULUCF|PM25|Premature mortality", US_national_yearly!$D:$AM, 23, FALSE) / VLOOKUP("LULUCF|PM25|Premature mortality", US_national_yearly!$D:$AM, 10, FALSE), 1)</f>
        <v>2.5134197377540947E-5</v>
      </c>
      <c r="P2" s="7">
        <f>$B2 * IFERROR(VLOOKUP("LULUCF|PM25|Premature mortality", US_national_yearly!$D:$AM, 24, FALSE) / VLOOKUP("LULUCF|PM25|Premature mortality", US_national_yearly!$D:$AM, 10, FALSE), 1)</f>
        <v>2.5391722113859124E-5</v>
      </c>
      <c r="Q2" s="7">
        <f>$B2 * IFERROR(VLOOKUP("LULUCF|PM25|Premature mortality", US_national_yearly!$D:$AM, 25, FALSE) / VLOOKUP("LULUCF|PM25|Premature mortality", US_national_yearly!$D:$AM, 10, FALSE), 1)</f>
        <v>2.56492468501773E-5</v>
      </c>
      <c r="R2" s="7">
        <f>$B2 * IFERROR(VLOOKUP("LULUCF|PM25|Premature mortality", US_national_yearly!$D:$AM, 26, FALSE) / VLOOKUP("LULUCF|PM25|Premature mortality", US_national_yearly!$D:$AM, 10, FALSE), 1)</f>
        <v>2.590677158649548E-5</v>
      </c>
      <c r="S2" s="7">
        <f>$B2 * IFERROR(VLOOKUP("LULUCF|PM25|Premature mortality", US_national_yearly!$D:$AM, 27, FALSE) / VLOOKUP("LULUCF|PM25|Premature mortality", US_national_yearly!$D:$AM, 10, FALSE), 1)</f>
        <v>2.6043200540481913E-5</v>
      </c>
      <c r="T2" s="7">
        <f>$B2 * IFERROR(VLOOKUP("LULUCF|PM25|Premature mortality", US_national_yearly!$D:$AM, 28, FALSE) / VLOOKUP("LULUCF|PM25|Premature mortality", US_national_yearly!$D:$AM, 10, FALSE), 1)</f>
        <v>2.6179629494468339E-5</v>
      </c>
      <c r="U2" s="7">
        <f>$B2 * IFERROR(VLOOKUP("LULUCF|PM25|Premature mortality", US_national_yearly!$D:$AM, 29, FALSE) / VLOOKUP("LULUCF|PM25|Premature mortality", US_national_yearly!$D:$AM, 10, FALSE), 1)</f>
        <v>2.6316058448454766E-5</v>
      </c>
      <c r="V2" s="7">
        <f>$B2 * IFERROR(VLOOKUP("LULUCF|PM25|Premature mortality", US_national_yearly!$D:$AM, 30, FALSE) / VLOOKUP("LULUCF|PM25|Premature mortality", US_national_yearly!$D:$AM, 10, FALSE), 1)</f>
        <v>2.6452487402441192E-5</v>
      </c>
      <c r="W2" s="7">
        <f>$B2 * IFERROR(VLOOKUP("LULUCF|PM25|Premature mortality", US_national_yearly!$D:$AM, 31, FALSE) / VLOOKUP("LULUCF|PM25|Premature mortality", US_national_yearly!$D:$AM, 10, FALSE), 1)</f>
        <v>2.6588916356427618E-5</v>
      </c>
      <c r="X2" s="7">
        <f>$B2 * IFERROR(VLOOKUP("LULUCF|PM25|Premature mortality", US_national_yearly!$D:$AM, 32, FALSE) / VLOOKUP("LULUCF|PM25|Premature mortality", US_national_yearly!$D:$AM, 10, FALSE), 1)</f>
        <v>2.6612772014383213E-5</v>
      </c>
      <c r="Y2" s="7">
        <f>$B2 * IFERROR(VLOOKUP("LULUCF|PM25|Premature mortality", US_national_yearly!$D:$AM, 33, FALSE) / VLOOKUP("LULUCF|PM25|Premature mortality", US_national_yearly!$D:$AM, 10, FALSE), 1)</f>
        <v>2.6636627672338811E-5</v>
      </c>
      <c r="Z2" s="7">
        <f>$B2 * IFERROR(VLOOKUP("LULUCF|PM25|Premature mortality", US_national_yearly!$D:$AM, 34, FALSE) / VLOOKUP("LULUCF|PM25|Premature mortality", US_national_yearly!$D:$AM, 10, FALSE), 1)</f>
        <v>2.6660483330294406E-5</v>
      </c>
      <c r="AA2" s="7">
        <f>$B2 * IFERROR(VLOOKUP("LULUCF|PM25|Premature mortality", US_national_yearly!$D:$AM, 35, FALSE) / VLOOKUP("LULUCF|PM25|Premature mortality", US_national_yearly!$D:$AM, 10, FALSE), 1)</f>
        <v>2.6684338988250004E-5</v>
      </c>
      <c r="AB2" s="7">
        <f>$B2 * IFERROR(VLOOKUP("LULUCF|PM25|Premature mortality", US_national_yearly!$D:$AM, 36, FALSE) / VLOOKUP("LULUCF|PM25|Premature mortality", US_national_yearly!$D:$AM, 10, FALSE), 1)</f>
        <v>2.6708194646205599E-5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6.0276700525170871E-8</v>
      </c>
      <c r="C3" s="7">
        <f>$B3 * IFERROR(VLOOKUP("LULUCF|PM25|Infant mortality", US_national_yearly!$D:$AM, 11, FALSE) / VLOOKUP("LULUCF|PM25|Infant mortality", US_national_yearly!$D:$AM, 10, FALSE), 1)</f>
        <v>5.9751142699472663E-8</v>
      </c>
      <c r="D3" s="7">
        <f>$B3 * IFERROR(VLOOKUP("LULUCF|PM25|Infant mortality", US_national_yearly!$D:$AM, 12, FALSE) / VLOOKUP("LULUCF|PM25|Infant mortality", US_national_yearly!$D:$AM, 10, FALSE), 1)</f>
        <v>5.9225584873774443E-8</v>
      </c>
      <c r="E3" s="7">
        <f>$B3 * IFERROR(VLOOKUP("LULUCF|PM25|Infant mortality", US_national_yearly!$D:$AM, 13, FALSE) / VLOOKUP("LULUCF|PM25|Infant mortality", US_national_yearly!$D:$AM, 10, FALSE), 1)</f>
        <v>5.8700027048076235E-8</v>
      </c>
      <c r="F3" s="7">
        <f>$B3 * IFERROR(VLOOKUP("LULUCF|PM25|Infant mortality", US_national_yearly!$D:$AM, 14, FALSE) / VLOOKUP("LULUCF|PM25|Infant mortality", US_national_yearly!$D:$AM, 10, FALSE), 1)</f>
        <v>5.8174469222378014E-8</v>
      </c>
      <c r="G3" s="7">
        <f>$B3 * IFERROR(VLOOKUP("LULUCF|PM25|Infant mortality", US_national_yearly!$D:$AM, 15, FALSE) / VLOOKUP("LULUCF|PM25|Infant mortality", US_national_yearly!$D:$AM, 10, FALSE), 1)</f>
        <v>3.8689133899034228E-8</v>
      </c>
      <c r="H3" s="7">
        <f>$B3 * IFERROR(VLOOKUP("LULUCF|PM25|Infant mortality", US_national_yearly!$D:$AM, 16, FALSE) / VLOOKUP("LULUCF|PM25|Infant mortality", US_national_yearly!$D:$AM, 10, FALSE), 1)</f>
        <v>1.9203798575690432E-8</v>
      </c>
      <c r="I3" s="7">
        <f>$B3 * IFERROR(VLOOKUP("LULUCF|PM25|Infant mortality", US_national_yearly!$D:$AM, 17, FALSE) / VLOOKUP("LULUCF|PM25|Infant mortality", US_national_yearly!$D:$AM, 10, FALSE), 1)</f>
        <v>1.9078270030152004E-8</v>
      </c>
      <c r="J3" s="7">
        <f>$B3 * IFERROR(VLOOKUP("LULUCF|PM25|Infant mortality", US_national_yearly!$D:$AM, 18, FALSE) / VLOOKUP("LULUCF|PM25|Infant mortality", US_national_yearly!$D:$AM, 10, FALSE), 1)</f>
        <v>1.8952741484613573E-8</v>
      </c>
      <c r="K3" s="7">
        <f>$B3 * IFERROR(VLOOKUP("LULUCF|PM25|Infant mortality", US_national_yearly!$D:$AM, 19, FALSE) / VLOOKUP("LULUCF|PM25|Infant mortality", US_national_yearly!$D:$AM, 10, FALSE), 1)</f>
        <v>1.8827212939075142E-8</v>
      </c>
      <c r="L3" s="7">
        <f>$B3 * IFERROR(VLOOKUP("LULUCF|PM25|Infant mortality", US_national_yearly!$D:$AM, 20, FALSE) / VLOOKUP("LULUCF|PM25|Infant mortality", US_national_yearly!$D:$AM, 10, FALSE), 1)</f>
        <v>1.8701684393536718E-8</v>
      </c>
      <c r="M3" s="7">
        <f>$B3 * IFERROR(VLOOKUP("LULUCF|PM25|Infant mortality", US_national_yearly!$D:$AM, 21, FALSE) / VLOOKUP("LULUCF|PM25|Infant mortality", US_national_yearly!$D:$AM, 10, FALSE), 1)</f>
        <v>1.857615584799829E-8</v>
      </c>
      <c r="N3" s="7">
        <f>$B3 * IFERROR(VLOOKUP("LULUCF|PM25|Infant mortality", US_national_yearly!$D:$AM, 22, FALSE) / VLOOKUP("LULUCF|PM25|Infant mortality", US_national_yearly!$D:$AM, 10, FALSE), 1)</f>
        <v>1.8497310024032885E-8</v>
      </c>
      <c r="O3" s="7">
        <f>$B3 * IFERROR(VLOOKUP("LULUCF|PM25|Infant mortality", US_national_yearly!$D:$AM, 23, FALSE) / VLOOKUP("LULUCF|PM25|Infant mortality", US_national_yearly!$D:$AM, 10, FALSE), 1)</f>
        <v>1.8418464200067484E-8</v>
      </c>
      <c r="P3" s="7">
        <f>$B3 * IFERROR(VLOOKUP("LULUCF|PM25|Infant mortality", US_national_yearly!$D:$AM, 24, FALSE) / VLOOKUP("LULUCF|PM25|Infant mortality", US_national_yearly!$D:$AM, 10, FALSE), 1)</f>
        <v>1.8339618376102079E-8</v>
      </c>
      <c r="Q3" s="7">
        <f>$B3 * IFERROR(VLOOKUP("LULUCF|PM25|Infant mortality", US_national_yearly!$D:$AM, 25, FALSE) / VLOOKUP("LULUCF|PM25|Infant mortality", US_national_yearly!$D:$AM, 10, FALSE), 1)</f>
        <v>1.8260772552136677E-8</v>
      </c>
      <c r="R3" s="7">
        <f>$B3 * IFERROR(VLOOKUP("LULUCF|PM25|Infant mortality", US_national_yearly!$D:$AM, 26, FALSE) / VLOOKUP("LULUCF|PM25|Infant mortality", US_national_yearly!$D:$AM, 10, FALSE), 1)</f>
        <v>1.8181926728171272E-8</v>
      </c>
      <c r="S3" s="7">
        <f>$B3 * IFERROR(VLOOKUP("LULUCF|PM25|Infant mortality", US_national_yearly!$D:$AM, 27, FALSE) / VLOOKUP("LULUCF|PM25|Infant mortality", US_national_yearly!$D:$AM, 10, FALSE), 1)</f>
        <v>1.8083643796469481E-8</v>
      </c>
      <c r="T3" s="7">
        <f>$B3 * IFERROR(VLOOKUP("LULUCF|PM25|Infant mortality", US_national_yearly!$D:$AM, 28, FALSE) / VLOOKUP("LULUCF|PM25|Infant mortality", US_national_yearly!$D:$AM, 10, FALSE), 1)</f>
        <v>1.7985360864767687E-8</v>
      </c>
      <c r="U3" s="7">
        <f>$B3 * IFERROR(VLOOKUP("LULUCF|PM25|Infant mortality", US_national_yearly!$D:$AM, 29, FALSE) / VLOOKUP("LULUCF|PM25|Infant mortality", US_national_yearly!$D:$AM, 10, FALSE), 1)</f>
        <v>1.7887077933065893E-8</v>
      </c>
      <c r="V3" s="7">
        <f>$B3 * IFERROR(VLOOKUP("LULUCF|PM25|Infant mortality", US_national_yearly!$D:$AM, 30, FALSE) / VLOOKUP("LULUCF|PM25|Infant mortality", US_national_yearly!$D:$AM, 10, FALSE), 1)</f>
        <v>1.7788795001364102E-8</v>
      </c>
      <c r="W3" s="7">
        <f>$B3 * IFERROR(VLOOKUP("LULUCF|PM25|Infant mortality", US_national_yearly!$D:$AM, 31, FALSE) / VLOOKUP("LULUCF|PM25|Infant mortality", US_national_yearly!$D:$AM, 10, FALSE), 1)</f>
        <v>1.7690512069662308E-8</v>
      </c>
      <c r="X3" s="7">
        <f>$B3 * IFERROR(VLOOKUP("LULUCF|PM25|Infant mortality", US_national_yearly!$D:$AM, 32, FALSE) / VLOOKUP("LULUCF|PM25|Infant mortality", US_national_yearly!$D:$AM, 10, FALSE), 1)</f>
        <v>1.7584550716419226E-8</v>
      </c>
      <c r="Y3" s="7">
        <f>$B3 * IFERROR(VLOOKUP("LULUCF|PM25|Infant mortality", US_national_yearly!$D:$AM, 33, FALSE) / VLOOKUP("LULUCF|PM25|Infant mortality", US_national_yearly!$D:$AM, 10, FALSE), 1)</f>
        <v>1.7478589363176138E-8</v>
      </c>
      <c r="Z3" s="7">
        <f>$B3 * IFERROR(VLOOKUP("LULUCF|PM25|Infant mortality", US_national_yearly!$D:$AM, 34, FALSE) / VLOOKUP("LULUCF|PM25|Infant mortality", US_national_yearly!$D:$AM, 10, FALSE), 1)</f>
        <v>1.7372628009933056E-8</v>
      </c>
      <c r="AA3" s="7">
        <f>$B3 * IFERROR(VLOOKUP("LULUCF|PM25|Infant mortality", US_national_yearly!$D:$AM, 35, FALSE) / VLOOKUP("LULUCF|PM25|Infant mortality", US_national_yearly!$D:$AM, 10, FALSE), 1)</f>
        <v>1.7266666656689971E-8</v>
      </c>
      <c r="AB3" s="7">
        <f>$B3 * IFERROR(VLOOKUP("LULUCF|PM25|Infant mortality", US_national_yearly!$D:$AM, 36, FALSE) / VLOOKUP("LULUCF|PM25|Infant mortality", US_national_yearly!$D:$AM, 10, FALSE), 1)</f>
        <v>1.7160705303446889E-8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5.9536486277448857E-5</v>
      </c>
      <c r="C6" s="7">
        <f>$B6 * IFERROR(VLOOKUP("LULUCF|PM25|Asthma symptoms cough", US_national_yearly!$D:$AM, 11, FALSE) / VLOOKUP("LULUCF|PM25|Asthma symptoms cough", US_national_yearly!$D:$AM, 10, FALSE), 1)</f>
        <v>5.9536486277448857E-5</v>
      </c>
      <c r="D6" s="7">
        <f>$B6 * IFERROR(VLOOKUP("LULUCF|PM25|Asthma symptoms cough", US_national_yearly!$D:$AM, 12, FALSE) / VLOOKUP("LULUCF|PM25|Asthma symptoms cough", US_national_yearly!$D:$AM, 10, FALSE), 1)</f>
        <v>5.9536486277448857E-5</v>
      </c>
      <c r="E6" s="7">
        <f>$B6 * IFERROR(VLOOKUP("LULUCF|PM25|Asthma symptoms cough", US_national_yearly!$D:$AM, 13, FALSE) / VLOOKUP("LULUCF|PM25|Asthma symptoms cough", US_national_yearly!$D:$AM, 10, FALSE), 1)</f>
        <v>5.9536486277448857E-5</v>
      </c>
      <c r="F6" s="7">
        <f>$B6 * IFERROR(VLOOKUP("LULUCF|PM25|Asthma symptoms cough", US_national_yearly!$D:$AM, 14, FALSE) / VLOOKUP("LULUCF|PM25|Asthma symptoms cough", US_national_yearly!$D:$AM, 10, FALSE), 1)</f>
        <v>5.9536486277448857E-5</v>
      </c>
      <c r="G6" s="7">
        <f>$B6 * IFERROR(VLOOKUP("LULUCF|PM25|Asthma symptoms cough", US_national_yearly!$D:$AM, 15, FALSE) / VLOOKUP("LULUCF|PM25|Asthma symptoms cough", US_national_yearly!$D:$AM, 10, FALSE), 1)</f>
        <v>5.9536486277448857E-5</v>
      </c>
      <c r="H6" s="7">
        <f>$B6 * IFERROR(VLOOKUP("LULUCF|PM25|Asthma symptoms cough", US_national_yearly!$D:$AM, 16, FALSE) / VLOOKUP("LULUCF|PM25|Asthma symptoms cough", US_national_yearly!$D:$AM, 10, FALSE), 1)</f>
        <v>5.9536486277448857E-5</v>
      </c>
      <c r="I6" s="7">
        <f>$B6 * IFERROR(VLOOKUP("LULUCF|PM25|Asthma symptoms cough", US_national_yearly!$D:$AM, 17, FALSE) / VLOOKUP("LULUCF|PM25|Asthma symptoms cough", US_national_yearly!$D:$AM, 10, FALSE), 1)</f>
        <v>5.9536486277448857E-5</v>
      </c>
      <c r="J6" s="7">
        <f>$B6 * IFERROR(VLOOKUP("LULUCF|PM25|Asthma symptoms cough", US_national_yearly!$D:$AM, 18, FALSE) / VLOOKUP("LULUCF|PM25|Asthma symptoms cough", US_national_yearly!$D:$AM, 10, FALSE), 1)</f>
        <v>5.9536486277448857E-5</v>
      </c>
      <c r="K6" s="7">
        <f>$B6 * IFERROR(VLOOKUP("LULUCF|PM25|Asthma symptoms cough", US_national_yearly!$D:$AM, 19, FALSE) / VLOOKUP("LULUCF|PM25|Asthma symptoms cough", US_national_yearly!$D:$AM, 10, FALSE), 1)</f>
        <v>5.9536486277448857E-5</v>
      </c>
      <c r="L6" s="7">
        <f>$B6 * IFERROR(VLOOKUP("LULUCF|PM25|Asthma symptoms cough", US_national_yearly!$D:$AM, 20, FALSE) / VLOOKUP("LULUCF|PM25|Asthma symptoms cough", US_national_yearly!$D:$AM, 10, FALSE), 1)</f>
        <v>5.9536486277448857E-5</v>
      </c>
      <c r="M6" s="7">
        <f>$B6 * IFERROR(VLOOKUP("LULUCF|PM25|Asthma symptoms cough", US_national_yearly!$D:$AM, 21, FALSE) / VLOOKUP("LULUCF|PM25|Asthma symptoms cough", US_national_yearly!$D:$AM, 10, FALSE), 1)</f>
        <v>5.9536486277448857E-5</v>
      </c>
      <c r="N6" s="7">
        <f>$B6 * IFERROR(VLOOKUP("LULUCF|PM25|Asthma symptoms cough", US_national_yearly!$D:$AM, 22, FALSE) / VLOOKUP("LULUCF|PM25|Asthma symptoms cough", US_national_yearly!$D:$AM, 10, FALSE), 1)</f>
        <v>5.9536486277448857E-5</v>
      </c>
      <c r="O6" s="7">
        <f>$B6 * IFERROR(VLOOKUP("LULUCF|PM25|Asthma symptoms cough", US_national_yearly!$D:$AM, 23, FALSE) / VLOOKUP("LULUCF|PM25|Asthma symptoms cough", US_national_yearly!$D:$AM, 10, FALSE), 1)</f>
        <v>5.9536486277448857E-5</v>
      </c>
      <c r="P6" s="7">
        <f>$B6 * IFERROR(VLOOKUP("LULUCF|PM25|Asthma symptoms cough", US_national_yearly!$D:$AM, 24, FALSE) / VLOOKUP("LULUCF|PM25|Asthma symptoms cough", US_national_yearly!$D:$AM, 10, FALSE), 1)</f>
        <v>5.9536486277448857E-5</v>
      </c>
      <c r="Q6" s="7">
        <f>$B6 * IFERROR(VLOOKUP("LULUCF|PM25|Asthma symptoms cough", US_national_yearly!$D:$AM, 25, FALSE) / VLOOKUP("LULUCF|PM25|Asthma symptoms cough", US_national_yearly!$D:$AM, 10, FALSE), 1)</f>
        <v>5.9536486277448857E-5</v>
      </c>
      <c r="R6" s="7">
        <f>$B6 * IFERROR(VLOOKUP("LULUCF|PM25|Asthma symptoms cough", US_national_yearly!$D:$AM, 26, FALSE) / VLOOKUP("LULUCF|PM25|Asthma symptoms cough", US_national_yearly!$D:$AM, 10, FALSE), 1)</f>
        <v>5.9536486277448857E-5</v>
      </c>
      <c r="S6" s="7">
        <f>$B6 * IFERROR(VLOOKUP("LULUCF|PM25|Asthma symptoms cough", US_national_yearly!$D:$AM, 27, FALSE) / VLOOKUP("LULUCF|PM25|Asthma symptoms cough", US_national_yearly!$D:$AM, 10, FALSE), 1)</f>
        <v>5.9536486277448857E-5</v>
      </c>
      <c r="T6" s="7">
        <f>$B6 * IFERROR(VLOOKUP("LULUCF|PM25|Asthma symptoms cough", US_national_yearly!$D:$AM, 28, FALSE) / VLOOKUP("LULUCF|PM25|Asthma symptoms cough", US_national_yearly!$D:$AM, 10, FALSE), 1)</f>
        <v>5.9536486277448857E-5</v>
      </c>
      <c r="U6" s="7">
        <f>$B6 * IFERROR(VLOOKUP("LULUCF|PM25|Asthma symptoms cough", US_national_yearly!$D:$AM, 29, FALSE) / VLOOKUP("LULUCF|PM25|Asthma symptoms cough", US_national_yearly!$D:$AM, 10, FALSE), 1)</f>
        <v>5.9536486277448857E-5</v>
      </c>
      <c r="V6" s="7">
        <f>$B6 * IFERROR(VLOOKUP("LULUCF|PM25|Asthma symptoms cough", US_national_yearly!$D:$AM, 30, FALSE) / VLOOKUP("LULUCF|PM25|Asthma symptoms cough", US_national_yearly!$D:$AM, 10, FALSE), 1)</f>
        <v>5.9536486277448857E-5</v>
      </c>
      <c r="W6" s="7">
        <f>$B6 * IFERROR(VLOOKUP("LULUCF|PM25|Asthma symptoms cough", US_national_yearly!$D:$AM, 31, FALSE) / VLOOKUP("LULUCF|PM25|Asthma symptoms cough", US_national_yearly!$D:$AM, 10, FALSE), 1)</f>
        <v>5.9536486277448857E-5</v>
      </c>
      <c r="X6" s="7">
        <f>$B6 * IFERROR(VLOOKUP("LULUCF|PM25|Asthma symptoms cough", US_national_yearly!$D:$AM, 32, FALSE) / VLOOKUP("LULUCF|PM25|Asthma symptoms cough", US_national_yearly!$D:$AM, 10, FALSE), 1)</f>
        <v>5.9536486277448857E-5</v>
      </c>
      <c r="Y6" s="7">
        <f>$B6 * IFERROR(VLOOKUP("LULUCF|PM25|Asthma symptoms cough", US_national_yearly!$D:$AM, 33, FALSE) / VLOOKUP("LULUCF|PM25|Asthma symptoms cough", US_national_yearly!$D:$AM, 10, FALSE), 1)</f>
        <v>5.9536486277448857E-5</v>
      </c>
      <c r="Z6" s="7">
        <f>$B6 * IFERROR(VLOOKUP("LULUCF|PM25|Asthma symptoms cough", US_national_yearly!$D:$AM, 34, FALSE) / VLOOKUP("LULUCF|PM25|Asthma symptoms cough", US_national_yearly!$D:$AM, 10, FALSE), 1)</f>
        <v>5.9536486277448857E-5</v>
      </c>
      <c r="AA6" s="7">
        <f>$B6 * IFERROR(VLOOKUP("LULUCF|PM25|Asthma symptoms cough", US_national_yearly!$D:$AM, 35, FALSE) / VLOOKUP("LULUCF|PM25|Asthma symptoms cough", US_national_yearly!$D:$AM, 10, FALSE), 1)</f>
        <v>5.9536486277448857E-5</v>
      </c>
      <c r="AB6" s="7">
        <f>$B6 * IFERROR(VLOOKUP("LULUCF|PM25|Asthma symptoms cough", US_national_yearly!$D:$AM, 36, FALSE) / VLOOKUP("LULUCF|PM25|Asthma symptoms cough", US_national_yearly!$D:$AM, 10, FALSE), 1)</f>
        <v>5.9536486277448857E-5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8.0174373571446043E-5</v>
      </c>
      <c r="C7" s="7">
        <f>$B7 * IFERROR(VLOOKUP("LULUCF|PM25|Asthma symptoms shortness of breath", US_national_yearly!$D:$AM, 11, FALSE) / VLOOKUP("LULUCF|PM25|Asthma symptoms shortness of breath", US_national_yearly!$D:$AM, 10, FALSE), 1)</f>
        <v>8.0174373571446043E-5</v>
      </c>
      <c r="D7" s="7">
        <f>$B7 * IFERROR(VLOOKUP("LULUCF|PM25|Asthma symptoms shortness of breath", US_national_yearly!$D:$AM, 12, FALSE) / VLOOKUP("LULUCF|PM25|Asthma symptoms shortness of breath", US_national_yearly!$D:$AM, 10, FALSE), 1)</f>
        <v>8.0174373571446043E-5</v>
      </c>
      <c r="E7" s="7">
        <f>$B7 * IFERROR(VLOOKUP("LULUCF|PM25|Asthma symptoms shortness of breath", US_national_yearly!$D:$AM, 13, FALSE) / VLOOKUP("LULUCF|PM25|Asthma symptoms shortness of breath", US_national_yearly!$D:$AM, 10, FALSE), 1)</f>
        <v>8.0174373571446043E-5</v>
      </c>
      <c r="F7" s="7">
        <f>$B7 * IFERROR(VLOOKUP("LULUCF|PM25|Asthma symptoms shortness of breath", US_national_yearly!$D:$AM, 14, FALSE) / VLOOKUP("LULUCF|PM25|Asthma symptoms shortness of breath", US_national_yearly!$D:$AM, 10, FALSE), 1)</f>
        <v>8.0174373571446043E-5</v>
      </c>
      <c r="G7" s="7">
        <f>$B7 * IFERROR(VLOOKUP("LULUCF|PM25|Asthma symptoms shortness of breath", US_national_yearly!$D:$AM, 15, FALSE) / VLOOKUP("LULUCF|PM25|Asthma symptoms shortness of breath", US_national_yearly!$D:$AM, 10, FALSE), 1)</f>
        <v>8.0174373571446043E-5</v>
      </c>
      <c r="H7" s="7">
        <f>$B7 * IFERROR(VLOOKUP("LULUCF|PM25|Asthma symptoms shortness of breath", US_national_yearly!$D:$AM, 16, FALSE) / VLOOKUP("LULUCF|PM25|Asthma symptoms shortness of breath", US_national_yearly!$D:$AM, 10, FALSE), 1)</f>
        <v>8.0174373571446043E-5</v>
      </c>
      <c r="I7" s="7">
        <f>$B7 * IFERROR(VLOOKUP("LULUCF|PM25|Asthma symptoms shortness of breath", US_national_yearly!$D:$AM, 17, FALSE) / VLOOKUP("LULUCF|PM25|Asthma symptoms shortness of breath", US_national_yearly!$D:$AM, 10, FALSE), 1)</f>
        <v>8.0174373571446043E-5</v>
      </c>
      <c r="J7" s="7">
        <f>$B7 * IFERROR(VLOOKUP("LULUCF|PM25|Asthma symptoms shortness of breath", US_national_yearly!$D:$AM, 18, FALSE) / VLOOKUP("LULUCF|PM25|Asthma symptoms shortness of breath", US_national_yearly!$D:$AM, 10, FALSE), 1)</f>
        <v>8.0174373571446043E-5</v>
      </c>
      <c r="K7" s="7">
        <f>$B7 * IFERROR(VLOOKUP("LULUCF|PM25|Asthma symptoms shortness of breath", US_national_yearly!$D:$AM, 19, FALSE) / VLOOKUP("LULUCF|PM25|Asthma symptoms shortness of breath", US_national_yearly!$D:$AM, 10, FALSE), 1)</f>
        <v>8.0174373571446043E-5</v>
      </c>
      <c r="L7" s="7">
        <f>$B7 * IFERROR(VLOOKUP("LULUCF|PM25|Asthma symptoms shortness of breath", US_national_yearly!$D:$AM, 20, FALSE) / VLOOKUP("LULUCF|PM25|Asthma symptoms shortness of breath", US_national_yearly!$D:$AM, 10, FALSE), 1)</f>
        <v>8.0174373571446043E-5</v>
      </c>
      <c r="M7" s="7">
        <f>$B7 * IFERROR(VLOOKUP("LULUCF|PM25|Asthma symptoms shortness of breath", US_national_yearly!$D:$AM, 21, FALSE) / VLOOKUP("LULUCF|PM25|Asthma symptoms shortness of breath", US_national_yearly!$D:$AM, 10, FALSE), 1)</f>
        <v>8.0174373571446043E-5</v>
      </c>
      <c r="N7" s="7">
        <f>$B7 * IFERROR(VLOOKUP("LULUCF|PM25|Asthma symptoms shortness of breath", US_national_yearly!$D:$AM, 22, FALSE) / VLOOKUP("LULUCF|PM25|Asthma symptoms shortness of breath", US_national_yearly!$D:$AM, 10, FALSE), 1)</f>
        <v>8.0174373571446043E-5</v>
      </c>
      <c r="O7" s="7">
        <f>$B7 * IFERROR(VLOOKUP("LULUCF|PM25|Asthma symptoms shortness of breath", US_national_yearly!$D:$AM, 23, FALSE) / VLOOKUP("LULUCF|PM25|Asthma symptoms shortness of breath", US_national_yearly!$D:$AM, 10, FALSE), 1)</f>
        <v>8.0174373571446043E-5</v>
      </c>
      <c r="P7" s="7">
        <f>$B7 * IFERROR(VLOOKUP("LULUCF|PM25|Asthma symptoms shortness of breath", US_national_yearly!$D:$AM, 24, FALSE) / VLOOKUP("LULUCF|PM25|Asthma symptoms shortness of breath", US_national_yearly!$D:$AM, 10, FALSE), 1)</f>
        <v>8.0174373571446043E-5</v>
      </c>
      <c r="Q7" s="7">
        <f>$B7 * IFERROR(VLOOKUP("LULUCF|PM25|Asthma symptoms shortness of breath", US_national_yearly!$D:$AM, 25, FALSE) / VLOOKUP("LULUCF|PM25|Asthma symptoms shortness of breath", US_national_yearly!$D:$AM, 10, FALSE), 1)</f>
        <v>8.0174373571446043E-5</v>
      </c>
      <c r="R7" s="7">
        <f>$B7 * IFERROR(VLOOKUP("LULUCF|PM25|Asthma symptoms shortness of breath", US_national_yearly!$D:$AM, 26, FALSE) / VLOOKUP("LULUCF|PM25|Asthma symptoms shortness of breath", US_national_yearly!$D:$AM, 10, FALSE), 1)</f>
        <v>8.0174373571446043E-5</v>
      </c>
      <c r="S7" s="7">
        <f>$B7 * IFERROR(VLOOKUP("LULUCF|PM25|Asthma symptoms shortness of breath", US_national_yearly!$D:$AM, 27, FALSE) / VLOOKUP("LULUCF|PM25|Asthma symptoms shortness of breath", US_national_yearly!$D:$AM, 10, FALSE), 1)</f>
        <v>8.0174373571446043E-5</v>
      </c>
      <c r="T7" s="7">
        <f>$B7 * IFERROR(VLOOKUP("LULUCF|PM25|Asthma symptoms shortness of breath", US_national_yearly!$D:$AM, 28, FALSE) / VLOOKUP("LULUCF|PM25|Asthma symptoms shortness of breath", US_national_yearly!$D:$AM, 10, FALSE), 1)</f>
        <v>8.0174373571446043E-5</v>
      </c>
      <c r="U7" s="7">
        <f>$B7 * IFERROR(VLOOKUP("LULUCF|PM25|Asthma symptoms shortness of breath", US_national_yearly!$D:$AM, 29, FALSE) / VLOOKUP("LULUCF|PM25|Asthma symptoms shortness of breath", US_national_yearly!$D:$AM, 10, FALSE), 1)</f>
        <v>8.0174373571446043E-5</v>
      </c>
      <c r="V7" s="7">
        <f>$B7 * IFERROR(VLOOKUP("LULUCF|PM25|Asthma symptoms shortness of breath", US_national_yearly!$D:$AM, 30, FALSE) / VLOOKUP("LULUCF|PM25|Asthma symptoms shortness of breath", US_national_yearly!$D:$AM, 10, FALSE), 1)</f>
        <v>8.0174373571446043E-5</v>
      </c>
      <c r="W7" s="7">
        <f>$B7 * IFERROR(VLOOKUP("LULUCF|PM25|Asthma symptoms shortness of breath", US_national_yearly!$D:$AM, 31, FALSE) / VLOOKUP("LULUCF|PM25|Asthma symptoms shortness of breath", US_national_yearly!$D:$AM, 10, FALSE), 1)</f>
        <v>8.0174373571446043E-5</v>
      </c>
      <c r="X7" s="7">
        <f>$B7 * IFERROR(VLOOKUP("LULUCF|PM25|Asthma symptoms shortness of breath", US_national_yearly!$D:$AM, 32, FALSE) / VLOOKUP("LULUCF|PM25|Asthma symptoms shortness of breath", US_national_yearly!$D:$AM, 10, FALSE), 1)</f>
        <v>8.0174373571446043E-5</v>
      </c>
      <c r="Y7" s="7">
        <f>$B7 * IFERROR(VLOOKUP("LULUCF|PM25|Asthma symptoms shortness of breath", US_national_yearly!$D:$AM, 33, FALSE) / VLOOKUP("LULUCF|PM25|Asthma symptoms shortness of breath", US_national_yearly!$D:$AM, 10, FALSE), 1)</f>
        <v>8.0174373571446043E-5</v>
      </c>
      <c r="Z7" s="7">
        <f>$B7 * IFERROR(VLOOKUP("LULUCF|PM25|Asthma symptoms shortness of breath", US_national_yearly!$D:$AM, 34, FALSE) / VLOOKUP("LULUCF|PM25|Asthma symptoms shortness of breath", US_national_yearly!$D:$AM, 10, FALSE), 1)</f>
        <v>8.0174373571446043E-5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8.0174373571446043E-5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8.0174373571446043E-5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1.2249337002356658E-4</v>
      </c>
      <c r="C8" s="7">
        <f>$B8 * IFERROR(VLOOKUP("LULUCF|PM25|Asthma symptoms wheeze", US_national_yearly!$D:$AM, 11, FALSE) / VLOOKUP("LULUCF|PM25|Asthma symptoms wheeze", US_national_yearly!$D:$AM, 10, FALSE), 1)</f>
        <v>1.2249337002356658E-4</v>
      </c>
      <c r="D8" s="7">
        <f>$B8 * IFERROR(VLOOKUP("LULUCF|PM25|Asthma symptoms wheeze", US_national_yearly!$D:$AM, 12, FALSE) / VLOOKUP("LULUCF|PM25|Asthma symptoms wheeze", US_national_yearly!$D:$AM, 10, FALSE), 1)</f>
        <v>1.2249337002356658E-4</v>
      </c>
      <c r="E8" s="7">
        <f>$B8 * IFERROR(VLOOKUP("LULUCF|PM25|Asthma symptoms wheeze", US_national_yearly!$D:$AM, 13, FALSE) / VLOOKUP("LULUCF|PM25|Asthma symptoms wheeze", US_national_yearly!$D:$AM, 10, FALSE), 1)</f>
        <v>1.2249337002356658E-4</v>
      </c>
      <c r="F8" s="7">
        <f>$B8 * IFERROR(VLOOKUP("LULUCF|PM25|Asthma symptoms wheeze", US_national_yearly!$D:$AM, 14, FALSE) / VLOOKUP("LULUCF|PM25|Asthma symptoms wheeze", US_national_yearly!$D:$AM, 10, FALSE), 1)</f>
        <v>1.2249337002356658E-4</v>
      </c>
      <c r="G8" s="7">
        <f>$B8 * IFERROR(VLOOKUP("LULUCF|PM25|Asthma symptoms wheeze", US_national_yearly!$D:$AM, 15, FALSE) / VLOOKUP("LULUCF|PM25|Asthma symptoms wheeze", US_national_yearly!$D:$AM, 10, FALSE), 1)</f>
        <v>1.2249337002356658E-4</v>
      </c>
      <c r="H8" s="7">
        <f>$B8 * IFERROR(VLOOKUP("LULUCF|PM25|Asthma symptoms wheeze", US_national_yearly!$D:$AM, 16, FALSE) / VLOOKUP("LULUCF|PM25|Asthma symptoms wheeze", US_national_yearly!$D:$AM, 10, FALSE), 1)</f>
        <v>1.2249337002356658E-4</v>
      </c>
      <c r="I8" s="7">
        <f>$B8 * IFERROR(VLOOKUP("LULUCF|PM25|Asthma symptoms wheeze", US_national_yearly!$D:$AM, 17, FALSE) / VLOOKUP("LULUCF|PM25|Asthma symptoms wheeze", US_national_yearly!$D:$AM, 10, FALSE), 1)</f>
        <v>1.2249337002356658E-4</v>
      </c>
      <c r="J8" s="7">
        <f>$B8 * IFERROR(VLOOKUP("LULUCF|PM25|Asthma symptoms wheeze", US_national_yearly!$D:$AM, 18, FALSE) / VLOOKUP("LULUCF|PM25|Asthma symptoms wheeze", US_national_yearly!$D:$AM, 10, FALSE), 1)</f>
        <v>1.2249337002356658E-4</v>
      </c>
      <c r="K8" s="7">
        <f>$B8 * IFERROR(VLOOKUP("LULUCF|PM25|Asthma symptoms wheeze", US_national_yearly!$D:$AM, 19, FALSE) / VLOOKUP("LULUCF|PM25|Asthma symptoms wheeze", US_national_yearly!$D:$AM, 10, FALSE), 1)</f>
        <v>1.2249337002356658E-4</v>
      </c>
      <c r="L8" s="7">
        <f>$B8 * IFERROR(VLOOKUP("LULUCF|PM25|Asthma symptoms wheeze", US_national_yearly!$D:$AM, 20, FALSE) / VLOOKUP("LULUCF|PM25|Asthma symptoms wheeze", US_national_yearly!$D:$AM, 10, FALSE), 1)</f>
        <v>1.2249337002356658E-4</v>
      </c>
      <c r="M8" s="7">
        <f>$B8 * IFERROR(VLOOKUP("LULUCF|PM25|Asthma symptoms wheeze", US_national_yearly!$D:$AM, 21, FALSE) / VLOOKUP("LULUCF|PM25|Asthma symptoms wheeze", US_national_yearly!$D:$AM, 10, FALSE), 1)</f>
        <v>1.2249337002356658E-4</v>
      </c>
      <c r="N8" s="7">
        <f>$B8 * IFERROR(VLOOKUP("LULUCF|PM25|Asthma symptoms wheeze", US_national_yearly!$D:$AM, 22, FALSE) / VLOOKUP("LULUCF|PM25|Asthma symptoms wheeze", US_national_yearly!$D:$AM, 10, FALSE), 1)</f>
        <v>1.2249337002356658E-4</v>
      </c>
      <c r="O8" s="7">
        <f>$B8 * IFERROR(VLOOKUP("LULUCF|PM25|Asthma symptoms wheeze", US_national_yearly!$D:$AM, 23, FALSE) / VLOOKUP("LULUCF|PM25|Asthma symptoms wheeze", US_national_yearly!$D:$AM, 10, FALSE), 1)</f>
        <v>1.2249337002356658E-4</v>
      </c>
      <c r="P8" s="7">
        <f>$B8 * IFERROR(VLOOKUP("LULUCF|PM25|Asthma symptoms wheeze", US_national_yearly!$D:$AM, 24, FALSE) / VLOOKUP("LULUCF|PM25|Asthma symptoms wheeze", US_national_yearly!$D:$AM, 10, FALSE), 1)</f>
        <v>1.2249337002356658E-4</v>
      </c>
      <c r="Q8" s="7">
        <f>$B8 * IFERROR(VLOOKUP("LULUCF|PM25|Asthma symptoms wheeze", US_national_yearly!$D:$AM, 25, FALSE) / VLOOKUP("LULUCF|PM25|Asthma symptoms wheeze", US_national_yearly!$D:$AM, 10, FALSE), 1)</f>
        <v>1.2249337002356658E-4</v>
      </c>
      <c r="R8" s="7">
        <f>$B8 * IFERROR(VLOOKUP("LULUCF|PM25|Asthma symptoms wheeze", US_national_yearly!$D:$AM, 26, FALSE) / VLOOKUP("LULUCF|PM25|Asthma symptoms wheeze", US_national_yearly!$D:$AM, 10, FALSE), 1)</f>
        <v>1.2249337002356658E-4</v>
      </c>
      <c r="S8" s="7">
        <f>$B8 * IFERROR(VLOOKUP("LULUCF|PM25|Asthma symptoms wheeze", US_national_yearly!$D:$AM, 27, FALSE) / VLOOKUP("LULUCF|PM25|Asthma symptoms wheeze", US_national_yearly!$D:$AM, 10, FALSE), 1)</f>
        <v>1.2249337002356658E-4</v>
      </c>
      <c r="T8" s="7">
        <f>$B8 * IFERROR(VLOOKUP("LULUCF|PM25|Asthma symptoms wheeze", US_national_yearly!$D:$AM, 28, FALSE) / VLOOKUP("LULUCF|PM25|Asthma symptoms wheeze", US_national_yearly!$D:$AM, 10, FALSE), 1)</f>
        <v>1.2249337002356658E-4</v>
      </c>
      <c r="U8" s="7">
        <f>$B8 * IFERROR(VLOOKUP("LULUCF|PM25|Asthma symptoms wheeze", US_national_yearly!$D:$AM, 29, FALSE) / VLOOKUP("LULUCF|PM25|Asthma symptoms wheeze", US_national_yearly!$D:$AM, 10, FALSE), 1)</f>
        <v>1.2249337002356658E-4</v>
      </c>
      <c r="V8" s="7">
        <f>$B8 * IFERROR(VLOOKUP("LULUCF|PM25|Asthma symptoms wheeze", US_national_yearly!$D:$AM, 30, FALSE) / VLOOKUP("LULUCF|PM25|Asthma symptoms wheeze", US_national_yearly!$D:$AM, 10, FALSE), 1)</f>
        <v>1.2249337002356658E-4</v>
      </c>
      <c r="W8" s="7">
        <f>$B8 * IFERROR(VLOOKUP("LULUCF|PM25|Asthma symptoms wheeze", US_national_yearly!$D:$AM, 31, FALSE) / VLOOKUP("LULUCF|PM25|Asthma symptoms wheeze", US_national_yearly!$D:$AM, 10, FALSE), 1)</f>
        <v>1.2249337002356658E-4</v>
      </c>
      <c r="X8" s="7">
        <f>$B8 * IFERROR(VLOOKUP("LULUCF|PM25|Asthma symptoms wheeze", US_national_yearly!$D:$AM, 32, FALSE) / VLOOKUP("LULUCF|PM25|Asthma symptoms wheeze", US_national_yearly!$D:$AM, 10, FALSE), 1)</f>
        <v>1.2249337002356658E-4</v>
      </c>
      <c r="Y8" s="7">
        <f>$B8 * IFERROR(VLOOKUP("LULUCF|PM25|Asthma symptoms wheeze", US_national_yearly!$D:$AM, 33, FALSE) / VLOOKUP("LULUCF|PM25|Asthma symptoms wheeze", US_national_yearly!$D:$AM, 10, FALSE), 1)</f>
        <v>1.2249337002356658E-4</v>
      </c>
      <c r="Z8" s="7">
        <f>$B8 * IFERROR(VLOOKUP("LULUCF|PM25|Asthma symptoms wheeze", US_national_yearly!$D:$AM, 34, FALSE) / VLOOKUP("LULUCF|PM25|Asthma symptoms wheeze", US_national_yearly!$D:$AM, 10, FALSE), 1)</f>
        <v>1.2249337002356658E-4</v>
      </c>
      <c r="AA8" s="7">
        <f>$B8 * IFERROR(VLOOKUP("LULUCF|PM25|Asthma symptoms wheeze", US_national_yearly!$D:$AM, 35, FALSE) / VLOOKUP("LULUCF|PM25|Asthma symptoms wheeze", US_national_yearly!$D:$AM, 10, FALSE), 1)</f>
        <v>1.2249337002356658E-4</v>
      </c>
      <c r="AB8" s="7">
        <f>$B8 * IFERROR(VLOOKUP("LULUCF|PM25|Asthma symptoms wheeze", US_national_yearly!$D:$AM, 36, FALSE) / VLOOKUP("LULUCF|PM25|Asthma symptoms wheeze", US_national_yearly!$D:$AM, 10, FALSE), 1)</f>
        <v>1.2249337002356658E-4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1.365314321005517E-6</v>
      </c>
      <c r="C12" s="7">
        <f>$B12 * IFERROR(VLOOKUP("LULUCF|PM25|Respiratory hospital admissions", US_national_yearly!$D:$AM, 11, FALSE) / VLOOKUP("LULUCF|PM25|Respiratory hospital admissions", US_national_yearly!$D:$AM, 10, FALSE), 1)</f>
        <v>1.3731397523940912E-6</v>
      </c>
      <c r="D12" s="7">
        <f>$B12 * IFERROR(VLOOKUP("LULUCF|PM25|Respiratory hospital admissions", US_national_yearly!$D:$AM, 12, FALSE) / VLOOKUP("LULUCF|PM25|Respiratory hospital admissions", US_national_yearly!$D:$AM, 10, FALSE), 1)</f>
        <v>1.3809651837826652E-6</v>
      </c>
      <c r="E12" s="7">
        <f>$B12 * IFERROR(VLOOKUP("LULUCF|PM25|Respiratory hospital admissions", US_national_yearly!$D:$AM, 13, FALSE) / VLOOKUP("LULUCF|PM25|Respiratory hospital admissions", US_national_yearly!$D:$AM, 10, FALSE), 1)</f>
        <v>1.3887906151712397E-6</v>
      </c>
      <c r="F12" s="7">
        <f>$B12 * IFERROR(VLOOKUP("LULUCF|PM25|Respiratory hospital admissions", US_national_yearly!$D:$AM, 14, FALSE) / VLOOKUP("LULUCF|PM25|Respiratory hospital admissions", US_national_yearly!$D:$AM, 10, FALSE), 1)</f>
        <v>1.3966160465598137E-6</v>
      </c>
      <c r="G12" s="7">
        <f>$B12 * IFERROR(VLOOKUP("LULUCF|PM25|Respiratory hospital admissions", US_national_yearly!$D:$AM, 15, FALSE) / VLOOKUP("LULUCF|PM25|Respiratory hospital admissions", US_national_yearly!$D:$AM, 10, FALSE), 1)</f>
        <v>1.4050678462554068E-6</v>
      </c>
      <c r="H12" s="7">
        <f>$B12 * IFERROR(VLOOKUP("LULUCF|PM25|Respiratory hospital admissions", US_national_yearly!$D:$AM, 16, FALSE) / VLOOKUP("LULUCF|PM25|Respiratory hospital admissions", US_national_yearly!$D:$AM, 10, FALSE), 1)</f>
        <v>1.4135196459510002E-6</v>
      </c>
      <c r="I12" s="7">
        <f>$B12 * IFERROR(VLOOKUP("LULUCF|PM25|Respiratory hospital admissions", US_national_yearly!$D:$AM, 17, FALSE) / VLOOKUP("LULUCF|PM25|Respiratory hospital admissions", US_national_yearly!$D:$AM, 10, FALSE), 1)</f>
        <v>1.4215950194465866E-6</v>
      </c>
      <c r="J12" s="7">
        <f>$B12 * IFERROR(VLOOKUP("LULUCF|PM25|Respiratory hospital admissions", US_national_yearly!$D:$AM, 18, FALSE) / VLOOKUP("LULUCF|PM25|Respiratory hospital admissions", US_national_yearly!$D:$AM, 10, FALSE), 1)</f>
        <v>1.4296703929421736E-6</v>
      </c>
      <c r="K12" s="7">
        <f>$B12 * IFERROR(VLOOKUP("LULUCF|PM25|Respiratory hospital admissions", US_national_yearly!$D:$AM, 19, FALSE) / VLOOKUP("LULUCF|PM25|Respiratory hospital admissions", US_national_yearly!$D:$AM, 10, FALSE), 1)</f>
        <v>1.4377457664377602E-6</v>
      </c>
      <c r="L12" s="7">
        <f>$B12 * IFERROR(VLOOKUP("LULUCF|PM25|Respiratory hospital admissions", US_national_yearly!$D:$AM, 20, FALSE) / VLOOKUP("LULUCF|PM25|Respiratory hospital admissions", US_national_yearly!$D:$AM, 10, FALSE), 1)</f>
        <v>1.4458211399333472E-6</v>
      </c>
      <c r="M12" s="7">
        <f>$B12 * IFERROR(VLOOKUP("LULUCF|PM25|Respiratory hospital admissions", US_national_yearly!$D:$AM, 21, FALSE) / VLOOKUP("LULUCF|PM25|Respiratory hospital admissions", US_national_yearly!$D:$AM, 10, FALSE), 1)</f>
        <v>1.4538965134289336E-6</v>
      </c>
      <c r="N12" s="7">
        <f>$B12 * IFERROR(VLOOKUP("LULUCF|PM25|Respiratory hospital admissions", US_national_yearly!$D:$AM, 22, FALSE) / VLOOKUP("LULUCF|PM25|Respiratory hospital admissions", US_national_yearly!$D:$AM, 10, FALSE), 1)</f>
        <v>1.4596924446408849E-6</v>
      </c>
      <c r="O12" s="7">
        <f>$B12 * IFERROR(VLOOKUP("LULUCF|PM25|Respiratory hospital admissions", US_national_yearly!$D:$AM, 23, FALSE) / VLOOKUP("LULUCF|PM25|Respiratory hospital admissions", US_national_yearly!$D:$AM, 10, FALSE), 1)</f>
        <v>1.4654883758528358E-6</v>
      </c>
      <c r="P12" s="7">
        <f>$B12 * IFERROR(VLOOKUP("LULUCF|PM25|Respiratory hospital admissions", US_national_yearly!$D:$AM, 24, FALSE) / VLOOKUP("LULUCF|PM25|Respiratory hospital admissions", US_national_yearly!$D:$AM, 10, FALSE), 1)</f>
        <v>1.4712843070647865E-6</v>
      </c>
      <c r="Q12" s="7">
        <f>$B12 * IFERROR(VLOOKUP("LULUCF|PM25|Respiratory hospital admissions", US_national_yearly!$D:$AM, 25, FALSE) / VLOOKUP("LULUCF|PM25|Respiratory hospital admissions", US_national_yearly!$D:$AM, 10, FALSE), 1)</f>
        <v>1.4770802382767374E-6</v>
      </c>
      <c r="R12" s="7">
        <f>$B12 * IFERROR(VLOOKUP("LULUCF|PM25|Respiratory hospital admissions", US_national_yearly!$D:$AM, 26, FALSE) / VLOOKUP("LULUCF|PM25|Respiratory hospital admissions", US_national_yearly!$D:$AM, 10, FALSE), 1)</f>
        <v>1.4828761694886885E-6</v>
      </c>
      <c r="S12" s="7">
        <f>$B12 * IFERROR(VLOOKUP("LULUCF|PM25|Respiratory hospital admissions", US_national_yearly!$D:$AM, 27, FALSE) / VLOOKUP("LULUCF|PM25|Respiratory hospital admissions", US_national_yearly!$D:$AM, 10, FALSE), 1)</f>
        <v>1.488394659719977E-6</v>
      </c>
      <c r="T12" s="7">
        <f>$B12 * IFERROR(VLOOKUP("LULUCF|PM25|Respiratory hospital admissions", US_national_yearly!$D:$AM, 28, FALSE) / VLOOKUP("LULUCF|PM25|Respiratory hospital admissions", US_national_yearly!$D:$AM, 10, FALSE), 1)</f>
        <v>1.4939131499512656E-6</v>
      </c>
      <c r="U12" s="7">
        <f>$B12 * IFERROR(VLOOKUP("LULUCF|PM25|Respiratory hospital admissions", US_national_yearly!$D:$AM, 29, FALSE) / VLOOKUP("LULUCF|PM25|Respiratory hospital admissions", US_national_yearly!$D:$AM, 10, FALSE), 1)</f>
        <v>1.499431640182554E-6</v>
      </c>
      <c r="V12" s="7">
        <f>$B12 * IFERROR(VLOOKUP("LULUCF|PM25|Respiratory hospital admissions", US_national_yearly!$D:$AM, 30, FALSE) / VLOOKUP("LULUCF|PM25|Respiratory hospital admissions", US_national_yearly!$D:$AM, 10, FALSE), 1)</f>
        <v>1.5049501304138424E-6</v>
      </c>
      <c r="W12" s="7">
        <f>$B12 * IFERROR(VLOOKUP("LULUCF|PM25|Respiratory hospital admissions", US_national_yearly!$D:$AM, 31, FALSE) / VLOOKUP("LULUCF|PM25|Respiratory hospital admissions", US_national_yearly!$D:$AM, 10, FALSE), 1)</f>
        <v>1.5104686206451309E-6</v>
      </c>
      <c r="X12" s="7">
        <f>$B12 * IFERROR(VLOOKUP("LULUCF|PM25|Respiratory hospital admissions", US_national_yearly!$D:$AM, 32, FALSE) / VLOOKUP("LULUCF|PM25|Respiratory hospital admissions", US_national_yearly!$D:$AM, 10, FALSE), 1)</f>
        <v>1.5157774786424309E-6</v>
      </c>
      <c r="Y12" s="7">
        <f>$B12 * IFERROR(VLOOKUP("LULUCF|PM25|Respiratory hospital admissions", US_national_yearly!$D:$AM, 33, FALSE) / VLOOKUP("LULUCF|PM25|Respiratory hospital admissions", US_national_yearly!$D:$AM, 10, FALSE), 1)</f>
        <v>1.5210863366397302E-6</v>
      </c>
      <c r="Z12" s="7">
        <f>$B12 * IFERROR(VLOOKUP("LULUCF|PM25|Respiratory hospital admissions", US_national_yearly!$D:$AM, 34, FALSE) / VLOOKUP("LULUCF|PM25|Respiratory hospital admissions", US_national_yearly!$D:$AM, 10, FALSE), 1)</f>
        <v>1.52639519463703E-6</v>
      </c>
      <c r="AA12" s="7">
        <f>$B12 * IFERROR(VLOOKUP("LULUCF|PM25|Respiratory hospital admissions", US_national_yearly!$D:$AM, 35, FALSE) / VLOOKUP("LULUCF|PM25|Respiratory hospital admissions", US_national_yearly!$D:$AM, 10, FALSE), 1)</f>
        <v>1.5317040526343294E-6</v>
      </c>
      <c r="AB12" s="7">
        <f>$B12 * IFERROR(VLOOKUP("LULUCF|PM25|Respiratory hospital admissions", US_national_yearly!$D:$AM, 36, FALSE) / VLOOKUP("LULUCF|PM25|Respiratory hospital admissions", US_national_yearly!$D:$AM, 10, FALSE), 1)</f>
        <v>1.5370129106316292E-6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1.4412083892358025E-5</v>
      </c>
      <c r="C13" s="7">
        <f>$B13 * IFERROR(VLOOKUP("LULUCF|PM25|Non-fatal heart attacks", US_national_yearly!$D:$AM, 11, FALSE) / VLOOKUP("LULUCF|PM25|Non-fatal heart attacks", US_national_yearly!$D:$AM, 10, FALSE), 1)</f>
        <v>1.4831081416402351E-5</v>
      </c>
      <c r="D13" s="7">
        <f>$B13 * IFERROR(VLOOKUP("LULUCF|PM25|Non-fatal heart attacks", US_national_yearly!$D:$AM, 12, FALSE) / VLOOKUP("LULUCF|PM25|Non-fatal heart attacks", US_national_yearly!$D:$AM, 10, FALSE), 1)</f>
        <v>1.5250078940446678E-5</v>
      </c>
      <c r="E13" s="7">
        <f>$B13 * IFERROR(VLOOKUP("LULUCF|PM25|Non-fatal heart attacks", US_national_yearly!$D:$AM, 13, FALSE) / VLOOKUP("LULUCF|PM25|Non-fatal heart attacks", US_national_yearly!$D:$AM, 10, FALSE), 1)</f>
        <v>1.5669076464491001E-5</v>
      </c>
      <c r="F13" s="7">
        <f>$B13 * IFERROR(VLOOKUP("LULUCF|PM25|Non-fatal heart attacks", US_national_yearly!$D:$AM, 14, FALSE) / VLOOKUP("LULUCF|PM25|Non-fatal heart attacks", US_national_yearly!$D:$AM, 10, FALSE), 1)</f>
        <v>1.6088073988535333E-5</v>
      </c>
      <c r="G13" s="7">
        <f>$B13 * IFERROR(VLOOKUP("LULUCF|PM25|Non-fatal heart attacks", US_national_yearly!$D:$AM, 15, FALSE) / VLOOKUP("LULUCF|PM25|Non-fatal heart attacks", US_national_yearly!$D:$AM, 10, FALSE), 1)</f>
        <v>1.6483215142219067E-5</v>
      </c>
      <c r="H13" s="7">
        <f>$B13 * IFERROR(VLOOKUP("LULUCF|PM25|Non-fatal heart attacks", US_national_yearly!$D:$AM, 16, FALSE) / VLOOKUP("LULUCF|PM25|Non-fatal heart attacks", US_national_yearly!$D:$AM, 10, FALSE), 1)</f>
        <v>1.6878356295902799E-5</v>
      </c>
      <c r="I13" s="7">
        <f>$B13 * IFERROR(VLOOKUP("LULUCF|PM25|Non-fatal heart attacks", US_national_yearly!$D:$AM, 17, FALSE) / VLOOKUP("LULUCF|PM25|Non-fatal heart attacks", US_national_yearly!$D:$AM, 10, FALSE), 1)</f>
        <v>1.7195918298267716E-5</v>
      </c>
      <c r="J13" s="7">
        <f>$B13 * IFERROR(VLOOKUP("LULUCF|PM25|Non-fatal heart attacks", US_national_yearly!$D:$AM, 18, FALSE) / VLOOKUP("LULUCF|PM25|Non-fatal heart attacks", US_national_yearly!$D:$AM, 10, FALSE), 1)</f>
        <v>1.7513480300632633E-5</v>
      </c>
      <c r="K13" s="7">
        <f>$B13 * IFERROR(VLOOKUP("LULUCF|PM25|Non-fatal heart attacks", US_national_yearly!$D:$AM, 19, FALSE) / VLOOKUP("LULUCF|PM25|Non-fatal heart attacks", US_national_yearly!$D:$AM, 10, FALSE), 1)</f>
        <v>1.7831042302997554E-5</v>
      </c>
      <c r="L13" s="7">
        <f>$B13 * IFERROR(VLOOKUP("LULUCF|PM25|Non-fatal heart attacks", US_national_yearly!$D:$AM, 20, FALSE) / VLOOKUP("LULUCF|PM25|Non-fatal heart attacks", US_national_yearly!$D:$AM, 10, FALSE), 1)</f>
        <v>1.8148604305362471E-5</v>
      </c>
      <c r="M13" s="7">
        <f>$B13 * IFERROR(VLOOKUP("LULUCF|PM25|Non-fatal heart attacks", US_national_yearly!$D:$AM, 21, FALSE) / VLOOKUP("LULUCF|PM25|Non-fatal heart attacks", US_national_yearly!$D:$AM, 10, FALSE), 1)</f>
        <v>1.8466166307727391E-5</v>
      </c>
      <c r="N13" s="7">
        <f>$B13 * IFERROR(VLOOKUP("LULUCF|PM25|Non-fatal heart attacks", US_national_yearly!$D:$AM, 22, FALSE) / VLOOKUP("LULUCF|PM25|Non-fatal heart attacks", US_national_yearly!$D:$AM, 10, FALSE), 1)</f>
        <v>1.8670962441440511E-5</v>
      </c>
      <c r="O13" s="7">
        <f>$B13 * IFERROR(VLOOKUP("LULUCF|PM25|Non-fatal heart attacks", US_national_yearly!$D:$AM, 23, FALSE) / VLOOKUP("LULUCF|PM25|Non-fatal heart attacks", US_national_yearly!$D:$AM, 10, FALSE), 1)</f>
        <v>1.8875758575153638E-5</v>
      </c>
      <c r="P13" s="7">
        <f>$B13 * IFERROR(VLOOKUP("LULUCF|PM25|Non-fatal heart attacks", US_national_yearly!$D:$AM, 24, FALSE) / VLOOKUP("LULUCF|PM25|Non-fatal heart attacks", US_national_yearly!$D:$AM, 10, FALSE), 1)</f>
        <v>1.9080554708866762E-5</v>
      </c>
      <c r="Q13" s="7">
        <f>$B13 * IFERROR(VLOOKUP("LULUCF|PM25|Non-fatal heart attacks", US_national_yearly!$D:$AM, 25, FALSE) / VLOOKUP("LULUCF|PM25|Non-fatal heart attacks", US_national_yearly!$D:$AM, 10, FALSE), 1)</f>
        <v>1.9285350842579885E-5</v>
      </c>
      <c r="R13" s="7">
        <f>$B13 * IFERROR(VLOOKUP("LULUCF|PM25|Non-fatal heart attacks", US_national_yearly!$D:$AM, 26, FALSE) / VLOOKUP("LULUCF|PM25|Non-fatal heart attacks", US_national_yearly!$D:$AM, 10, FALSE), 1)</f>
        <v>1.9490146976293008E-5</v>
      </c>
      <c r="S13" s="7">
        <f>$B13 * IFERROR(VLOOKUP("LULUCF|PM25|Non-fatal heart attacks", US_national_yearly!$D:$AM, 27, FALSE) / VLOOKUP("LULUCF|PM25|Non-fatal heart attacks", US_national_yearly!$D:$AM, 10, FALSE), 1)</f>
        <v>1.9597998471287223E-5</v>
      </c>
      <c r="T13" s="7">
        <f>$B13 * IFERROR(VLOOKUP("LULUCF|PM25|Non-fatal heart attacks", US_national_yearly!$D:$AM, 28, FALSE) / VLOOKUP("LULUCF|PM25|Non-fatal heart attacks", US_national_yearly!$D:$AM, 10, FALSE), 1)</f>
        <v>1.9705849966281448E-5</v>
      </c>
      <c r="U13" s="7">
        <f>$B13 * IFERROR(VLOOKUP("LULUCF|PM25|Non-fatal heart attacks", US_national_yearly!$D:$AM, 29, FALSE) / VLOOKUP("LULUCF|PM25|Non-fatal heart attacks", US_national_yearly!$D:$AM, 10, FALSE), 1)</f>
        <v>1.981370146127567E-5</v>
      </c>
      <c r="V13" s="7">
        <f>$B13 * IFERROR(VLOOKUP("LULUCF|PM25|Non-fatal heart attacks", US_national_yearly!$D:$AM, 30, FALSE) / VLOOKUP("LULUCF|PM25|Non-fatal heart attacks", US_national_yearly!$D:$AM, 10, FALSE), 1)</f>
        <v>1.9921552956269892E-5</v>
      </c>
      <c r="W13" s="7">
        <f>$B13 * IFERROR(VLOOKUP("LULUCF|PM25|Non-fatal heart attacks", US_national_yearly!$D:$AM, 31, FALSE) / VLOOKUP("LULUCF|PM25|Non-fatal heart attacks", US_national_yearly!$D:$AM, 10, FALSE), 1)</f>
        <v>2.002940445126411E-5</v>
      </c>
      <c r="X13" s="7">
        <f>$B13 * IFERROR(VLOOKUP("LULUCF|PM25|Non-fatal heart attacks", US_national_yearly!$D:$AM, 32, FALSE) / VLOOKUP("LULUCF|PM25|Non-fatal heart attacks", US_national_yearly!$D:$AM, 10, FALSE), 1)</f>
        <v>2.0111279330970393E-5</v>
      </c>
      <c r="Y13" s="7">
        <f>$B13 * IFERROR(VLOOKUP("LULUCF|PM25|Non-fatal heart attacks", US_national_yearly!$D:$AM, 33, FALSE) / VLOOKUP("LULUCF|PM25|Non-fatal heart attacks", US_national_yearly!$D:$AM, 10, FALSE), 1)</f>
        <v>2.0193154210676677E-5</v>
      </c>
      <c r="Z13" s="7">
        <f>$B13 * IFERROR(VLOOKUP("LULUCF|PM25|Non-fatal heart attacks", US_national_yearly!$D:$AM, 34, FALSE) / VLOOKUP("LULUCF|PM25|Non-fatal heart attacks", US_national_yearly!$D:$AM, 10, FALSE), 1)</f>
        <v>2.0275029090382956E-5</v>
      </c>
      <c r="AA13" s="7">
        <f>$B13 * IFERROR(VLOOKUP("LULUCF|PM25|Non-fatal heart attacks", US_national_yearly!$D:$AM, 35, FALSE) / VLOOKUP("LULUCF|PM25|Non-fatal heart attacks", US_national_yearly!$D:$AM, 10, FALSE), 1)</f>
        <v>2.035690397008924E-5</v>
      </c>
      <c r="AB13" s="7">
        <f>$B13 * IFERROR(VLOOKUP("LULUCF|PM25|Non-fatal heart attacks", US_national_yearly!$D:$AM, 36, FALSE) / VLOOKUP("LULUCF|PM25|Non-fatal heart attacks", US_national_yearly!$D:$AM, 10, FALSE), 1)</f>
        <v>2.0438778849795523E-5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6.8689927836716163E-3</v>
      </c>
      <c r="C14" s="7">
        <f>$B14 * IFERROR(VLOOKUP("LULUCF|PM25|Minor restricted activity days", US_national_yearly!$D:$AM, 11, FALSE) / VLOOKUP("LULUCF|PM25|Minor restricted activity days", US_national_yearly!$D:$AM, 10, FALSE), 1)</f>
        <v>6.885767678649268E-3</v>
      </c>
      <c r="D14" s="7">
        <f>$B14 * IFERROR(VLOOKUP("LULUCF|PM25|Minor restricted activity days", US_national_yearly!$D:$AM, 12, FALSE) / VLOOKUP("LULUCF|PM25|Minor restricted activity days", US_national_yearly!$D:$AM, 10, FALSE), 1)</f>
        <v>6.9025425736269188E-3</v>
      </c>
      <c r="E14" s="7">
        <f>$B14 * IFERROR(VLOOKUP("LULUCF|PM25|Minor restricted activity days", US_national_yearly!$D:$AM, 13, FALSE) / VLOOKUP("LULUCF|PM25|Minor restricted activity days", US_national_yearly!$D:$AM, 10, FALSE), 1)</f>
        <v>6.9193174686045722E-3</v>
      </c>
      <c r="F14" s="7">
        <f>$B14 * IFERROR(VLOOKUP("LULUCF|PM25|Minor restricted activity days", US_national_yearly!$D:$AM, 14, FALSE) / VLOOKUP("LULUCF|PM25|Minor restricted activity days", US_national_yearly!$D:$AM, 10, FALSE), 1)</f>
        <v>6.9360923635822221E-3</v>
      </c>
      <c r="G14" s="7">
        <f>$B14 * IFERROR(VLOOKUP("LULUCF|PM25|Minor restricted activity days", US_national_yearly!$D:$AM, 15, FALSE) / VLOOKUP("LULUCF|PM25|Minor restricted activity days", US_national_yearly!$D:$AM, 10, FALSE), 1)</f>
        <v>6.9608432190926446E-3</v>
      </c>
      <c r="H14" s="7">
        <f>$B14 * IFERROR(VLOOKUP("LULUCF|PM25|Minor restricted activity days", US_national_yearly!$D:$AM, 16, FALSE) / VLOOKUP("LULUCF|PM25|Minor restricted activity days", US_national_yearly!$D:$AM, 10, FALSE), 1)</f>
        <v>6.9855940746030671E-3</v>
      </c>
      <c r="I14" s="7">
        <f>$B14 * IFERROR(VLOOKUP("LULUCF|PM25|Minor restricted activity days", US_national_yearly!$D:$AM, 17, FALSE) / VLOOKUP("LULUCF|PM25|Minor restricted activity days", US_national_yearly!$D:$AM, 10, FALSE), 1)</f>
        <v>7.0279067033871883E-3</v>
      </c>
      <c r="J14" s="7">
        <f>$B14 * IFERROR(VLOOKUP("LULUCF|PM25|Minor restricted activity days", US_national_yearly!$D:$AM, 18, FALSE) / VLOOKUP("LULUCF|PM25|Minor restricted activity days", US_national_yearly!$D:$AM, 10, FALSE), 1)</f>
        <v>7.0702193321713061E-3</v>
      </c>
      <c r="K14" s="7">
        <f>$B14 * IFERROR(VLOOKUP("LULUCF|PM25|Minor restricted activity days", US_national_yearly!$D:$AM, 19, FALSE) / VLOOKUP("LULUCF|PM25|Minor restricted activity days", US_national_yearly!$D:$AM, 10, FALSE), 1)</f>
        <v>7.1125319609554273E-3</v>
      </c>
      <c r="L14" s="7">
        <f>$B14 * IFERROR(VLOOKUP("LULUCF|PM25|Minor restricted activity days", US_national_yearly!$D:$AM, 20, FALSE) / VLOOKUP("LULUCF|PM25|Minor restricted activity days", US_national_yearly!$D:$AM, 10, FALSE), 1)</f>
        <v>7.1548445897395467E-3</v>
      </c>
      <c r="M14" s="7">
        <f>$B14 * IFERROR(VLOOKUP("LULUCF|PM25|Minor restricted activity days", US_national_yearly!$D:$AM, 21, FALSE) / VLOOKUP("LULUCF|PM25|Minor restricted activity days", US_national_yearly!$D:$AM, 10, FALSE), 1)</f>
        <v>7.1971572185236662E-3</v>
      </c>
      <c r="N14" s="7">
        <f>$B14 * IFERROR(VLOOKUP("LULUCF|PM25|Minor restricted activity days", US_national_yearly!$D:$AM, 22, FALSE) / VLOOKUP("LULUCF|PM25|Minor restricted activity days", US_national_yearly!$D:$AM, 10, FALSE), 1)</f>
        <v>7.254795443357046E-3</v>
      </c>
      <c r="O14" s="7">
        <f>$B14 * IFERROR(VLOOKUP("LULUCF|PM25|Minor restricted activity days", US_national_yearly!$D:$AM, 23, FALSE) / VLOOKUP("LULUCF|PM25|Minor restricted activity days", US_national_yearly!$D:$AM, 10, FALSE), 1)</f>
        <v>7.3124336681904241E-3</v>
      </c>
      <c r="P14" s="7">
        <f>$B14 * IFERROR(VLOOKUP("LULUCF|PM25|Minor restricted activity days", US_national_yearly!$D:$AM, 24, FALSE) / VLOOKUP("LULUCF|PM25|Minor restricted activity days", US_national_yearly!$D:$AM, 10, FALSE), 1)</f>
        <v>7.370071893023804E-3</v>
      </c>
      <c r="Q14" s="7">
        <f>$B14 * IFERROR(VLOOKUP("LULUCF|PM25|Minor restricted activity days", US_national_yearly!$D:$AM, 25, FALSE) / VLOOKUP("LULUCF|PM25|Minor restricted activity days", US_national_yearly!$D:$AM, 10, FALSE), 1)</f>
        <v>7.4277101178571829E-3</v>
      </c>
      <c r="R14" s="7">
        <f>$B14 * IFERROR(VLOOKUP("LULUCF|PM25|Minor restricted activity days", US_national_yearly!$D:$AM, 26, FALSE) / VLOOKUP("LULUCF|PM25|Minor restricted activity days", US_national_yearly!$D:$AM, 10, FALSE), 1)</f>
        <v>7.485348342690561E-3</v>
      </c>
      <c r="S14" s="7">
        <f>$B14 * IFERROR(VLOOKUP("LULUCF|PM25|Minor restricted activity days", US_national_yearly!$D:$AM, 27, FALSE) / VLOOKUP("LULUCF|PM25|Minor restricted activity days", US_national_yearly!$D:$AM, 10, FALSE), 1)</f>
        <v>7.5433835030915093E-3</v>
      </c>
      <c r="T14" s="7">
        <f>$B14 * IFERROR(VLOOKUP("LULUCF|PM25|Minor restricted activity days", US_national_yearly!$D:$AM, 28, FALSE) / VLOOKUP("LULUCF|PM25|Minor restricted activity days", US_national_yearly!$D:$AM, 10, FALSE), 1)</f>
        <v>7.6014186634924567E-3</v>
      </c>
      <c r="U14" s="7">
        <f>$B14 * IFERROR(VLOOKUP("LULUCF|PM25|Minor restricted activity days", US_national_yearly!$D:$AM, 29, FALSE) / VLOOKUP("LULUCF|PM25|Minor restricted activity days", US_national_yearly!$D:$AM, 10, FALSE), 1)</f>
        <v>7.659453823893405E-3</v>
      </c>
      <c r="V14" s="7">
        <f>$B14 * IFERROR(VLOOKUP("LULUCF|PM25|Minor restricted activity days", US_national_yearly!$D:$AM, 30, FALSE) / VLOOKUP("LULUCF|PM25|Minor restricted activity days", US_national_yearly!$D:$AM, 10, FALSE), 1)</f>
        <v>7.7174889842943524E-3</v>
      </c>
      <c r="W14" s="7">
        <f>$B14 * IFERROR(VLOOKUP("LULUCF|PM25|Minor restricted activity days", US_national_yearly!$D:$AM, 31, FALSE) / VLOOKUP("LULUCF|PM25|Minor restricted activity days", US_national_yearly!$D:$AM, 10, FALSE), 1)</f>
        <v>7.7755241446953007E-3</v>
      </c>
      <c r="X14" s="7">
        <f>$B14 * IFERROR(VLOOKUP("LULUCF|PM25|Minor restricted activity days", US_national_yearly!$D:$AM, 32, FALSE) / VLOOKUP("LULUCF|PM25|Minor restricted activity days", US_national_yearly!$D:$AM, 10, FALSE), 1)</f>
        <v>7.8259045023715435E-3</v>
      </c>
      <c r="Y14" s="7">
        <f>$B14 * IFERROR(VLOOKUP("LULUCF|PM25|Minor restricted activity days", US_national_yearly!$D:$AM, 33, FALSE) / VLOOKUP("LULUCF|PM25|Minor restricted activity days", US_national_yearly!$D:$AM, 10, FALSE), 1)</f>
        <v>7.8762848600477855E-3</v>
      </c>
      <c r="Z14" s="7">
        <f>$B14 * IFERROR(VLOOKUP("LULUCF|PM25|Minor restricted activity days", US_national_yearly!$D:$AM, 34, FALSE) / VLOOKUP("LULUCF|PM25|Minor restricted activity days", US_national_yearly!$D:$AM, 10, FALSE), 1)</f>
        <v>7.9266652177240274E-3</v>
      </c>
      <c r="AA14" s="7">
        <f>$B14 * IFERROR(VLOOKUP("LULUCF|PM25|Minor restricted activity days", US_national_yearly!$D:$AM, 35, FALSE) / VLOOKUP("LULUCF|PM25|Minor restricted activity days", US_national_yearly!$D:$AM, 10, FALSE), 1)</f>
        <v>7.9770455754002677E-3</v>
      </c>
      <c r="AB14" s="7">
        <f>$B14 * IFERROR(VLOOKUP("LULUCF|PM25|Minor restricted activity days", US_national_yearly!$D:$AM, 36, FALSE) / VLOOKUP("LULUCF|PM25|Minor restricted activity days", US_national_yearly!$D:$AM, 10, FALSE), 1)</f>
        <v>8.0274259330765114E-3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1.1700589266991882E-3</v>
      </c>
      <c r="C15" s="7">
        <f>$B15 * IFERROR(VLOOKUP("LULUCF|PM25|Work loss days", US_national_yearly!$D:$AM, 11, FALSE) / VLOOKUP("LULUCF|PM25|Work loss days", US_national_yearly!$D:$AM, 10, FALSE), 1)</f>
        <v>1.1736856879509014E-3</v>
      </c>
      <c r="D15" s="7">
        <f>$B15 * IFERROR(VLOOKUP("LULUCF|PM25|Work loss days", US_national_yearly!$D:$AM, 12, FALSE) / VLOOKUP("LULUCF|PM25|Work loss days", US_national_yearly!$D:$AM, 10, FALSE), 1)</f>
        <v>1.177312449202615E-3</v>
      </c>
      <c r="E15" s="7">
        <f>$B15 * IFERROR(VLOOKUP("LULUCF|PM25|Work loss days", US_national_yearly!$D:$AM, 13, FALSE) / VLOOKUP("LULUCF|PM25|Work loss days", US_national_yearly!$D:$AM, 10, FALSE), 1)</f>
        <v>1.1809392104543282E-3</v>
      </c>
      <c r="F15" s="7">
        <f>$B15 * IFERROR(VLOOKUP("LULUCF|PM25|Work loss days", US_national_yearly!$D:$AM, 14, FALSE) / VLOOKUP("LULUCF|PM25|Work loss days", US_national_yearly!$D:$AM, 10, FALSE), 1)</f>
        <v>1.1845659717060416E-3</v>
      </c>
      <c r="G15" s="7">
        <f>$B15 * IFERROR(VLOOKUP("LULUCF|PM25|Work loss days", US_national_yearly!$D:$AM, 15, FALSE) / VLOOKUP("LULUCF|PM25|Work loss days", US_national_yearly!$D:$AM, 10, FALSE), 1)</f>
        <v>1.1893208871341517E-3</v>
      </c>
      <c r="H15" s="7">
        <f>$B15 * IFERROR(VLOOKUP("LULUCF|PM25|Work loss days", US_national_yearly!$D:$AM, 16, FALSE) / VLOOKUP("LULUCF|PM25|Work loss days", US_national_yearly!$D:$AM, 10, FALSE), 1)</f>
        <v>1.194075802562262E-3</v>
      </c>
      <c r="I15" s="7">
        <f>$B15 * IFERROR(VLOOKUP("LULUCF|PM25|Work loss days", US_national_yearly!$D:$AM, 17, FALSE) / VLOOKUP("LULUCF|PM25|Work loss days", US_national_yearly!$D:$AM, 10, FALSE), 1)</f>
        <v>1.2010779384990895E-3</v>
      </c>
      <c r="J15" s="7">
        <f>$B15 * IFERROR(VLOOKUP("LULUCF|PM25|Work loss days", US_national_yearly!$D:$AM, 18, FALSE) / VLOOKUP("LULUCF|PM25|Work loss days", US_national_yearly!$D:$AM, 10, FALSE), 1)</f>
        <v>1.2080800744359171E-3</v>
      </c>
      <c r="K15" s="7">
        <f>$B15 * IFERROR(VLOOKUP("LULUCF|PM25|Work loss days", US_national_yearly!$D:$AM, 19, FALSE) / VLOOKUP("LULUCF|PM25|Work loss days", US_national_yearly!$D:$AM, 10, FALSE), 1)</f>
        <v>1.2150822103727445E-3</v>
      </c>
      <c r="L15" s="7">
        <f>$B15 * IFERROR(VLOOKUP("LULUCF|PM25|Work loss days", US_national_yearly!$D:$AM, 20, FALSE) / VLOOKUP("LULUCF|PM25|Work loss days", US_national_yearly!$D:$AM, 10, FALSE), 1)</f>
        <v>1.222084346309572E-3</v>
      </c>
      <c r="M15" s="7">
        <f>$B15 * IFERROR(VLOOKUP("LULUCF|PM25|Work loss days", US_national_yearly!$D:$AM, 21, FALSE) / VLOOKUP("LULUCF|PM25|Work loss days", US_national_yearly!$D:$AM, 10, FALSE), 1)</f>
        <v>1.2290864822463996E-3</v>
      </c>
      <c r="N15" s="7">
        <f>$B15 * IFERROR(VLOOKUP("LULUCF|PM25|Work loss days", US_national_yearly!$D:$AM, 22, FALSE) / VLOOKUP("LULUCF|PM25|Work loss days", US_national_yearly!$D:$AM, 10, FALSE), 1)</f>
        <v>1.2378992003061712E-3</v>
      </c>
      <c r="O15" s="7">
        <f>$B15 * IFERROR(VLOOKUP("LULUCF|PM25|Work loss days", US_national_yearly!$D:$AM, 23, FALSE) / VLOOKUP("LULUCF|PM25|Work loss days", US_national_yearly!$D:$AM, 10, FALSE), 1)</f>
        <v>1.2467119183659423E-3</v>
      </c>
      <c r="P15" s="7">
        <f>$B15 * IFERROR(VLOOKUP("LULUCF|PM25|Work loss days", US_national_yearly!$D:$AM, 24, FALSE) / VLOOKUP("LULUCF|PM25|Work loss days", US_national_yearly!$D:$AM, 10, FALSE), 1)</f>
        <v>1.2555246364257138E-3</v>
      </c>
      <c r="Q15" s="7">
        <f>$B15 * IFERROR(VLOOKUP("LULUCF|PM25|Work loss days", US_national_yearly!$D:$AM, 25, FALSE) / VLOOKUP("LULUCF|PM25|Work loss days", US_national_yearly!$D:$AM, 10, FALSE), 1)</f>
        <v>1.2643373544854852E-3</v>
      </c>
      <c r="R15" s="7">
        <f>$B15 * IFERROR(VLOOKUP("LULUCF|PM25|Work loss days", US_national_yearly!$D:$AM, 26, FALSE) / VLOOKUP("LULUCF|PM25|Work loss days", US_national_yearly!$D:$AM, 10, FALSE), 1)</f>
        <v>1.2731500725452565E-3</v>
      </c>
      <c r="S15" s="7">
        <f>$B15 * IFERROR(VLOOKUP("LULUCF|PM25|Work loss days", US_national_yearly!$D:$AM, 27, FALSE) / VLOOKUP("LULUCF|PM25|Work loss days", US_national_yearly!$D:$AM, 10, FALSE), 1)</f>
        <v>1.2828973149647289E-3</v>
      </c>
      <c r="T15" s="7">
        <f>$B15 * IFERROR(VLOOKUP("LULUCF|PM25|Work loss days", US_national_yearly!$D:$AM, 28, FALSE) / VLOOKUP("LULUCF|PM25|Work loss days", US_national_yearly!$D:$AM, 10, FALSE), 1)</f>
        <v>1.2926445573842014E-3</v>
      </c>
      <c r="U15" s="7">
        <f>$B15 * IFERROR(VLOOKUP("LULUCF|PM25|Work loss days", US_national_yearly!$D:$AM, 29, FALSE) / VLOOKUP("LULUCF|PM25|Work loss days", US_national_yearly!$D:$AM, 10, FALSE), 1)</f>
        <v>1.3023917998036733E-3</v>
      </c>
      <c r="V15" s="7">
        <f>$B15 * IFERROR(VLOOKUP("LULUCF|PM25|Work loss days", US_national_yearly!$D:$AM, 30, FALSE) / VLOOKUP("LULUCF|PM25|Work loss days", US_national_yearly!$D:$AM, 10, FALSE), 1)</f>
        <v>1.3121390422231459E-3</v>
      </c>
      <c r="W15" s="7">
        <f>$B15 * IFERROR(VLOOKUP("LULUCF|PM25|Work loss days", US_national_yearly!$D:$AM, 31, FALSE) / VLOOKUP("LULUCF|PM25|Work loss days", US_national_yearly!$D:$AM, 10, FALSE), 1)</f>
        <v>1.3218862846426181E-3</v>
      </c>
      <c r="X15" s="7">
        <f>$B15 * IFERROR(VLOOKUP("LULUCF|PM25|Work loss days", US_national_yearly!$D:$AM, 32, FALSE) / VLOOKUP("LULUCF|PM25|Work loss days", US_national_yearly!$D:$AM, 10, FALSE), 1)</f>
        <v>1.3305347175352788E-3</v>
      </c>
      <c r="Y15" s="7">
        <f>$B15 * IFERROR(VLOOKUP("LULUCF|PM25|Work loss days", US_national_yearly!$D:$AM, 33, FALSE) / VLOOKUP("LULUCF|PM25|Work loss days", US_national_yearly!$D:$AM, 10, FALSE), 1)</f>
        <v>1.3391831504279395E-3</v>
      </c>
      <c r="Z15" s="7">
        <f>$B15 * IFERROR(VLOOKUP("LULUCF|PM25|Work loss days", US_national_yearly!$D:$AM, 34, FALSE) / VLOOKUP("LULUCF|PM25|Work loss days", US_national_yearly!$D:$AM, 10, FALSE), 1)</f>
        <v>1.3478315833206007E-3</v>
      </c>
      <c r="AA15" s="7">
        <f>$B15 * IFERROR(VLOOKUP("LULUCF|PM25|Work loss days", US_national_yearly!$D:$AM, 35, FALSE) / VLOOKUP("LULUCF|PM25|Work loss days", US_national_yearly!$D:$AM, 10, FALSE), 1)</f>
        <v>1.3564800162132616E-3</v>
      </c>
      <c r="AB15" s="7">
        <f>$B15 * IFERROR(VLOOKUP("LULUCF|PM25|Work loss days", US_national_yearly!$D:$AM, 36, FALSE) / VLOOKUP("LULUCF|PM25|Work loss days", US_national_yearly!$D:$AM, 10, FALSE), 1)</f>
        <v>1.3651284491059223E-3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2.128683339093597E-6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2.1922898816324873E-6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2.2558964241713785E-6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2.3195029667102693E-6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2.3831095092491604E-6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2.4440332151714125E-6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2.5049569210936654E-6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2.5570622192439157E-6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2.6091675173941657E-6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2.6612728155444156E-6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2.713378113694666E-6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2.7654834118449159E-6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2.8002232037551073E-6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2.8349629956652996E-6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2.869702787575491E-6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2.9044425794856828E-6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2.9391823713958743E-6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2.9575629646604665E-6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2.9759435579250583E-6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2.9943241511896497E-6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3.0127047444542416E-6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3.0310853377188334E-6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3.043459394882331E-6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3.055833452045829E-6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3.0682075092093266E-6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3.0805815663728246E-6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3.0929556235363221E-6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2.0913725429351529E-5</v>
      </c>
      <c r="C2" s="7">
        <f>$B2 * IFERROR(VLOOKUP("LULUCF|NOx|Premature mortality", US_national_yearly!$D:$AM, 11, FALSE) / VLOOKUP("LULUCF|NOx|Premature mortality", US_national_yearly!$D:$AM, 10, FALSE), 1)</f>
        <v>2.1220912706415851E-5</v>
      </c>
      <c r="D2" s="7">
        <f>$B2 * IFERROR(VLOOKUP("LULUCF|NOx|Premature mortality", US_national_yearly!$D:$AM, 12, FALSE) / VLOOKUP("LULUCF|NOx|Premature mortality", US_national_yearly!$D:$AM, 10, FALSE), 1)</f>
        <v>2.1528099983480165E-5</v>
      </c>
      <c r="E2" s="7">
        <f>$B2 * IFERROR(VLOOKUP("LULUCF|NOx|Premature mortality", US_national_yearly!$D:$AM, 13, FALSE) / VLOOKUP("LULUCF|NOx|Premature mortality", US_national_yearly!$D:$AM, 10, FALSE), 1)</f>
        <v>2.1835287260544484E-5</v>
      </c>
      <c r="F2" s="7">
        <f>$B2 * IFERROR(VLOOKUP("LULUCF|NOx|Premature mortality", US_national_yearly!$D:$AM, 14, FALSE) / VLOOKUP("LULUCF|NOx|Premature mortality", US_national_yearly!$D:$AM, 10, FALSE), 1)</f>
        <v>2.2142474537608805E-5</v>
      </c>
      <c r="G2" s="7">
        <f>$B2 * IFERROR(VLOOKUP("LULUCF|NOx|Premature mortality", US_national_yearly!$D:$AM, 15, FALSE) / VLOOKUP("LULUCF|NOx|Premature mortality", US_national_yearly!$D:$AM, 10, FALSE), 1)</f>
        <v>2.2694255513723881E-5</v>
      </c>
      <c r="H2" s="7">
        <f>$B2 * IFERROR(VLOOKUP("LULUCF|NOx|Premature mortality", US_national_yearly!$D:$AM, 16, FALSE) / VLOOKUP("LULUCF|NOx|Premature mortality", US_national_yearly!$D:$AM, 10, FALSE), 1)</f>
        <v>2.3246036489838966E-5</v>
      </c>
      <c r="I2" s="7">
        <f>$B2 * IFERROR(VLOOKUP("LULUCF|NOx|Premature mortality", US_national_yearly!$D:$AM, 17, FALSE) / VLOOKUP("LULUCF|NOx|Premature mortality", US_national_yearly!$D:$AM, 10, FALSE), 1)</f>
        <v>2.3602221576453182E-5</v>
      </c>
      <c r="J2" s="7">
        <f>$B2 * IFERROR(VLOOKUP("LULUCF|NOx|Premature mortality", US_national_yearly!$D:$AM, 18, FALSE) / VLOOKUP("LULUCF|NOx|Premature mortality", US_national_yearly!$D:$AM, 10, FALSE), 1)</f>
        <v>2.3958406663067404E-5</v>
      </c>
      <c r="K2" s="7">
        <f>$B2 * IFERROR(VLOOKUP("LULUCF|NOx|Premature mortality", US_national_yearly!$D:$AM, 19, FALSE) / VLOOKUP("LULUCF|NOx|Premature mortality", US_national_yearly!$D:$AM, 10, FALSE), 1)</f>
        <v>2.4314591749681619E-5</v>
      </c>
      <c r="L2" s="7">
        <f>$B2 * IFERROR(VLOOKUP("LULUCF|NOx|Premature mortality", US_national_yearly!$D:$AM, 20, FALSE) / VLOOKUP("LULUCF|NOx|Premature mortality", US_national_yearly!$D:$AM, 10, FALSE), 1)</f>
        <v>2.4670776836295834E-5</v>
      </c>
      <c r="M2" s="7">
        <f>$B2 * IFERROR(VLOOKUP("LULUCF|NOx|Premature mortality", US_national_yearly!$D:$AM, 21, FALSE) / VLOOKUP("LULUCF|NOx|Premature mortality", US_national_yearly!$D:$AM, 10, FALSE), 1)</f>
        <v>2.5026961922910053E-5</v>
      </c>
      <c r="N2" s="7">
        <f>$B2 * IFERROR(VLOOKUP("LULUCF|NOx|Premature mortality", US_national_yearly!$D:$AM, 22, FALSE) / VLOOKUP("LULUCF|NOx|Premature mortality", US_national_yearly!$D:$AM, 10, FALSE), 1)</f>
        <v>2.5290822450388776E-5</v>
      </c>
      <c r="O2" s="7">
        <f>$B2 * IFERROR(VLOOKUP("LULUCF|NOx|Premature mortality", US_national_yearly!$D:$AM, 23, FALSE) / VLOOKUP("LULUCF|NOx|Premature mortality", US_national_yearly!$D:$AM, 10, FALSE), 1)</f>
        <v>2.5554682977867498E-5</v>
      </c>
      <c r="P2" s="7">
        <f>$B2 * IFERROR(VLOOKUP("LULUCF|NOx|Premature mortality", US_national_yearly!$D:$AM, 24, FALSE) / VLOOKUP("LULUCF|NOx|Premature mortality", US_national_yearly!$D:$AM, 10, FALSE), 1)</f>
        <v>2.581854350534622E-5</v>
      </c>
      <c r="Q2" s="7">
        <f>$B2 * IFERROR(VLOOKUP("LULUCF|NOx|Premature mortality", US_national_yearly!$D:$AM, 25, FALSE) / VLOOKUP("LULUCF|NOx|Premature mortality", US_national_yearly!$D:$AM, 10, FALSE), 1)</f>
        <v>2.608240403282495E-5</v>
      </c>
      <c r="R2" s="7">
        <f>$B2 * IFERROR(VLOOKUP("LULUCF|NOx|Premature mortality", US_national_yearly!$D:$AM, 26, FALSE) / VLOOKUP("LULUCF|NOx|Premature mortality", US_national_yearly!$D:$AM, 10, FALSE), 1)</f>
        <v>2.6346264560303672E-5</v>
      </c>
      <c r="S2" s="7">
        <f>$B2 * IFERROR(VLOOKUP("LULUCF|NOx|Premature mortality", US_national_yearly!$D:$AM, 27, FALSE) / VLOOKUP("LULUCF|NOx|Premature mortality", US_national_yearly!$D:$AM, 10, FALSE), 1)</f>
        <v>2.6466191827082953E-5</v>
      </c>
      <c r="T2" s="7">
        <f>$B2 * IFERROR(VLOOKUP("LULUCF|NOx|Premature mortality", US_national_yearly!$D:$AM, 28, FALSE) / VLOOKUP("LULUCF|NOx|Premature mortality", US_national_yearly!$D:$AM, 10, FALSE), 1)</f>
        <v>2.6586119093862236E-5</v>
      </c>
      <c r="U2" s="7">
        <f>$B2 * IFERROR(VLOOKUP("LULUCF|NOx|Premature mortality", US_national_yearly!$D:$AM, 29, FALSE) / VLOOKUP("LULUCF|NOx|Premature mortality", US_national_yearly!$D:$AM, 10, FALSE), 1)</f>
        <v>2.6706046360641517E-5</v>
      </c>
      <c r="V2" s="7">
        <f>$B2 * IFERROR(VLOOKUP("LULUCF|NOx|Premature mortality", US_national_yearly!$D:$AM, 30, FALSE) / VLOOKUP("LULUCF|NOx|Premature mortality", US_national_yearly!$D:$AM, 10, FALSE), 1)</f>
        <v>2.6825973627420801E-5</v>
      </c>
      <c r="W2" s="7">
        <f>$B2 * IFERROR(VLOOKUP("LULUCF|NOx|Premature mortality", US_national_yearly!$D:$AM, 31, FALSE) / VLOOKUP("LULUCF|NOx|Premature mortality", US_national_yearly!$D:$AM, 10, FALSE), 1)</f>
        <v>2.6945900894200084E-5</v>
      </c>
      <c r="X2" s="7">
        <f>$B2 * IFERROR(VLOOKUP("LULUCF|NOx|Premature mortality", US_national_yearly!$D:$AM, 32, FALSE) / VLOOKUP("LULUCF|NOx|Premature mortality", US_national_yearly!$D:$AM, 10, FALSE), 1)</f>
        <v>2.6950055105882518E-5</v>
      </c>
      <c r="Y2" s="7">
        <f>$B2 * IFERROR(VLOOKUP("LULUCF|NOx|Premature mortality", US_national_yearly!$D:$AM, 33, FALSE) / VLOOKUP("LULUCF|NOx|Premature mortality", US_national_yearly!$D:$AM, 10, FALSE), 1)</f>
        <v>2.6954209317564949E-5</v>
      </c>
      <c r="Z2" s="7">
        <f>$B2 * IFERROR(VLOOKUP("LULUCF|NOx|Premature mortality", US_national_yearly!$D:$AM, 34, FALSE) / VLOOKUP("LULUCF|NOx|Premature mortality", US_national_yearly!$D:$AM, 10, FALSE), 1)</f>
        <v>2.695836352924738E-5</v>
      </c>
      <c r="AA2" s="7">
        <f>$B2 * IFERROR(VLOOKUP("LULUCF|NOx|Premature mortality", US_national_yearly!$D:$AM, 35, FALSE) / VLOOKUP("LULUCF|NOx|Premature mortality", US_national_yearly!$D:$AM, 10, FALSE), 1)</f>
        <v>2.6962517740929817E-5</v>
      </c>
      <c r="AB2" s="7">
        <f>$B2 * IFERROR(VLOOKUP("LULUCF|NOx|Premature mortality", US_national_yearly!$D:$AM, 36, FALSE) / VLOOKUP("LULUCF|NOx|Premature mortality", US_national_yearly!$D:$AM, 10, FALSE), 1)</f>
        <v>2.6966671952612248E-5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6.0276700525170871E-8</v>
      </c>
      <c r="C3" s="7">
        <f>$B3 * IFERROR(VLOOKUP("LULUCF|NOx|Infant mortality", US_national_yearly!$D:$AM, 11, FALSE) / VLOOKUP("LULUCF|NOx|Infant mortality", US_national_yearly!$D:$AM, 10, FALSE), 1)</f>
        <v>5.9702411357840539E-8</v>
      </c>
      <c r="D3" s="7">
        <f>$B3 * IFERROR(VLOOKUP("LULUCF|NOx|Infant mortality", US_national_yearly!$D:$AM, 12, FALSE) / VLOOKUP("LULUCF|NOx|Infant mortality", US_national_yearly!$D:$AM, 10, FALSE), 1)</f>
        <v>5.9128122190510195E-8</v>
      </c>
      <c r="E3" s="7">
        <f>$B3 * IFERROR(VLOOKUP("LULUCF|NOx|Infant mortality", US_national_yearly!$D:$AM, 13, FALSE) / VLOOKUP("LULUCF|NOx|Infant mortality", US_national_yearly!$D:$AM, 10, FALSE), 1)</f>
        <v>5.8553833023179856E-8</v>
      </c>
      <c r="F3" s="7">
        <f>$B3 * IFERROR(VLOOKUP("LULUCF|NOx|Infant mortality", US_national_yearly!$D:$AM, 14, FALSE) / VLOOKUP("LULUCF|NOx|Infant mortality", US_national_yearly!$D:$AM, 10, FALSE), 1)</f>
        <v>5.7979543855849518E-8</v>
      </c>
      <c r="G3" s="7">
        <f>$B3 * IFERROR(VLOOKUP("LULUCF|NOx|Infant mortality", US_national_yearly!$D:$AM, 15, FALSE) / VLOOKUP("LULUCF|NOx|Infant mortality", US_national_yearly!$D:$AM, 10, FALSE), 1)</f>
        <v>3.8489684298361765E-8</v>
      </c>
      <c r="H3" s="7">
        <f>$B3 * IFERROR(VLOOKUP("LULUCF|NOx|Infant mortality", US_national_yearly!$D:$AM, 16, FALSE) / VLOOKUP("LULUCF|NOx|Infant mortality", US_national_yearly!$D:$AM, 10, FALSE), 1)</f>
        <v>1.8999824740874015E-8</v>
      </c>
      <c r="I3" s="7">
        <f>$B3 * IFERROR(VLOOKUP("LULUCF|NOx|Infant mortality", US_national_yearly!$D:$AM, 17, FALSE) / VLOOKUP("LULUCF|NOx|Infant mortality", US_national_yearly!$D:$AM, 10, FALSE), 1)</f>
        <v>1.8865477838849451E-8</v>
      </c>
      <c r="J3" s="7">
        <f>$B3 * IFERROR(VLOOKUP("LULUCF|NOx|Infant mortality", US_national_yearly!$D:$AM, 18, FALSE) / VLOOKUP("LULUCF|NOx|Infant mortality", US_national_yearly!$D:$AM, 10, FALSE), 1)</f>
        <v>1.8731130936824881E-8</v>
      </c>
      <c r="K3" s="7">
        <f>$B3 * IFERROR(VLOOKUP("LULUCF|NOx|Infant mortality", US_national_yearly!$D:$AM, 19, FALSE) / VLOOKUP("LULUCF|NOx|Infant mortality", US_national_yearly!$D:$AM, 10, FALSE), 1)</f>
        <v>1.8596784034800314E-8</v>
      </c>
      <c r="L3" s="7">
        <f>$B3 * IFERROR(VLOOKUP("LULUCF|NOx|Infant mortality", US_national_yearly!$D:$AM, 20, FALSE) / VLOOKUP("LULUCF|NOx|Infant mortality", US_national_yearly!$D:$AM, 10, FALSE), 1)</f>
        <v>1.8462437132775747E-8</v>
      </c>
      <c r="M3" s="7">
        <f>$B3 * IFERROR(VLOOKUP("LULUCF|NOx|Infant mortality", US_national_yearly!$D:$AM, 21, FALSE) / VLOOKUP("LULUCF|NOx|Infant mortality", US_national_yearly!$D:$AM, 10, FALSE), 1)</f>
        <v>1.832809023075118E-8</v>
      </c>
      <c r="N3" s="7">
        <f>$B3 * IFERROR(VLOOKUP("LULUCF|NOx|Infant mortality", US_national_yearly!$D:$AM, 22, FALSE) / VLOOKUP("LULUCF|NOx|Infant mortality", US_national_yearly!$D:$AM, 10, FALSE), 1)</f>
        <v>1.8238916374565048E-8</v>
      </c>
      <c r="O3" s="7">
        <f>$B3 * IFERROR(VLOOKUP("LULUCF|NOx|Infant mortality", US_national_yearly!$D:$AM, 23, FALSE) / VLOOKUP("LULUCF|NOx|Infant mortality", US_national_yearly!$D:$AM, 10, FALSE), 1)</f>
        <v>1.8149742518378914E-8</v>
      </c>
      <c r="P3" s="7">
        <f>$B3 * IFERROR(VLOOKUP("LULUCF|NOx|Infant mortality", US_national_yearly!$D:$AM, 24, FALSE) / VLOOKUP("LULUCF|NOx|Infant mortality", US_national_yearly!$D:$AM, 10, FALSE), 1)</f>
        <v>1.8060568662192782E-8</v>
      </c>
      <c r="Q3" s="7">
        <f>$B3 * IFERROR(VLOOKUP("LULUCF|NOx|Infant mortality", US_national_yearly!$D:$AM, 25, FALSE) / VLOOKUP("LULUCF|NOx|Infant mortality", US_national_yearly!$D:$AM, 10, FALSE), 1)</f>
        <v>1.7971394806006651E-8</v>
      </c>
      <c r="R3" s="7">
        <f>$B3 * IFERROR(VLOOKUP("LULUCF|NOx|Infant mortality", US_national_yearly!$D:$AM, 26, FALSE) / VLOOKUP("LULUCF|NOx|Infant mortality", US_national_yearly!$D:$AM, 10, FALSE), 1)</f>
        <v>1.7882220949820519E-8</v>
      </c>
      <c r="S3" s="7">
        <f>$B3 * IFERROR(VLOOKUP("LULUCF|NOx|Infant mortality", US_national_yearly!$D:$AM, 27, FALSE) / VLOOKUP("LULUCF|NOx|Infant mortality", US_national_yearly!$D:$AM, 10, FALSE), 1)</f>
        <v>1.7775019793917018E-8</v>
      </c>
      <c r="T3" s="7">
        <f>$B3 * IFERROR(VLOOKUP("LULUCF|NOx|Infant mortality", US_national_yearly!$D:$AM, 28, FALSE) / VLOOKUP("LULUCF|NOx|Infant mortality", US_national_yearly!$D:$AM, 10, FALSE), 1)</f>
        <v>1.766781863801352E-8</v>
      </c>
      <c r="U3" s="7">
        <f>$B3 * IFERROR(VLOOKUP("LULUCF|NOx|Infant mortality", US_national_yearly!$D:$AM, 29, FALSE) / VLOOKUP("LULUCF|NOx|Infant mortality", US_national_yearly!$D:$AM, 10, FALSE), 1)</f>
        <v>1.7560617482110022E-8</v>
      </c>
      <c r="V3" s="7">
        <f>$B3 * IFERROR(VLOOKUP("LULUCF|NOx|Infant mortality", US_national_yearly!$D:$AM, 30, FALSE) / VLOOKUP("LULUCF|NOx|Infant mortality", US_national_yearly!$D:$AM, 10, FALSE), 1)</f>
        <v>1.7453416326206524E-8</v>
      </c>
      <c r="W3" s="7">
        <f>$B3 * IFERROR(VLOOKUP("LULUCF|NOx|Infant mortality", US_national_yearly!$D:$AM, 31, FALSE) / VLOOKUP("LULUCF|NOx|Infant mortality", US_national_yearly!$D:$AM, 10, FALSE), 1)</f>
        <v>1.7346215170303026E-8</v>
      </c>
      <c r="X3" s="7">
        <f>$B3 * IFERROR(VLOOKUP("LULUCF|NOx|Infant mortality", US_national_yearly!$D:$AM, 32, FALSE) / VLOOKUP("LULUCF|NOx|Infant mortality", US_national_yearly!$D:$AM, 10, FALSE), 1)</f>
        <v>1.7232683962164906E-8</v>
      </c>
      <c r="Y3" s="7">
        <f>$B3 * IFERROR(VLOOKUP("LULUCF|NOx|Infant mortality", US_national_yearly!$D:$AM, 33, FALSE) / VLOOKUP("LULUCF|NOx|Infant mortality", US_national_yearly!$D:$AM, 10, FALSE), 1)</f>
        <v>1.7119152754026786E-8</v>
      </c>
      <c r="Z3" s="7">
        <f>$B3 * IFERROR(VLOOKUP("LULUCF|NOx|Infant mortality", US_national_yearly!$D:$AM, 34, FALSE) / VLOOKUP("LULUCF|NOx|Infant mortality", US_national_yearly!$D:$AM, 10, FALSE), 1)</f>
        <v>1.7005621545888662E-8</v>
      </c>
      <c r="AA3" s="7">
        <f>$B3 * IFERROR(VLOOKUP("LULUCF|NOx|Infant mortality", US_national_yearly!$D:$AM, 35, FALSE) / VLOOKUP("LULUCF|NOx|Infant mortality", US_national_yearly!$D:$AM, 10, FALSE), 1)</f>
        <v>1.6892090337750539E-8</v>
      </c>
      <c r="AB3" s="7">
        <f>$B3 * IFERROR(VLOOKUP("LULUCF|NOx|Infant mortality", US_national_yearly!$D:$AM, 36, FALSE) / VLOOKUP("LULUCF|NOx|Infant mortality", US_national_yearly!$D:$AM, 10, FALSE), 1)</f>
        <v>1.6778559129612415E-8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5.9536486277448857E-5</v>
      </c>
      <c r="C6" s="7">
        <f>$B6 * IFERROR(VLOOKUP("LULUCF|NOx|Asthma symptoms cough", US_national_yearly!$D:$AM, 11, FALSE) / VLOOKUP("LULUCF|NOx|Asthma symptoms cough", US_national_yearly!$D:$AM, 10, FALSE), 1)</f>
        <v>6.0350447383163545E-5</v>
      </c>
      <c r="D6" s="7">
        <f>$B6 * IFERROR(VLOOKUP("LULUCF|NOx|Asthma symptoms cough", US_national_yearly!$D:$AM, 12, FALSE) / VLOOKUP("LULUCF|NOx|Asthma symptoms cough", US_national_yearly!$D:$AM, 10, FALSE), 1)</f>
        <v>6.1164408488878234E-5</v>
      </c>
      <c r="E6" s="7">
        <f>$B6 * IFERROR(VLOOKUP("LULUCF|NOx|Asthma symptoms cough", US_national_yearly!$D:$AM, 13, FALSE) / VLOOKUP("LULUCF|NOx|Asthma symptoms cough", US_national_yearly!$D:$AM, 10, FALSE), 1)</f>
        <v>6.1978369594592922E-5</v>
      </c>
      <c r="F6" s="7">
        <f>$B6 * IFERROR(VLOOKUP("LULUCF|NOx|Asthma symptoms cough", US_national_yearly!$D:$AM, 14, FALSE) / VLOOKUP("LULUCF|NOx|Asthma symptoms cough", US_national_yearly!$D:$AM, 10, FALSE), 1)</f>
        <v>6.279233070030761E-5</v>
      </c>
      <c r="G6" s="7">
        <f>$B6 * IFERROR(VLOOKUP("LULUCF|NOx|Asthma symptoms cough", US_national_yearly!$D:$AM, 15, FALSE) / VLOOKUP("LULUCF|NOx|Asthma symptoms cough", US_national_yearly!$D:$AM, 10, FALSE), 1)</f>
        <v>6.344216489984071E-5</v>
      </c>
      <c r="H6" s="7">
        <f>$B6 * IFERROR(VLOOKUP("LULUCF|NOx|Asthma symptoms cough", US_national_yearly!$D:$AM, 16, FALSE) / VLOOKUP("LULUCF|NOx|Asthma symptoms cough", US_national_yearly!$D:$AM, 10, FALSE), 1)</f>
        <v>6.4091999099373837E-5</v>
      </c>
      <c r="I6" s="7">
        <f>$B6 * IFERROR(VLOOKUP("LULUCF|NOx|Asthma symptoms cough", US_national_yearly!$D:$AM, 17, FALSE) / VLOOKUP("LULUCF|NOx|Asthma symptoms cough", US_national_yearly!$D:$AM, 10, FALSE), 1)</f>
        <v>6.4315662740985026E-5</v>
      </c>
      <c r="J6" s="7">
        <f>$B6 * IFERROR(VLOOKUP("LULUCF|NOx|Asthma symptoms cough", US_national_yearly!$D:$AM, 18, FALSE) / VLOOKUP("LULUCF|NOx|Asthma symptoms cough", US_national_yearly!$D:$AM, 10, FALSE), 1)</f>
        <v>6.4539326382596229E-5</v>
      </c>
      <c r="K6" s="7">
        <f>$B6 * IFERROR(VLOOKUP("LULUCF|NOx|Asthma symptoms cough", US_national_yearly!$D:$AM, 19, FALSE) / VLOOKUP("LULUCF|NOx|Asthma symptoms cough", US_national_yearly!$D:$AM, 10, FALSE), 1)</f>
        <v>6.4762990024207405E-5</v>
      </c>
      <c r="L6" s="7">
        <f>$B6 * IFERROR(VLOOKUP("LULUCF|NOx|Asthma symptoms cough", US_national_yearly!$D:$AM, 20, FALSE) / VLOOKUP("LULUCF|NOx|Asthma symptoms cough", US_national_yearly!$D:$AM, 10, FALSE), 1)</f>
        <v>6.4986653665818594E-5</v>
      </c>
      <c r="M6" s="7">
        <f>$B6 * IFERROR(VLOOKUP("LULUCF|NOx|Asthma symptoms cough", US_national_yearly!$D:$AM, 21, FALSE) / VLOOKUP("LULUCF|NOx|Asthma symptoms cough", US_national_yearly!$D:$AM, 10, FALSE), 1)</f>
        <v>6.5210317307429796E-5</v>
      </c>
      <c r="N6" s="7">
        <f>$B6 * IFERROR(VLOOKUP("LULUCF|NOx|Asthma symptoms cough", US_national_yearly!$D:$AM, 22, FALSE) / VLOOKUP("LULUCF|NOx|Asthma symptoms cough", US_national_yearly!$D:$AM, 10, FALSE), 1)</f>
        <v>6.5469671955498669E-5</v>
      </c>
      <c r="O6" s="7">
        <f>$B6 * IFERROR(VLOOKUP("LULUCF|NOx|Asthma symptoms cough", US_national_yearly!$D:$AM, 23, FALSE) / VLOOKUP("LULUCF|NOx|Asthma symptoms cough", US_national_yearly!$D:$AM, 10, FALSE), 1)</f>
        <v>6.5729026603567555E-5</v>
      </c>
      <c r="P6" s="7">
        <f>$B6 * IFERROR(VLOOKUP("LULUCF|NOx|Asthma symptoms cough", US_national_yearly!$D:$AM, 24, FALSE) / VLOOKUP("LULUCF|NOx|Asthma symptoms cough", US_national_yearly!$D:$AM, 10, FALSE), 1)</f>
        <v>6.5988381251636427E-5</v>
      </c>
      <c r="Q6" s="7">
        <f>$B6 * IFERROR(VLOOKUP("LULUCF|NOx|Asthma symptoms cough", US_national_yearly!$D:$AM, 25, FALSE) / VLOOKUP("LULUCF|NOx|Asthma symptoms cough", US_national_yearly!$D:$AM, 10, FALSE), 1)</f>
        <v>6.6247735899705327E-5</v>
      </c>
      <c r="R6" s="7">
        <f>$B6 * IFERROR(VLOOKUP("LULUCF|NOx|Asthma symptoms cough", US_national_yearly!$D:$AM, 26, FALSE) / VLOOKUP("LULUCF|NOx|Asthma symptoms cough", US_national_yearly!$D:$AM, 10, FALSE), 1)</f>
        <v>6.6507090547774199E-5</v>
      </c>
      <c r="S6" s="7">
        <f>$B6 * IFERROR(VLOOKUP("LULUCF|NOx|Asthma symptoms cough", US_national_yearly!$D:$AM, 27, FALSE) / VLOOKUP("LULUCF|NOx|Asthma symptoms cough", US_national_yearly!$D:$AM, 10, FALSE), 1)</f>
        <v>6.6845890321995478E-5</v>
      </c>
      <c r="T6" s="7">
        <f>$B6 * IFERROR(VLOOKUP("LULUCF|NOx|Asthma symptoms cough", US_national_yearly!$D:$AM, 28, FALSE) / VLOOKUP("LULUCF|NOx|Asthma symptoms cough", US_national_yearly!$D:$AM, 10, FALSE), 1)</f>
        <v>6.7184690096216743E-5</v>
      </c>
      <c r="U6" s="7">
        <f>$B6 * IFERROR(VLOOKUP("LULUCF|NOx|Asthma symptoms cough", US_national_yearly!$D:$AM, 29, FALSE) / VLOOKUP("LULUCF|NOx|Asthma symptoms cough", US_national_yearly!$D:$AM, 10, FALSE), 1)</f>
        <v>6.7523489870437994E-5</v>
      </c>
      <c r="V6" s="7">
        <f>$B6 * IFERROR(VLOOKUP("LULUCF|NOx|Asthma symptoms cough", US_national_yearly!$D:$AM, 30, FALSE) / VLOOKUP("LULUCF|NOx|Asthma symptoms cough", US_national_yearly!$D:$AM, 10, FALSE), 1)</f>
        <v>6.7862289644659272E-5</v>
      </c>
      <c r="W6" s="7">
        <f>$B6 * IFERROR(VLOOKUP("LULUCF|NOx|Asthma symptoms cough", US_national_yearly!$D:$AM, 31, FALSE) / VLOOKUP("LULUCF|NOx|Asthma symptoms cough", US_national_yearly!$D:$AM, 10, FALSE), 1)</f>
        <v>6.8201089418880537E-5</v>
      </c>
      <c r="X6" s="7">
        <f>$B6 * IFERROR(VLOOKUP("LULUCF|NOx|Asthma symptoms cough", US_national_yearly!$D:$AM, 32, FALSE) / VLOOKUP("LULUCF|NOx|Asthma symptoms cough", US_national_yearly!$D:$AM, 10, FALSE), 1)</f>
        <v>6.8515883089763211E-5</v>
      </c>
      <c r="Y6" s="7">
        <f>$B6 * IFERROR(VLOOKUP("LULUCF|NOx|Asthma symptoms cough", US_national_yearly!$D:$AM, 33, FALSE) / VLOOKUP("LULUCF|NOx|Asthma symptoms cough", US_national_yearly!$D:$AM, 10, FALSE), 1)</f>
        <v>6.8830676760645886E-5</v>
      </c>
      <c r="Z6" s="7">
        <f>$B6 * IFERROR(VLOOKUP("LULUCF|NOx|Asthma symptoms cough", US_national_yearly!$D:$AM, 34, FALSE) / VLOOKUP("LULUCF|NOx|Asthma symptoms cough", US_national_yearly!$D:$AM, 10, FALSE), 1)</f>
        <v>6.914547043152856E-5</v>
      </c>
      <c r="AA6" s="7">
        <f>$B6 * IFERROR(VLOOKUP("LULUCF|NOx|Asthma symptoms cough", US_national_yearly!$D:$AM, 35, FALSE) / VLOOKUP("LULUCF|NOx|Asthma symptoms cough", US_national_yearly!$D:$AM, 10, FALSE), 1)</f>
        <v>6.9460264102411235E-5</v>
      </c>
      <c r="AB6" s="7">
        <f>$B6 * IFERROR(VLOOKUP("LULUCF|NOx|Asthma symptoms cough", US_national_yearly!$D:$AM, 36, FALSE) / VLOOKUP("LULUCF|NOx|Asthma symptoms cough", US_national_yearly!$D:$AM, 10, FALSE), 1)</f>
        <v>6.9775057773293923E-5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8.0174373571446043E-5</v>
      </c>
      <c r="C7" s="7">
        <f>$B7 * IFERROR(VLOOKUP("LULUCF|NOx|Asthma symptoms shortness of breath", US_national_yearly!$D:$AM, 11, FALSE) / VLOOKUP("LULUCF|NOx|Asthma symptoms shortness of breath", US_national_yearly!$D:$AM, 10, FALSE), 1)</f>
        <v>8.1270488337222249E-5</v>
      </c>
      <c r="D7" s="7">
        <f>$B7 * IFERROR(VLOOKUP("LULUCF|NOx|Asthma symptoms shortness of breath", US_national_yearly!$D:$AM, 12, FALSE) / VLOOKUP("LULUCF|NOx|Asthma symptoms shortness of breath", US_national_yearly!$D:$AM, 10, FALSE), 1)</f>
        <v>8.2366603102998441E-5</v>
      </c>
      <c r="E7" s="7">
        <f>$B7 * IFERROR(VLOOKUP("LULUCF|NOx|Asthma symptoms shortness of breath", US_national_yearly!$D:$AM, 13, FALSE) / VLOOKUP("LULUCF|NOx|Asthma symptoms shortness of breath", US_national_yearly!$D:$AM, 10, FALSE), 1)</f>
        <v>8.3462717868774646E-5</v>
      </c>
      <c r="F7" s="7">
        <f>$B7 * IFERROR(VLOOKUP("LULUCF|NOx|Asthma symptoms shortness of breath", US_national_yearly!$D:$AM, 14, FALSE) / VLOOKUP("LULUCF|NOx|Asthma symptoms shortness of breath", US_national_yearly!$D:$AM, 10, FALSE), 1)</f>
        <v>8.4558832634550851E-5</v>
      </c>
      <c r="G7" s="7">
        <f>$B7 * IFERROR(VLOOKUP("LULUCF|NOx|Asthma symptoms shortness of breath", US_national_yearly!$D:$AM, 15, FALSE) / VLOOKUP("LULUCF|NOx|Asthma symptoms shortness of breath", US_national_yearly!$D:$AM, 10, FALSE), 1)</f>
        <v>8.5433927102572589E-5</v>
      </c>
      <c r="H7" s="7">
        <f>$B7 * IFERROR(VLOOKUP("LULUCF|NOx|Asthma symptoms shortness of breath", US_national_yearly!$D:$AM, 16, FALSE) / VLOOKUP("LULUCF|NOx|Asthma symptoms shortness of breath", US_national_yearly!$D:$AM, 10, FALSE), 1)</f>
        <v>8.6309021570594327E-5</v>
      </c>
      <c r="I7" s="7">
        <f>$B7 * IFERROR(VLOOKUP("LULUCF|NOx|Asthma symptoms shortness of breath", US_national_yearly!$D:$AM, 17, FALSE) / VLOOKUP("LULUCF|NOx|Asthma symptoms shortness of breath", US_national_yearly!$D:$AM, 10, FALSE), 1)</f>
        <v>8.6610216574854919E-5</v>
      </c>
      <c r="J7" s="7">
        <f>$B7 * IFERROR(VLOOKUP("LULUCF|NOx|Asthma symptoms shortness of breath", US_national_yearly!$D:$AM, 18, FALSE) / VLOOKUP("LULUCF|NOx|Asthma symptoms shortness of breath", US_national_yearly!$D:$AM, 10, FALSE), 1)</f>
        <v>8.6911411579115511E-5</v>
      </c>
      <c r="K7" s="7">
        <f>$B7 * IFERROR(VLOOKUP("LULUCF|NOx|Asthma symptoms shortness of breath", US_national_yearly!$D:$AM, 19, FALSE) / VLOOKUP("LULUCF|NOx|Asthma symptoms shortness of breath", US_national_yearly!$D:$AM, 10, FALSE), 1)</f>
        <v>8.7212606583376103E-5</v>
      </c>
      <c r="L7" s="7">
        <f>$B7 * IFERROR(VLOOKUP("LULUCF|NOx|Asthma symptoms shortness of breath", US_national_yearly!$D:$AM, 20, FALSE) / VLOOKUP("LULUCF|NOx|Asthma symptoms shortness of breath", US_national_yearly!$D:$AM, 10, FALSE), 1)</f>
        <v>8.7513801587636695E-5</v>
      </c>
      <c r="M7" s="7">
        <f>$B7 * IFERROR(VLOOKUP("LULUCF|NOx|Asthma symptoms shortness of breath", US_national_yearly!$D:$AM, 21, FALSE) / VLOOKUP("LULUCF|NOx|Asthma symptoms shortness of breath", US_national_yearly!$D:$AM, 10, FALSE), 1)</f>
        <v>8.7814996591897287E-5</v>
      </c>
      <c r="N7" s="7">
        <f>$B7 * IFERROR(VLOOKUP("LULUCF|NOx|Asthma symptoms shortness of breath", US_national_yearly!$D:$AM, 22, FALSE) / VLOOKUP("LULUCF|NOx|Asthma symptoms shortness of breath", US_national_yearly!$D:$AM, 10, FALSE), 1)</f>
        <v>8.8164254629689314E-5</v>
      </c>
      <c r="O7" s="7">
        <f>$B7 * IFERROR(VLOOKUP("LULUCF|NOx|Asthma symptoms shortness of breath", US_national_yearly!$D:$AM, 23, FALSE) / VLOOKUP("LULUCF|NOx|Asthma symptoms shortness of breath", US_national_yearly!$D:$AM, 10, FALSE), 1)</f>
        <v>8.8513512667481341E-5</v>
      </c>
      <c r="P7" s="7">
        <f>$B7 * IFERROR(VLOOKUP("LULUCF|NOx|Asthma symptoms shortness of breath", US_national_yearly!$D:$AM, 24, FALSE) / VLOOKUP("LULUCF|NOx|Asthma symptoms shortness of breath", US_national_yearly!$D:$AM, 10, FALSE), 1)</f>
        <v>8.8862770705273354E-5</v>
      </c>
      <c r="Q7" s="7">
        <f>$B7 * IFERROR(VLOOKUP("LULUCF|NOx|Asthma symptoms shortness of breath", US_national_yearly!$D:$AM, 25, FALSE) / VLOOKUP("LULUCF|NOx|Asthma symptoms shortness of breath", US_national_yearly!$D:$AM, 10, FALSE), 1)</f>
        <v>8.9212028743065381E-5</v>
      </c>
      <c r="R7" s="7">
        <f>$B7 * IFERROR(VLOOKUP("LULUCF|NOx|Asthma symptoms shortness of breath", US_national_yearly!$D:$AM, 26, FALSE) / VLOOKUP("LULUCF|NOx|Asthma symptoms shortness of breath", US_national_yearly!$D:$AM, 10, FALSE), 1)</f>
        <v>8.9561286780857408E-5</v>
      </c>
      <c r="S7" s="7">
        <f>$B7 * IFERROR(VLOOKUP("LULUCF|NOx|Asthma symptoms shortness of breath", US_national_yearly!$D:$AM, 27, FALSE) / VLOOKUP("LULUCF|NOx|Asthma symptoms shortness of breath", US_national_yearly!$D:$AM, 10, FALSE), 1)</f>
        <v>9.0017529017353133E-5</v>
      </c>
      <c r="T7" s="7">
        <f>$B7 * IFERROR(VLOOKUP("LULUCF|NOx|Asthma symptoms shortness of breath", US_national_yearly!$D:$AM, 28, FALSE) / VLOOKUP("LULUCF|NOx|Asthma symptoms shortness of breath", US_national_yearly!$D:$AM, 10, FALSE), 1)</f>
        <v>9.0473771253848871E-5</v>
      </c>
      <c r="U7" s="7">
        <f>$B7 * IFERROR(VLOOKUP("LULUCF|NOx|Asthma symptoms shortness of breath", US_national_yearly!$D:$AM, 29, FALSE) / VLOOKUP("LULUCF|NOx|Asthma symptoms shortness of breath", US_national_yearly!$D:$AM, 10, FALSE), 1)</f>
        <v>9.0930013490344596E-5</v>
      </c>
      <c r="V7" s="7">
        <f>$B7 * IFERROR(VLOOKUP("LULUCF|NOx|Asthma symptoms shortness of breath", US_national_yearly!$D:$AM, 30, FALSE) / VLOOKUP("LULUCF|NOx|Asthma symptoms shortness of breath", US_national_yearly!$D:$AM, 10, FALSE), 1)</f>
        <v>9.1386255726840307E-5</v>
      </c>
      <c r="W7" s="7">
        <f>$B7 * IFERROR(VLOOKUP("LULUCF|NOx|Asthma symptoms shortness of breath", US_national_yearly!$D:$AM, 31, FALSE) / VLOOKUP("LULUCF|NOx|Asthma symptoms shortness of breath", US_national_yearly!$D:$AM, 10, FALSE), 1)</f>
        <v>9.1842497963336031E-5</v>
      </c>
      <c r="X7" s="7">
        <f>$B7 * IFERROR(VLOOKUP("LULUCF|NOx|Asthma symptoms shortness of breath", US_national_yearly!$D:$AM, 32, FALSE) / VLOOKUP("LULUCF|NOx|Asthma symptoms shortness of breath", US_national_yearly!$D:$AM, 10, FALSE), 1)</f>
        <v>9.2266412556176871E-5</v>
      </c>
      <c r="Y7" s="7">
        <f>$B7 * IFERROR(VLOOKUP("LULUCF|NOx|Asthma symptoms shortness of breath", US_national_yearly!$D:$AM, 33, FALSE) / VLOOKUP("LULUCF|NOx|Asthma symptoms shortness of breath", US_national_yearly!$D:$AM, 10, FALSE), 1)</f>
        <v>9.2690327149017696E-5</v>
      </c>
      <c r="Z7" s="7">
        <f>$B7 * IFERROR(VLOOKUP("LULUCF|NOx|Asthma symptoms shortness of breath", US_national_yearly!$D:$AM, 34, FALSE) / VLOOKUP("LULUCF|NOx|Asthma symptoms shortness of breath", US_national_yearly!$D:$AM, 10, FALSE), 1)</f>
        <v>9.3114241741858563E-5</v>
      </c>
      <c r="AA7" s="7">
        <f>$B7 * IFERROR(VLOOKUP("LULUCF|NOx|Asthma symptoms shortness of breath", US_national_yearly!$D:$AM, 35, FALSE) / VLOOKUP("LULUCF|NOx|Asthma symptoms shortness of breath", US_national_yearly!$D:$AM, 10, FALSE), 1)</f>
        <v>9.3538156334699402E-5</v>
      </c>
      <c r="AB7" s="7">
        <f>$B7 * IFERROR(VLOOKUP("LULUCF|NOx|Asthma symptoms shortness of breath", US_national_yearly!$D:$AM, 36, FALSE) / VLOOKUP("LULUCF|NOx|Asthma symptoms shortness of breath", US_national_yearly!$D:$AM, 10, FALSE), 1)</f>
        <v>9.3962070927540228E-5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1.2249337002356658E-4</v>
      </c>
      <c r="C8" s="7">
        <f>$B8 * IFERROR(VLOOKUP("LULUCF|NOx|Asthma symptoms wheeze", US_national_yearly!$D:$AM, 11, FALSE) / VLOOKUP("LULUCF|NOx|Asthma symptoms wheeze", US_national_yearly!$D:$AM, 10, FALSE), 1)</f>
        <v>1.2416805466283046E-4</v>
      </c>
      <c r="D8" s="7">
        <f>$B8 * IFERROR(VLOOKUP("LULUCF|NOx|Asthma symptoms wheeze", US_national_yearly!$D:$AM, 12, FALSE) / VLOOKUP("LULUCF|NOx|Asthma symptoms wheeze", US_national_yearly!$D:$AM, 10, FALSE), 1)</f>
        <v>1.258427393020944E-4</v>
      </c>
      <c r="E8" s="7">
        <f>$B8 * IFERROR(VLOOKUP("LULUCF|NOx|Asthma symptoms wheeze", US_national_yearly!$D:$AM, 13, FALSE) / VLOOKUP("LULUCF|NOx|Asthma symptoms wheeze", US_national_yearly!$D:$AM, 10, FALSE), 1)</f>
        <v>1.2751742394135826E-4</v>
      </c>
      <c r="F8" s="7">
        <f>$B8 * IFERROR(VLOOKUP("LULUCF|NOx|Asthma symptoms wheeze", US_national_yearly!$D:$AM, 14, FALSE) / VLOOKUP("LULUCF|NOx|Asthma symptoms wheeze", US_national_yearly!$D:$AM, 10, FALSE), 1)</f>
        <v>1.2919210858062215E-4</v>
      </c>
      <c r="G8" s="7">
        <f>$B8 * IFERROR(VLOOKUP("LULUCF|NOx|Asthma symptoms wheeze", US_national_yearly!$D:$AM, 15, FALSE) / VLOOKUP("LULUCF|NOx|Asthma symptoms wheeze", US_national_yearly!$D:$AM, 10, FALSE), 1)</f>
        <v>1.3052911024470247E-4</v>
      </c>
      <c r="H8" s="7">
        <f>$B8 * IFERROR(VLOOKUP("LULUCF|NOx|Asthma symptoms wheeze", US_national_yearly!$D:$AM, 16, FALSE) / VLOOKUP("LULUCF|NOx|Asthma symptoms wheeze", US_national_yearly!$D:$AM, 10, FALSE), 1)</f>
        <v>1.3186611190878277E-4</v>
      </c>
      <c r="I8" s="7">
        <f>$B8 * IFERROR(VLOOKUP("LULUCF|NOx|Asthma symptoms wheeze", US_national_yearly!$D:$AM, 17, FALSE) / VLOOKUP("LULUCF|NOx|Asthma symptoms wheeze", US_national_yearly!$D:$AM, 10, FALSE), 1)</f>
        <v>1.3232628876981548E-4</v>
      </c>
      <c r="J8" s="7">
        <f>$B8 * IFERROR(VLOOKUP("LULUCF|NOx|Asthma symptoms wheeze", US_national_yearly!$D:$AM, 18, FALSE) / VLOOKUP("LULUCF|NOx|Asthma symptoms wheeze", US_national_yearly!$D:$AM, 10, FALSE), 1)</f>
        <v>1.3278646563084822E-4</v>
      </c>
      <c r="K8" s="7">
        <f>$B8 * IFERROR(VLOOKUP("LULUCF|NOx|Asthma symptoms wheeze", US_national_yearly!$D:$AM, 19, FALSE) / VLOOKUP("LULUCF|NOx|Asthma symptoms wheeze", US_national_yearly!$D:$AM, 10, FALSE), 1)</f>
        <v>1.3324664249188091E-4</v>
      </c>
      <c r="L8" s="7">
        <f>$B8 * IFERROR(VLOOKUP("LULUCF|NOx|Asthma symptoms wheeze", US_national_yearly!$D:$AM, 20, FALSE) / VLOOKUP("LULUCF|NOx|Asthma symptoms wheeze", US_national_yearly!$D:$AM, 10, FALSE), 1)</f>
        <v>1.3370681935291365E-4</v>
      </c>
      <c r="M8" s="7">
        <f>$B8 * IFERROR(VLOOKUP("LULUCF|NOx|Asthma symptoms wheeze", US_national_yearly!$D:$AM, 21, FALSE) / VLOOKUP("LULUCF|NOx|Asthma symptoms wheeze", US_national_yearly!$D:$AM, 10, FALSE), 1)</f>
        <v>1.3416699621394637E-4</v>
      </c>
      <c r="N8" s="7">
        <f>$B8 * IFERROR(VLOOKUP("LULUCF|NOx|Asthma symptoms wheeze", US_national_yearly!$D:$AM, 22, FALSE) / VLOOKUP("LULUCF|NOx|Asthma symptoms wheeze", US_national_yearly!$D:$AM, 10, FALSE), 1)</f>
        <v>1.3470060555264109E-4</v>
      </c>
      <c r="O8" s="7">
        <f>$B8 * IFERROR(VLOOKUP("LULUCF|NOx|Asthma symptoms wheeze", US_national_yearly!$D:$AM, 23, FALSE) / VLOOKUP("LULUCF|NOx|Asthma symptoms wheeze", US_national_yearly!$D:$AM, 10, FALSE), 1)</f>
        <v>1.3523421489133585E-4</v>
      </c>
      <c r="P8" s="7">
        <f>$B8 * IFERROR(VLOOKUP("LULUCF|NOx|Asthma symptoms wheeze", US_national_yearly!$D:$AM, 24, FALSE) / VLOOKUP("LULUCF|NOx|Asthma symptoms wheeze", US_national_yearly!$D:$AM, 10, FALSE), 1)</f>
        <v>1.3576782423003057E-4</v>
      </c>
      <c r="Q8" s="7">
        <f>$B8 * IFERROR(VLOOKUP("LULUCF|NOx|Asthma symptoms wheeze", US_national_yearly!$D:$AM, 25, FALSE) / VLOOKUP("LULUCF|NOx|Asthma symptoms wheeze", US_national_yearly!$D:$AM, 10, FALSE), 1)</f>
        <v>1.3630143356872532E-4</v>
      </c>
      <c r="R8" s="7">
        <f>$B8 * IFERROR(VLOOKUP("LULUCF|NOx|Asthma symptoms wheeze", US_national_yearly!$D:$AM, 26, FALSE) / VLOOKUP("LULUCF|NOx|Asthma symptoms wheeze", US_national_yearly!$D:$AM, 10, FALSE), 1)</f>
        <v>1.3683504290742005E-4</v>
      </c>
      <c r="S8" s="7">
        <f>$B8 * IFERROR(VLOOKUP("LULUCF|NOx|Asthma symptoms wheeze", US_national_yearly!$D:$AM, 27, FALSE) / VLOOKUP("LULUCF|NOx|Asthma symptoms wheeze", US_national_yearly!$D:$AM, 10, FALSE), 1)</f>
        <v>1.3753210665665746E-4</v>
      </c>
      <c r="T8" s="7">
        <f>$B8 * IFERROR(VLOOKUP("LULUCF|NOx|Asthma symptoms wheeze", US_national_yearly!$D:$AM, 28, FALSE) / VLOOKUP("LULUCF|NOx|Asthma symptoms wheeze", US_national_yearly!$D:$AM, 10, FALSE), 1)</f>
        <v>1.3822917040589487E-4</v>
      </c>
      <c r="U8" s="7">
        <f>$B8 * IFERROR(VLOOKUP("LULUCF|NOx|Asthma symptoms wheeze", US_national_yearly!$D:$AM, 29, FALSE) / VLOOKUP("LULUCF|NOx|Asthma symptoms wheeze", US_national_yearly!$D:$AM, 10, FALSE), 1)</f>
        <v>1.3892623415513231E-4</v>
      </c>
      <c r="V8" s="7">
        <f>$B8 * IFERROR(VLOOKUP("LULUCF|NOx|Asthma symptoms wheeze", US_national_yearly!$D:$AM, 30, FALSE) / VLOOKUP("LULUCF|NOx|Asthma symptoms wheeze", US_national_yearly!$D:$AM, 10, FALSE), 1)</f>
        <v>1.3962329790436975E-4</v>
      </c>
      <c r="W8" s="7">
        <f>$B8 * IFERROR(VLOOKUP("LULUCF|NOx|Asthma symptoms wheeze", US_national_yearly!$D:$AM, 31, FALSE) / VLOOKUP("LULUCF|NOx|Asthma symptoms wheeze", US_national_yearly!$D:$AM, 10, FALSE), 1)</f>
        <v>1.4032036165360714E-4</v>
      </c>
      <c r="X8" s="7">
        <f>$B8 * IFERROR(VLOOKUP("LULUCF|NOx|Asthma symptoms wheeze", US_national_yearly!$D:$AM, 32, FALSE) / VLOOKUP("LULUCF|NOx|Asthma symptoms wheeze", US_national_yearly!$D:$AM, 10, FALSE), 1)</f>
        <v>1.4096803403441523E-4</v>
      </c>
      <c r="Y8" s="7">
        <f>$B8 * IFERROR(VLOOKUP("LULUCF|NOx|Asthma symptoms wheeze", US_national_yearly!$D:$AM, 33, FALSE) / VLOOKUP("LULUCF|NOx|Asthma symptoms wheeze", US_national_yearly!$D:$AM, 10, FALSE), 1)</f>
        <v>1.4161570641522332E-4</v>
      </c>
      <c r="Z8" s="7">
        <f>$B8 * IFERROR(VLOOKUP("LULUCF|NOx|Asthma symptoms wheeze", US_national_yearly!$D:$AM, 34, FALSE) / VLOOKUP("LULUCF|NOx|Asthma symptoms wheeze", US_national_yearly!$D:$AM, 10, FALSE), 1)</f>
        <v>1.4226337879603141E-4</v>
      </c>
      <c r="AA8" s="7">
        <f>$B8 * IFERROR(VLOOKUP("LULUCF|NOx|Asthma symptoms wheeze", US_national_yearly!$D:$AM, 35, FALSE) / VLOOKUP("LULUCF|NOx|Asthma symptoms wheeze", US_national_yearly!$D:$AM, 10, FALSE), 1)</f>
        <v>1.4291105117683947E-4</v>
      </c>
      <c r="AB8" s="7">
        <f>$B8 * IFERROR(VLOOKUP("LULUCF|NOx|Asthma symptoms wheeze", US_national_yearly!$D:$AM, 36, FALSE) / VLOOKUP("LULUCF|NOx|Asthma symptoms wheeze", US_national_yearly!$D:$AM, 10, FALSE), 1)</f>
        <v>1.4355872355764756E-4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1.365314321005517E-6</v>
      </c>
      <c r="C12" s="7">
        <f>$B12 * IFERROR(VLOOKUP("LULUCF|NOx|Respiratory hospital admissions", US_national_yearly!$D:$AM, 11, FALSE) / VLOOKUP("LULUCF|NOx|Respiratory hospital admissions", US_national_yearly!$D:$AM, 10, FALSE), 1)</f>
        <v>1.3993716289566472E-6</v>
      </c>
      <c r="D12" s="7">
        <f>$B12 * IFERROR(VLOOKUP("LULUCF|NOx|Respiratory hospital admissions", US_national_yearly!$D:$AM, 12, FALSE) / VLOOKUP("LULUCF|NOx|Respiratory hospital admissions", US_national_yearly!$D:$AM, 10, FALSE), 1)</f>
        <v>1.4334289369077778E-6</v>
      </c>
      <c r="E12" s="7">
        <f>$B12 * IFERROR(VLOOKUP("LULUCF|NOx|Respiratory hospital admissions", US_national_yearly!$D:$AM, 13, FALSE) / VLOOKUP("LULUCF|NOx|Respiratory hospital admissions", US_national_yearly!$D:$AM, 10, FALSE), 1)</f>
        <v>1.4674862448589081E-6</v>
      </c>
      <c r="F12" s="7">
        <f>$B12 * IFERROR(VLOOKUP("LULUCF|NOx|Respiratory hospital admissions", US_national_yearly!$D:$AM, 14, FALSE) / VLOOKUP("LULUCF|NOx|Respiratory hospital admissions", US_national_yearly!$D:$AM, 10, FALSE), 1)</f>
        <v>1.5015435528100387E-6</v>
      </c>
      <c r="G12" s="7">
        <f>$B12 * IFERROR(VLOOKUP("LULUCF|NOx|Respiratory hospital admissions", US_national_yearly!$D:$AM, 15, FALSE) / VLOOKUP("LULUCF|NOx|Respiratory hospital admissions", US_national_yearly!$D:$AM, 10, FALSE), 1)</f>
        <v>1.5341034983840996E-6</v>
      </c>
      <c r="H12" s="7">
        <f>$B12 * IFERROR(VLOOKUP("LULUCF|NOx|Respiratory hospital admissions", US_national_yearly!$D:$AM, 16, FALSE) / VLOOKUP("LULUCF|NOx|Respiratory hospital admissions", US_national_yearly!$D:$AM, 10, FALSE), 1)</f>
        <v>1.5666634439581603E-6</v>
      </c>
      <c r="I12" s="7">
        <f>$B12 * IFERROR(VLOOKUP("LULUCF|NOx|Respiratory hospital admissions", US_national_yearly!$D:$AM, 17, FALSE) / VLOOKUP("LULUCF|NOx|Respiratory hospital admissions", US_national_yearly!$D:$AM, 10, FALSE), 1)</f>
        <v>1.5943075071152788E-6</v>
      </c>
      <c r="J12" s="7">
        <f>$B12 * IFERROR(VLOOKUP("LULUCF|NOx|Respiratory hospital admissions", US_national_yearly!$D:$AM, 18, FALSE) / VLOOKUP("LULUCF|NOx|Respiratory hospital admissions", US_national_yearly!$D:$AM, 10, FALSE), 1)</f>
        <v>1.6219515702723969E-6</v>
      </c>
      <c r="K12" s="7">
        <f>$B12 * IFERROR(VLOOKUP("LULUCF|NOx|Respiratory hospital admissions", US_national_yearly!$D:$AM, 19, FALSE) / VLOOKUP("LULUCF|NOx|Respiratory hospital admissions", US_national_yearly!$D:$AM, 10, FALSE), 1)</f>
        <v>1.6495956334295154E-6</v>
      </c>
      <c r="L12" s="7">
        <f>$B12 * IFERROR(VLOOKUP("LULUCF|NOx|Respiratory hospital admissions", US_national_yearly!$D:$AM, 20, FALSE) / VLOOKUP("LULUCF|NOx|Respiratory hospital admissions", US_national_yearly!$D:$AM, 10, FALSE), 1)</f>
        <v>1.6772396965866336E-6</v>
      </c>
      <c r="M12" s="7">
        <f>$B12 * IFERROR(VLOOKUP("LULUCF|NOx|Respiratory hospital admissions", US_national_yearly!$D:$AM, 21, FALSE) / VLOOKUP("LULUCF|NOx|Respiratory hospital admissions", US_national_yearly!$D:$AM, 10, FALSE), 1)</f>
        <v>1.7048837597437521E-6</v>
      </c>
      <c r="N12" s="7">
        <f>$B12 * IFERROR(VLOOKUP("LULUCF|NOx|Respiratory hospital admissions", US_national_yearly!$D:$AM, 22, FALSE) / VLOOKUP("LULUCF|NOx|Respiratory hospital admissions", US_national_yearly!$D:$AM, 10, FALSE), 1)</f>
        <v>1.7233643136834615E-6</v>
      </c>
      <c r="O12" s="7">
        <f>$B12 * IFERROR(VLOOKUP("LULUCF|NOx|Respiratory hospital admissions", US_national_yearly!$D:$AM, 23, FALSE) / VLOOKUP("LULUCF|NOx|Respiratory hospital admissions", US_national_yearly!$D:$AM, 10, FALSE), 1)</f>
        <v>1.7418448676231715E-6</v>
      </c>
      <c r="P12" s="7">
        <f>$B12 * IFERROR(VLOOKUP("LULUCF|NOx|Respiratory hospital admissions", US_national_yearly!$D:$AM, 24, FALSE) / VLOOKUP("LULUCF|NOx|Respiratory hospital admissions", US_national_yearly!$D:$AM, 10, FALSE), 1)</f>
        <v>1.7603254215628812E-6</v>
      </c>
      <c r="Q12" s="7">
        <f>$B12 * IFERROR(VLOOKUP("LULUCF|NOx|Respiratory hospital admissions", US_national_yearly!$D:$AM, 25, FALSE) / VLOOKUP("LULUCF|NOx|Respiratory hospital admissions", US_national_yearly!$D:$AM, 10, FALSE), 1)</f>
        <v>1.7788059755025912E-6</v>
      </c>
      <c r="R12" s="7">
        <f>$B12 * IFERROR(VLOOKUP("LULUCF|NOx|Respiratory hospital admissions", US_national_yearly!$D:$AM, 26, FALSE) / VLOOKUP("LULUCF|NOx|Respiratory hospital admissions", US_national_yearly!$D:$AM, 10, FALSE), 1)</f>
        <v>1.7972865294423008E-6</v>
      </c>
      <c r="S12" s="7">
        <f>$B12 * IFERROR(VLOOKUP("LULUCF|NOx|Respiratory hospital admissions", US_national_yearly!$D:$AM, 27, FALSE) / VLOOKUP("LULUCF|NOx|Respiratory hospital admissions", US_national_yearly!$D:$AM, 10, FALSE), 1)</f>
        <v>1.8071879094781909E-6</v>
      </c>
      <c r="T12" s="7">
        <f>$B12 * IFERROR(VLOOKUP("LULUCF|NOx|Respiratory hospital admissions", US_national_yearly!$D:$AM, 28, FALSE) / VLOOKUP("LULUCF|NOx|Respiratory hospital admissions", US_national_yearly!$D:$AM, 10, FALSE), 1)</f>
        <v>1.8170892895140807E-6</v>
      </c>
      <c r="U12" s="7">
        <f>$B12 * IFERROR(VLOOKUP("LULUCF|NOx|Respiratory hospital admissions", US_national_yearly!$D:$AM, 29, FALSE) / VLOOKUP("LULUCF|NOx|Respiratory hospital admissions", US_national_yearly!$D:$AM, 10, FALSE), 1)</f>
        <v>1.8269906695499708E-6</v>
      </c>
      <c r="V12" s="7">
        <f>$B12 * IFERROR(VLOOKUP("LULUCF|NOx|Respiratory hospital admissions", US_national_yearly!$D:$AM, 30, FALSE) / VLOOKUP("LULUCF|NOx|Respiratory hospital admissions", US_national_yearly!$D:$AM, 10, FALSE), 1)</f>
        <v>1.8368920495858605E-6</v>
      </c>
      <c r="W12" s="7">
        <f>$B12 * IFERROR(VLOOKUP("LULUCF|NOx|Respiratory hospital admissions", US_national_yearly!$D:$AM, 31, FALSE) / VLOOKUP("LULUCF|NOx|Respiratory hospital admissions", US_national_yearly!$D:$AM, 10, FALSE), 1)</f>
        <v>1.8467934296217506E-6</v>
      </c>
      <c r="X12" s="7">
        <f>$B12 * IFERROR(VLOOKUP("LULUCF|NOx|Respiratory hospital admissions", US_national_yearly!$D:$AM, 32, FALSE) / VLOOKUP("LULUCF|NOx|Respiratory hospital admissions", US_national_yearly!$D:$AM, 10, FALSE), 1)</f>
        <v>1.8535597365237908E-6</v>
      </c>
      <c r="Y12" s="7">
        <f>$B12 * IFERROR(VLOOKUP("LULUCF|NOx|Respiratory hospital admissions", US_national_yearly!$D:$AM, 33, FALSE) / VLOOKUP("LULUCF|NOx|Respiratory hospital admissions", US_national_yearly!$D:$AM, 10, FALSE), 1)</f>
        <v>1.8603260434258311E-6</v>
      </c>
      <c r="Z12" s="7">
        <f>$B12 * IFERROR(VLOOKUP("LULUCF|NOx|Respiratory hospital admissions", US_national_yearly!$D:$AM, 34, FALSE) / VLOOKUP("LULUCF|NOx|Respiratory hospital admissions", US_national_yearly!$D:$AM, 10, FALSE), 1)</f>
        <v>1.8670923503278715E-6</v>
      </c>
      <c r="AA12" s="7">
        <f>$B12 * IFERROR(VLOOKUP("LULUCF|NOx|Respiratory hospital admissions", US_national_yearly!$D:$AM, 35, FALSE) / VLOOKUP("LULUCF|NOx|Respiratory hospital admissions", US_national_yearly!$D:$AM, 10, FALSE), 1)</f>
        <v>1.8738586572299119E-6</v>
      </c>
      <c r="AB12" s="7">
        <f>$B12 * IFERROR(VLOOKUP("LULUCF|NOx|Respiratory hospital admissions", US_national_yearly!$D:$AM, 36, FALSE) / VLOOKUP("LULUCF|NOx|Respiratory hospital admissions", US_national_yearly!$D:$AM, 10, FALSE), 1)</f>
        <v>1.8806249641319518E-6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1.4412083892358025E-5</v>
      </c>
      <c r="C13" s="7">
        <f>$B13 * IFERROR(VLOOKUP("LULUCF|NOx|Non-fatal heart attacks", US_national_yearly!$D:$AM, 11, FALSE) / VLOOKUP("LULUCF|NOx|Non-fatal heart attacks", US_national_yearly!$D:$AM, 10, FALSE), 1)</f>
        <v>1.4824112672984479E-5</v>
      </c>
      <c r="D13" s="7">
        <f>$B13 * IFERROR(VLOOKUP("LULUCF|NOx|Non-fatal heart attacks", US_national_yearly!$D:$AM, 12, FALSE) / VLOOKUP("LULUCF|NOx|Non-fatal heart attacks", US_national_yearly!$D:$AM, 10, FALSE), 1)</f>
        <v>1.5236141453610933E-5</v>
      </c>
      <c r="E13" s="7">
        <f>$B13 * IFERROR(VLOOKUP("LULUCF|NOx|Non-fatal heart attacks", US_national_yearly!$D:$AM, 13, FALSE) / VLOOKUP("LULUCF|NOx|Non-fatal heart attacks", US_national_yearly!$D:$AM, 10, FALSE), 1)</f>
        <v>1.5648170234237385E-5</v>
      </c>
      <c r="F13" s="7">
        <f>$B13 * IFERROR(VLOOKUP("LULUCF|NOx|Non-fatal heart attacks", US_national_yearly!$D:$AM, 14, FALSE) / VLOOKUP("LULUCF|NOx|Non-fatal heart attacks", US_national_yearly!$D:$AM, 10, FALSE), 1)</f>
        <v>1.6060199014863839E-5</v>
      </c>
      <c r="G13" s="7">
        <f>$B13 * IFERROR(VLOOKUP("LULUCF|NOx|Non-fatal heart attacks", US_national_yearly!$D:$AM, 15, FALSE) / VLOOKUP("LULUCF|NOx|Non-fatal heart attacks", US_national_yearly!$D:$AM, 10, FALSE), 1)</f>
        <v>1.6445239054020431E-5</v>
      </c>
      <c r="H13" s="7">
        <f>$B13 * IFERROR(VLOOKUP("LULUCF|NOx|Non-fatal heart attacks", US_national_yearly!$D:$AM, 16, FALSE) / VLOOKUP("LULUCF|NOx|Non-fatal heart attacks", US_national_yearly!$D:$AM, 10, FALSE), 1)</f>
        <v>1.6830279093177026E-5</v>
      </c>
      <c r="I13" s="7">
        <f>$B13 * IFERROR(VLOOKUP("LULUCF|NOx|Non-fatal heart attacks", US_national_yearly!$D:$AM, 17, FALSE) / VLOOKUP("LULUCF|NOx|Non-fatal heart attacks", US_national_yearly!$D:$AM, 10, FALSE), 1)</f>
        <v>1.7133839149772981E-5</v>
      </c>
      <c r="J13" s="7">
        <f>$B13 * IFERROR(VLOOKUP("LULUCF|NOx|Non-fatal heart attacks", US_national_yearly!$D:$AM, 18, FALSE) / VLOOKUP("LULUCF|NOx|Non-fatal heart attacks", US_national_yearly!$D:$AM, 10, FALSE), 1)</f>
        <v>1.743739920636894E-5</v>
      </c>
      <c r="K13" s="7">
        <f>$B13 * IFERROR(VLOOKUP("LULUCF|NOx|Non-fatal heart attacks", US_national_yearly!$D:$AM, 19, FALSE) / VLOOKUP("LULUCF|NOx|Non-fatal heart attacks", US_national_yearly!$D:$AM, 10, FALSE), 1)</f>
        <v>1.7740959262964885E-5</v>
      </c>
      <c r="L13" s="7">
        <f>$B13 * IFERROR(VLOOKUP("LULUCF|NOx|Non-fatal heart attacks", US_national_yearly!$D:$AM, 20, FALSE) / VLOOKUP("LULUCF|NOx|Non-fatal heart attacks", US_national_yearly!$D:$AM, 10, FALSE), 1)</f>
        <v>1.8044519319560854E-5</v>
      </c>
      <c r="M13" s="7">
        <f>$B13 * IFERROR(VLOOKUP("LULUCF|NOx|Non-fatal heart attacks", US_national_yearly!$D:$AM, 21, FALSE) / VLOOKUP("LULUCF|NOx|Non-fatal heart attacks", US_national_yearly!$D:$AM, 10, FALSE), 1)</f>
        <v>1.8348079376156806E-5</v>
      </c>
      <c r="N13" s="7">
        <f>$B13 * IFERROR(VLOOKUP("LULUCF|NOx|Non-fatal heart attacks", US_national_yearly!$D:$AM, 22, FALSE) / VLOOKUP("LULUCF|NOx|Non-fatal heart attacks", US_national_yearly!$D:$AM, 10, FALSE), 1)</f>
        <v>1.8530710312142587E-5</v>
      </c>
      <c r="O13" s="7">
        <f>$B13 * IFERROR(VLOOKUP("LULUCF|NOx|Non-fatal heart attacks", US_national_yearly!$D:$AM, 23, FALSE) / VLOOKUP("LULUCF|NOx|Non-fatal heart attacks", US_national_yearly!$D:$AM, 10, FALSE), 1)</f>
        <v>1.8713341248128369E-5</v>
      </c>
      <c r="P13" s="7">
        <f>$B13 * IFERROR(VLOOKUP("LULUCF|NOx|Non-fatal heart attacks", US_national_yearly!$D:$AM, 24, FALSE) / VLOOKUP("LULUCF|NOx|Non-fatal heart attacks", US_national_yearly!$D:$AM, 10, FALSE), 1)</f>
        <v>1.8895972184114148E-5</v>
      </c>
      <c r="Q13" s="7">
        <f>$B13 * IFERROR(VLOOKUP("LULUCF|NOx|Non-fatal heart attacks", US_national_yearly!$D:$AM, 25, FALSE) / VLOOKUP("LULUCF|NOx|Non-fatal heart attacks", US_national_yearly!$D:$AM, 10, FALSE), 1)</f>
        <v>1.9078603120099933E-5</v>
      </c>
      <c r="R13" s="7">
        <f>$B13 * IFERROR(VLOOKUP("LULUCF|NOx|Non-fatal heart attacks", US_national_yearly!$D:$AM, 26, FALSE) / VLOOKUP("LULUCF|NOx|Non-fatal heart attacks", US_national_yearly!$D:$AM, 10, FALSE), 1)</f>
        <v>1.9261234056085715E-5</v>
      </c>
      <c r="S13" s="7">
        <f>$B13 * IFERROR(VLOOKUP("LULUCF|NOx|Non-fatal heart attacks", US_national_yearly!$D:$AM, 27, FALSE) / VLOOKUP("LULUCF|NOx|Non-fatal heart attacks", US_national_yearly!$D:$AM, 10, FALSE), 1)</f>
        <v>1.9344076711792358E-5</v>
      </c>
      <c r="T13" s="7">
        <f>$B13 * IFERROR(VLOOKUP("LULUCF|NOx|Non-fatal heart attacks", US_national_yearly!$D:$AM, 28, FALSE) / VLOOKUP("LULUCF|NOx|Non-fatal heart attacks", US_national_yearly!$D:$AM, 10, FALSE), 1)</f>
        <v>1.9426919367499004E-5</v>
      </c>
      <c r="U13" s="7">
        <f>$B13 * IFERROR(VLOOKUP("LULUCF|NOx|Non-fatal heart attacks", US_national_yearly!$D:$AM, 29, FALSE) / VLOOKUP("LULUCF|NOx|Non-fatal heart attacks", US_national_yearly!$D:$AM, 10, FALSE), 1)</f>
        <v>1.9509762023205647E-5</v>
      </c>
      <c r="V13" s="7">
        <f>$B13 * IFERROR(VLOOKUP("LULUCF|NOx|Non-fatal heart attacks", US_national_yearly!$D:$AM, 30, FALSE) / VLOOKUP("LULUCF|NOx|Non-fatal heart attacks", US_national_yearly!$D:$AM, 10, FALSE), 1)</f>
        <v>1.9592604678912293E-5</v>
      </c>
      <c r="W13" s="7">
        <f>$B13 * IFERROR(VLOOKUP("LULUCF|NOx|Non-fatal heart attacks", US_national_yearly!$D:$AM, 31, FALSE) / VLOOKUP("LULUCF|NOx|Non-fatal heart attacks", US_national_yearly!$D:$AM, 10, FALSE), 1)</f>
        <v>1.9675447334618936E-5</v>
      </c>
      <c r="X13" s="7">
        <f>$B13 * IFERROR(VLOOKUP("LULUCF|NOx|Non-fatal heart attacks", US_national_yearly!$D:$AM, 32, FALSE) / VLOOKUP("LULUCF|NOx|Non-fatal heart attacks", US_national_yearly!$D:$AM, 10, FALSE), 1)</f>
        <v>1.9730807156194414E-5</v>
      </c>
      <c r="Y13" s="7">
        <f>$B13 * IFERROR(VLOOKUP("LULUCF|NOx|Non-fatal heart attacks", US_national_yearly!$D:$AM, 33, FALSE) / VLOOKUP("LULUCF|NOx|Non-fatal heart attacks", US_national_yearly!$D:$AM, 10, FALSE), 1)</f>
        <v>1.9786166977769895E-5</v>
      </c>
      <c r="Z13" s="7">
        <f>$B13 * IFERROR(VLOOKUP("LULUCF|NOx|Non-fatal heart attacks", US_national_yearly!$D:$AM, 34, FALSE) / VLOOKUP("LULUCF|NOx|Non-fatal heart attacks", US_national_yearly!$D:$AM, 10, FALSE), 1)</f>
        <v>1.9841526799345366E-5</v>
      </c>
      <c r="AA13" s="7">
        <f>$B13 * IFERROR(VLOOKUP("LULUCF|NOx|Non-fatal heart attacks", US_national_yearly!$D:$AM, 35, FALSE) / VLOOKUP("LULUCF|NOx|Non-fatal heart attacks", US_national_yearly!$D:$AM, 10, FALSE), 1)</f>
        <v>1.9896886620920844E-5</v>
      </c>
      <c r="AB13" s="7">
        <f>$B13 * IFERROR(VLOOKUP("LULUCF|NOx|Non-fatal heart attacks", US_national_yearly!$D:$AM, 36, FALSE) / VLOOKUP("LULUCF|NOx|Non-fatal heart attacks", US_national_yearly!$D:$AM, 10, FALSE), 1)</f>
        <v>1.9952246442496321E-5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6.8689927836716163E-3</v>
      </c>
      <c r="C14" s="7">
        <f>$B14 * IFERROR(VLOOKUP("LULUCF|NOx|Minor restricted activity days", US_national_yearly!$D:$AM, 11, FALSE) / VLOOKUP("LULUCF|NOx|Minor restricted activity days", US_national_yearly!$D:$AM, 10, FALSE), 1)</f>
        <v>6.8795241023538907E-3</v>
      </c>
      <c r="D14" s="7">
        <f>$B14 * IFERROR(VLOOKUP("LULUCF|NOx|Minor restricted activity days", US_national_yearly!$D:$AM, 12, FALSE) / VLOOKUP("LULUCF|NOx|Minor restricted activity days", US_national_yearly!$D:$AM, 10, FALSE), 1)</f>
        <v>6.8900554210361668E-3</v>
      </c>
      <c r="E14" s="7">
        <f>$B14 * IFERROR(VLOOKUP("LULUCF|NOx|Minor restricted activity days", US_national_yearly!$D:$AM, 13, FALSE) / VLOOKUP("LULUCF|NOx|Minor restricted activity days", US_national_yearly!$D:$AM, 10, FALSE), 1)</f>
        <v>6.900586739718443E-3</v>
      </c>
      <c r="F14" s="7">
        <f>$B14 * IFERROR(VLOOKUP("LULUCF|NOx|Minor restricted activity days", US_national_yearly!$D:$AM, 14, FALSE) / VLOOKUP("LULUCF|NOx|Minor restricted activity days", US_national_yearly!$D:$AM, 10, FALSE), 1)</f>
        <v>6.9111180584007165E-3</v>
      </c>
      <c r="G14" s="7">
        <f>$B14 * IFERROR(VLOOKUP("LULUCF|NOx|Minor restricted activity days", US_national_yearly!$D:$AM, 15, FALSE) / VLOOKUP("LULUCF|NOx|Minor restricted activity days", US_national_yearly!$D:$AM, 10, FALSE), 1)</f>
        <v>6.9301351132716642E-3</v>
      </c>
      <c r="H14" s="7">
        <f>$B14 * IFERROR(VLOOKUP("LULUCF|NOx|Minor restricted activity days", US_national_yearly!$D:$AM, 16, FALSE) / VLOOKUP("LULUCF|NOx|Minor restricted activity days", US_national_yearly!$D:$AM, 10, FALSE), 1)</f>
        <v>6.9491521681426102E-3</v>
      </c>
      <c r="I14" s="7">
        <f>$B14 * IFERROR(VLOOKUP("LULUCF|NOx|Minor restricted activity days", US_national_yearly!$D:$AM, 17, FALSE) / VLOOKUP("LULUCF|NOx|Minor restricted activity days", US_national_yearly!$D:$AM, 10, FALSE), 1)</f>
        <v>6.9863487754580188E-3</v>
      </c>
      <c r="J14" s="7">
        <f>$B14 * IFERROR(VLOOKUP("LULUCF|NOx|Minor restricted activity days", US_national_yearly!$D:$AM, 18, FALSE) / VLOOKUP("LULUCF|NOx|Minor restricted activity days", US_national_yearly!$D:$AM, 10, FALSE), 1)</f>
        <v>7.0235453827734266E-3</v>
      </c>
      <c r="K14" s="7">
        <f>$B14 * IFERROR(VLOOKUP("LULUCF|NOx|Minor restricted activity days", US_national_yearly!$D:$AM, 19, FALSE) / VLOOKUP("LULUCF|NOx|Minor restricted activity days", US_national_yearly!$D:$AM, 10, FALSE), 1)</f>
        <v>7.0607419900888353E-3</v>
      </c>
      <c r="L14" s="7">
        <f>$B14 * IFERROR(VLOOKUP("LULUCF|NOx|Minor restricted activity days", US_national_yearly!$D:$AM, 20, FALSE) / VLOOKUP("LULUCF|NOx|Minor restricted activity days", US_national_yearly!$D:$AM, 10, FALSE), 1)</f>
        <v>7.0979385974042422E-3</v>
      </c>
      <c r="M14" s="7">
        <f>$B14 * IFERROR(VLOOKUP("LULUCF|NOx|Minor restricted activity days", US_national_yearly!$D:$AM, 21, FALSE) / VLOOKUP("LULUCF|NOx|Minor restricted activity days", US_national_yearly!$D:$AM, 10, FALSE), 1)</f>
        <v>7.1351352047196509E-3</v>
      </c>
      <c r="N14" s="7">
        <f>$B14 * IFERROR(VLOOKUP("LULUCF|NOx|Minor restricted activity days", US_national_yearly!$D:$AM, 22, FALSE) / VLOOKUP("LULUCF|NOx|Minor restricted activity days", US_national_yearly!$D:$AM, 10, FALSE), 1)</f>
        <v>7.1883923122472862E-3</v>
      </c>
      <c r="O14" s="7">
        <f>$B14 * IFERROR(VLOOKUP("LULUCF|NOx|Minor restricted activity days", US_national_yearly!$D:$AM, 23, FALSE) / VLOOKUP("LULUCF|NOx|Minor restricted activity days", US_national_yearly!$D:$AM, 10, FALSE), 1)</f>
        <v>7.2416494197749207E-3</v>
      </c>
      <c r="P14" s="7">
        <f>$B14 * IFERROR(VLOOKUP("LULUCF|NOx|Minor restricted activity days", US_national_yearly!$D:$AM, 24, FALSE) / VLOOKUP("LULUCF|NOx|Minor restricted activity days", US_national_yearly!$D:$AM, 10, FALSE), 1)</f>
        <v>7.2949065273025552E-3</v>
      </c>
      <c r="Q14" s="7">
        <f>$B14 * IFERROR(VLOOKUP("LULUCF|NOx|Minor restricted activity days", US_national_yearly!$D:$AM, 25, FALSE) / VLOOKUP("LULUCF|NOx|Minor restricted activity days", US_national_yearly!$D:$AM, 10, FALSE), 1)</f>
        <v>7.3481636348301906E-3</v>
      </c>
      <c r="R14" s="7">
        <f>$B14 * IFERROR(VLOOKUP("LULUCF|NOx|Minor restricted activity days", US_national_yearly!$D:$AM, 26, FALSE) / VLOOKUP("LULUCF|NOx|Minor restricted activity days", US_national_yearly!$D:$AM, 10, FALSE), 1)</f>
        <v>7.4014207423578251E-3</v>
      </c>
      <c r="S14" s="7">
        <f>$B14 * IFERROR(VLOOKUP("LULUCF|NOx|Minor restricted activity days", US_national_yearly!$D:$AM, 27, FALSE) / VLOOKUP("LULUCF|NOx|Minor restricted activity days", US_national_yearly!$D:$AM, 10, FALSE), 1)</f>
        <v>7.4546666526925914E-3</v>
      </c>
      <c r="T14" s="7">
        <f>$B14 * IFERROR(VLOOKUP("LULUCF|NOx|Minor restricted activity days", US_national_yearly!$D:$AM, 28, FALSE) / VLOOKUP("LULUCF|NOx|Minor restricted activity days", US_national_yearly!$D:$AM, 10, FALSE), 1)</f>
        <v>7.507912563027355E-3</v>
      </c>
      <c r="U14" s="7">
        <f>$B14 * IFERROR(VLOOKUP("LULUCF|NOx|Minor restricted activity days", US_national_yearly!$D:$AM, 29, FALSE) / VLOOKUP("LULUCF|NOx|Minor restricted activity days", US_national_yearly!$D:$AM, 10, FALSE), 1)</f>
        <v>7.5611584733621213E-3</v>
      </c>
      <c r="V14" s="7">
        <f>$B14 * IFERROR(VLOOKUP("LULUCF|NOx|Minor restricted activity days", US_national_yearly!$D:$AM, 30, FALSE) / VLOOKUP("LULUCF|NOx|Minor restricted activity days", US_national_yearly!$D:$AM, 10, FALSE), 1)</f>
        <v>7.6144043836968867E-3</v>
      </c>
      <c r="W14" s="7">
        <f>$B14 * IFERROR(VLOOKUP("LULUCF|NOx|Minor restricted activity days", US_national_yearly!$D:$AM, 31, FALSE) / VLOOKUP("LULUCF|NOx|Minor restricted activity days", US_national_yearly!$D:$AM, 10, FALSE), 1)</f>
        <v>7.6676502940316513E-3</v>
      </c>
      <c r="X14" s="7">
        <f>$B14 * IFERROR(VLOOKUP("LULUCF|NOx|Minor restricted activity days", US_national_yearly!$D:$AM, 32, FALSE) / VLOOKUP("LULUCF|NOx|Minor restricted activity days", US_national_yearly!$D:$AM, 10, FALSE), 1)</f>
        <v>7.7126676827725541E-3</v>
      </c>
      <c r="Y14" s="7">
        <f>$B14 * IFERROR(VLOOKUP("LULUCF|NOx|Minor restricted activity days", US_national_yearly!$D:$AM, 33, FALSE) / VLOOKUP("LULUCF|NOx|Minor restricted activity days", US_national_yearly!$D:$AM, 10, FALSE), 1)</f>
        <v>7.7576850715134569E-3</v>
      </c>
      <c r="Z14" s="7">
        <f>$B14 * IFERROR(VLOOKUP("LULUCF|NOx|Minor restricted activity days", US_national_yearly!$D:$AM, 34, FALSE) / VLOOKUP("LULUCF|NOx|Minor restricted activity days", US_national_yearly!$D:$AM, 10, FALSE), 1)</f>
        <v>7.8027024602543597E-3</v>
      </c>
      <c r="AA14" s="7">
        <f>$B14 * IFERROR(VLOOKUP("LULUCF|NOx|Minor restricted activity days", US_national_yearly!$D:$AM, 35, FALSE) / VLOOKUP("LULUCF|NOx|Minor restricted activity days", US_national_yearly!$D:$AM, 10, FALSE), 1)</f>
        <v>7.8477198489952625E-3</v>
      </c>
      <c r="AB14" s="7">
        <f>$B14 * IFERROR(VLOOKUP("LULUCF|NOx|Minor restricted activity days", US_national_yearly!$D:$AM, 36, FALSE) / VLOOKUP("LULUCF|NOx|Minor restricted activity days", US_national_yearly!$D:$AM, 10, FALSE), 1)</f>
        <v>7.8927372377361645E-3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1.1700589266991882E-3</v>
      </c>
      <c r="C15" s="7">
        <f>$B15 * IFERROR(VLOOKUP("LULUCF|NOx|Work loss days", US_national_yearly!$D:$AM, 11, FALSE) / VLOOKUP("LULUCF|NOx|Work loss days", US_national_yearly!$D:$AM, 10, FALSE), 1)</f>
        <v>1.1726616598364363E-3</v>
      </c>
      <c r="D15" s="7">
        <f>$B15 * IFERROR(VLOOKUP("LULUCF|NOx|Work loss days", US_national_yearly!$D:$AM, 12, FALSE) / VLOOKUP("LULUCF|NOx|Work loss days", US_national_yearly!$D:$AM, 10, FALSE), 1)</f>
        <v>1.1752643929736849E-3</v>
      </c>
      <c r="E15" s="7">
        <f>$B15 * IFERROR(VLOOKUP("LULUCF|NOx|Work loss days", US_national_yearly!$D:$AM, 13, FALSE) / VLOOKUP("LULUCF|NOx|Work loss days", US_national_yearly!$D:$AM, 10, FALSE), 1)</f>
        <v>1.1778671261109331E-3</v>
      </c>
      <c r="F15" s="7">
        <f>$B15 * IFERROR(VLOOKUP("LULUCF|NOx|Work loss days", US_national_yearly!$D:$AM, 14, FALSE) / VLOOKUP("LULUCF|NOx|Work loss days", US_national_yearly!$D:$AM, 10, FALSE), 1)</f>
        <v>1.1804698592481815E-3</v>
      </c>
      <c r="G15" s="7">
        <f>$B15 * IFERROR(VLOOKUP("LULUCF|NOx|Work loss days", US_national_yearly!$D:$AM, 15, FALSE) / VLOOKUP("LULUCF|NOx|Work loss days", US_national_yearly!$D:$AM, 10, FALSE), 1)</f>
        <v>1.1842698718310333E-3</v>
      </c>
      <c r="H15" s="7">
        <f>$B15 * IFERROR(VLOOKUP("LULUCF|NOx|Work loss days", US_national_yearly!$D:$AM, 16, FALSE) / VLOOKUP("LULUCF|NOx|Work loss days", US_national_yearly!$D:$AM, 10, FALSE), 1)</f>
        <v>1.1880698844138854E-3</v>
      </c>
      <c r="I15" s="7">
        <f>$B15 * IFERROR(VLOOKUP("LULUCF|NOx|Work loss days", US_national_yearly!$D:$AM, 17, FALSE) / VLOOKUP("LULUCF|NOx|Work loss days", US_national_yearly!$D:$AM, 10, FALSE), 1)</f>
        <v>1.1942256988517999E-3</v>
      </c>
      <c r="J15" s="7">
        <f>$B15 * IFERROR(VLOOKUP("LULUCF|NOx|Work loss days", US_national_yearly!$D:$AM, 18, FALSE) / VLOOKUP("LULUCF|NOx|Work loss days", US_national_yearly!$D:$AM, 10, FALSE), 1)</f>
        <v>1.2003815132897149E-3</v>
      </c>
      <c r="K15" s="7">
        <f>$B15 * IFERROR(VLOOKUP("LULUCF|NOx|Work loss days", US_national_yearly!$D:$AM, 19, FALSE) / VLOOKUP("LULUCF|NOx|Work loss days", US_national_yearly!$D:$AM, 10, FALSE), 1)</f>
        <v>1.2065373277276295E-3</v>
      </c>
      <c r="L15" s="7">
        <f>$B15 * IFERROR(VLOOKUP("LULUCF|NOx|Work loss days", US_national_yearly!$D:$AM, 20, FALSE) / VLOOKUP("LULUCF|NOx|Work loss days", US_national_yearly!$D:$AM, 10, FALSE), 1)</f>
        <v>1.212693142165544E-3</v>
      </c>
      <c r="M15" s="7">
        <f>$B15 * IFERROR(VLOOKUP("LULUCF|NOx|Work loss days", US_national_yearly!$D:$AM, 21, FALSE) / VLOOKUP("LULUCF|NOx|Work loss days", US_national_yearly!$D:$AM, 10, FALSE), 1)</f>
        <v>1.2188489566034588E-3</v>
      </c>
      <c r="N15" s="7">
        <f>$B15 * IFERROR(VLOOKUP("LULUCF|NOx|Work loss days", US_national_yearly!$D:$AM, 22, FALSE) / VLOOKUP("LULUCF|NOx|Work loss days", US_national_yearly!$D:$AM, 10, FALSE), 1)</f>
        <v>1.2268603713568053E-3</v>
      </c>
      <c r="O15" s="7">
        <f>$B15 * IFERROR(VLOOKUP("LULUCF|NOx|Work loss days", US_national_yearly!$D:$AM, 23, FALSE) / VLOOKUP("LULUCF|NOx|Work loss days", US_national_yearly!$D:$AM, 10, FALSE), 1)</f>
        <v>1.2348717861101516E-3</v>
      </c>
      <c r="P15" s="7">
        <f>$B15 * IFERROR(VLOOKUP("LULUCF|NOx|Work loss days", US_national_yearly!$D:$AM, 24, FALSE) / VLOOKUP("LULUCF|NOx|Work loss days", US_national_yearly!$D:$AM, 10, FALSE), 1)</f>
        <v>1.2428832008634981E-3</v>
      </c>
      <c r="Q15" s="7">
        <f>$B15 * IFERROR(VLOOKUP("LULUCF|NOx|Work loss days", US_national_yearly!$D:$AM, 25, FALSE) / VLOOKUP("LULUCF|NOx|Work loss days", US_national_yearly!$D:$AM, 10, FALSE), 1)</f>
        <v>1.2508946156168442E-3</v>
      </c>
      <c r="R15" s="7">
        <f>$B15 * IFERROR(VLOOKUP("LULUCF|NOx|Work loss days", US_national_yearly!$D:$AM, 26, FALSE) / VLOOKUP("LULUCF|NOx|Work loss days", US_national_yearly!$D:$AM, 10, FALSE), 1)</f>
        <v>1.2589060303701907E-3</v>
      </c>
      <c r="S15" s="7">
        <f>$B15 * IFERROR(VLOOKUP("LULUCF|NOx|Work loss days", US_national_yearly!$D:$AM, 27, FALSE) / VLOOKUP("LULUCF|NOx|Work loss days", US_national_yearly!$D:$AM, 10, FALSE), 1)</f>
        <v>1.2678377334646212E-3</v>
      </c>
      <c r="T15" s="7">
        <f>$B15 * IFERROR(VLOOKUP("LULUCF|NOx|Work loss days", US_national_yearly!$D:$AM, 28, FALSE) / VLOOKUP("LULUCF|NOx|Work loss days", US_national_yearly!$D:$AM, 10, FALSE), 1)</f>
        <v>1.2767694365590518E-3</v>
      </c>
      <c r="U15" s="7">
        <f>$B15 * IFERROR(VLOOKUP("LULUCF|NOx|Work loss days", US_national_yearly!$D:$AM, 29, FALSE) / VLOOKUP("LULUCF|NOx|Work loss days", US_national_yearly!$D:$AM, 10, FALSE), 1)</f>
        <v>1.2857011396534819E-3</v>
      </c>
      <c r="V15" s="7">
        <f>$B15 * IFERROR(VLOOKUP("LULUCF|NOx|Work loss days", US_national_yearly!$D:$AM, 30, FALSE) / VLOOKUP("LULUCF|NOx|Work loss days", US_national_yearly!$D:$AM, 10, FALSE), 1)</f>
        <v>1.2946328427479125E-3</v>
      </c>
      <c r="W15" s="7">
        <f>$B15 * IFERROR(VLOOKUP("LULUCF|NOx|Work loss days", US_national_yearly!$D:$AM, 31, FALSE) / VLOOKUP("LULUCF|NOx|Work loss days", US_national_yearly!$D:$AM, 10, FALSE), 1)</f>
        <v>1.303564545842343E-3</v>
      </c>
      <c r="X15" s="7">
        <f>$B15 * IFERROR(VLOOKUP("LULUCF|NOx|Work loss days", US_national_yearly!$D:$AM, 32, FALSE) / VLOOKUP("LULUCF|NOx|Work loss days", US_national_yearly!$D:$AM, 10, FALSE), 1)</f>
        <v>1.3113167879190118E-3</v>
      </c>
      <c r="Y15" s="7">
        <f>$B15 * IFERROR(VLOOKUP("LULUCF|NOx|Work loss days", US_national_yearly!$D:$AM, 33, FALSE) / VLOOKUP("LULUCF|NOx|Work loss days", US_national_yearly!$D:$AM, 10, FALSE), 1)</f>
        <v>1.3190690299956806E-3</v>
      </c>
      <c r="Z15" s="7">
        <f>$B15 * IFERROR(VLOOKUP("LULUCF|NOx|Work loss days", US_national_yearly!$D:$AM, 34, FALSE) / VLOOKUP("LULUCF|NOx|Work loss days", US_national_yearly!$D:$AM, 10, FALSE), 1)</f>
        <v>1.3268212720723496E-3</v>
      </c>
      <c r="AA15" s="7">
        <f>$B15 * IFERROR(VLOOKUP("LULUCF|NOx|Work loss days", US_national_yearly!$D:$AM, 35, FALSE) / VLOOKUP("LULUCF|NOx|Work loss days", US_national_yearly!$D:$AM, 10, FALSE), 1)</f>
        <v>1.3345735141490184E-3</v>
      </c>
      <c r="AB15" s="7">
        <f>$B15 * IFERROR(VLOOKUP("LULUCF|NOx|Work loss days", US_national_yearly!$D:$AM, 36, FALSE) / VLOOKUP("LULUCF|NOx|Work loss days", US_national_yearly!$D:$AM, 10, FALSE), 1)</f>
        <v>1.3423257562256872E-3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2.128683339093597E-6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2.191233915053932E-6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2.2537844910142662E-6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2.3163350669746004E-6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2.3788856429349355E-6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2.4382983458208675E-6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2.4977110487068E-6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2.5476725484025449E-6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2.5976340480982895E-6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2.647595547794034E-6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2.697557047489779E-6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2.7475185471855239E-6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2.7787611284088649E-6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2.8100037096322063E-6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2.8412462908555469E-6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2.8724888720788883E-6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2.9037314533022293E-6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2.917986585178141E-6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2.9322417170540531E-6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2.9464968489299643E-6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2.9607519808058764E-6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2.9750071126817881E-6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2.9829405877906648E-6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2.9908740628995415E-6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2.9988075380084183E-6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3.006741013117295E-6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3.0146744882261713E-6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2.0913725429351529E-5</v>
      </c>
      <c r="C2" s="7">
        <f>$B2 * IFERROR(VLOOKUP("LULUCF|SO2|Premature mortality", US_national_yearly!$D:$AM, 11, FALSE) / VLOOKUP("LULUCF|SO2|Premature mortality", US_national_yearly!$D:$AM, 10, FALSE), 1)</f>
        <v>2.117858644624132E-5</v>
      </c>
      <c r="D2" s="7">
        <f>$B2 * IFERROR(VLOOKUP("LULUCF|SO2|Premature mortality", US_national_yearly!$D:$AM, 12, FALSE) / VLOOKUP("LULUCF|SO2|Premature mortality", US_national_yearly!$D:$AM, 10, FALSE), 1)</f>
        <v>2.1443447463131114E-5</v>
      </c>
      <c r="E2" s="7">
        <f>$B2 * IFERROR(VLOOKUP("LULUCF|SO2|Premature mortality", US_national_yearly!$D:$AM, 13, FALSE) / VLOOKUP("LULUCF|SO2|Premature mortality", US_national_yearly!$D:$AM, 10, FALSE), 1)</f>
        <v>2.1708308480020902E-5</v>
      </c>
      <c r="F2" s="7">
        <f>$B2 * IFERROR(VLOOKUP("LULUCF|SO2|Premature mortality", US_national_yearly!$D:$AM, 14, FALSE) / VLOOKUP("LULUCF|SO2|Premature mortality", US_national_yearly!$D:$AM, 10, FALSE), 1)</f>
        <v>2.1973169496910693E-5</v>
      </c>
      <c r="G2" s="7">
        <f>$B2 * IFERROR(VLOOKUP("LULUCF|SO2|Premature mortality", US_national_yearly!$D:$AM, 15, FALSE) / VLOOKUP("LULUCF|SO2|Premature mortality", US_national_yearly!$D:$AM, 10, FALSE), 1)</f>
        <v>2.2483541665763314E-5</v>
      </c>
      <c r="H2" s="7">
        <f>$B2 * IFERROR(VLOOKUP("LULUCF|SO2|Premature mortality", US_national_yearly!$D:$AM, 16, FALSE) / VLOOKUP("LULUCF|SO2|Premature mortality", US_national_yearly!$D:$AM, 10, FALSE), 1)</f>
        <v>2.2993913834615931E-5</v>
      </c>
      <c r="I2" s="7">
        <f>$B2 * IFERROR(VLOOKUP("LULUCF|SO2|Premature mortality", US_national_yearly!$D:$AM, 17, FALSE) / VLOOKUP("LULUCF|SO2|Premature mortality", US_national_yearly!$D:$AM, 10, FALSE), 1)</f>
        <v>2.333119903634793E-5</v>
      </c>
      <c r="J2" s="7">
        <f>$B2 * IFERROR(VLOOKUP("LULUCF|SO2|Premature mortality", US_national_yearly!$D:$AM, 18, FALSE) / VLOOKUP("LULUCF|SO2|Premature mortality", US_national_yearly!$D:$AM, 10, FALSE), 1)</f>
        <v>2.3668484238079933E-5</v>
      </c>
      <c r="K2" s="7">
        <f>$B2 * IFERROR(VLOOKUP("LULUCF|SO2|Premature mortality", US_national_yearly!$D:$AM, 19, FALSE) / VLOOKUP("LULUCF|SO2|Premature mortality", US_national_yearly!$D:$AM, 10, FALSE), 1)</f>
        <v>2.4005769439811929E-5</v>
      </c>
      <c r="L2" s="7">
        <f>$B2 * IFERROR(VLOOKUP("LULUCF|SO2|Premature mortality", US_national_yearly!$D:$AM, 20, FALSE) / VLOOKUP("LULUCF|SO2|Premature mortality", US_national_yearly!$D:$AM, 10, FALSE), 1)</f>
        <v>2.4343054641543928E-5</v>
      </c>
      <c r="M2" s="7">
        <f>$B2 * IFERROR(VLOOKUP("LULUCF|SO2|Premature mortality", US_national_yearly!$D:$AM, 21, FALSE) / VLOOKUP("LULUCF|SO2|Premature mortality", US_national_yearly!$D:$AM, 10, FALSE), 1)</f>
        <v>2.4680339843275931E-5</v>
      </c>
      <c r="N2" s="7">
        <f>$B2 * IFERROR(VLOOKUP("LULUCF|SO2|Premature mortality", US_national_yearly!$D:$AM, 22, FALSE) / VLOOKUP("LULUCF|SO2|Premature mortality", US_national_yearly!$D:$AM, 10, FALSE), 1)</f>
        <v>2.4943876204640292E-5</v>
      </c>
      <c r="O2" s="7">
        <f>$B2 * IFERROR(VLOOKUP("LULUCF|SO2|Premature mortality", US_national_yearly!$D:$AM, 23, FALSE) / VLOOKUP("LULUCF|SO2|Premature mortality", US_national_yearly!$D:$AM, 10, FALSE), 1)</f>
        <v>2.5207412566004649E-5</v>
      </c>
      <c r="P2" s="7">
        <f>$B2 * IFERROR(VLOOKUP("LULUCF|SO2|Premature mortality", US_national_yearly!$D:$AM, 24, FALSE) / VLOOKUP("LULUCF|SO2|Premature mortality", US_national_yearly!$D:$AM, 10, FALSE), 1)</f>
        <v>2.547094892736901E-5</v>
      </c>
      <c r="Q2" s="7">
        <f>$B2 * IFERROR(VLOOKUP("LULUCF|SO2|Premature mortality", US_national_yearly!$D:$AM, 25, FALSE) / VLOOKUP("LULUCF|SO2|Premature mortality", US_national_yearly!$D:$AM, 10, FALSE), 1)</f>
        <v>2.5734485288733367E-5</v>
      </c>
      <c r="R2" s="7">
        <f>$B2 * IFERROR(VLOOKUP("LULUCF|SO2|Premature mortality", US_national_yearly!$D:$AM, 26, FALSE) / VLOOKUP("LULUCF|SO2|Premature mortality", US_national_yearly!$D:$AM, 10, FALSE), 1)</f>
        <v>2.5998021650097724E-5</v>
      </c>
      <c r="S2" s="7">
        <f>$B2 * IFERROR(VLOOKUP("LULUCF|SO2|Premature mortality", US_national_yearly!$D:$AM, 27, FALSE) / VLOOKUP("LULUCF|SO2|Premature mortality", US_national_yearly!$D:$AM, 10, FALSE), 1)</f>
        <v>2.61391488806475E-5</v>
      </c>
      <c r="T2" s="7">
        <f>$B2 * IFERROR(VLOOKUP("LULUCF|SO2|Premature mortality", US_national_yearly!$D:$AM, 28, FALSE) / VLOOKUP("LULUCF|SO2|Premature mortality", US_national_yearly!$D:$AM, 10, FALSE), 1)</f>
        <v>2.628027611119727E-5</v>
      </c>
      <c r="U2" s="7">
        <f>$B2 * IFERROR(VLOOKUP("LULUCF|SO2|Premature mortality", US_national_yearly!$D:$AM, 29, FALSE) / VLOOKUP("LULUCF|SO2|Premature mortality", US_national_yearly!$D:$AM, 10, FALSE), 1)</f>
        <v>2.6421403341747043E-5</v>
      </c>
      <c r="V2" s="7">
        <f>$B2 * IFERROR(VLOOKUP("LULUCF|SO2|Premature mortality", US_national_yearly!$D:$AM, 30, FALSE) / VLOOKUP("LULUCF|SO2|Premature mortality", US_national_yearly!$D:$AM, 10, FALSE), 1)</f>
        <v>2.6562530572296812E-5</v>
      </c>
      <c r="W2" s="7">
        <f>$B2 * IFERROR(VLOOKUP("LULUCF|SO2|Premature mortality", US_national_yearly!$D:$AM, 31, FALSE) / VLOOKUP("LULUCF|SO2|Premature mortality", US_national_yearly!$D:$AM, 10, FALSE), 1)</f>
        <v>2.6703657802846588E-5</v>
      </c>
      <c r="X2" s="7">
        <f>$B2 * IFERROR(VLOOKUP("LULUCF|SO2|Premature mortality", US_national_yearly!$D:$AM, 32, FALSE) / VLOOKUP("LULUCF|SO2|Premature mortality", US_national_yearly!$D:$AM, 10, FALSE), 1)</f>
        <v>2.6732328231408508E-5</v>
      </c>
      <c r="Y2" s="7">
        <f>$B2 * IFERROR(VLOOKUP("LULUCF|SO2|Premature mortality", US_national_yearly!$D:$AM, 33, FALSE) / VLOOKUP("LULUCF|SO2|Premature mortality", US_national_yearly!$D:$AM, 10, FALSE), 1)</f>
        <v>2.6760998659970435E-5</v>
      </c>
      <c r="Z2" s="7">
        <f>$B2 * IFERROR(VLOOKUP("LULUCF|SO2|Premature mortality", US_national_yearly!$D:$AM, 34, FALSE) / VLOOKUP("LULUCF|SO2|Premature mortality", US_national_yearly!$D:$AM, 10, FALSE), 1)</f>
        <v>2.6789669088532359E-5</v>
      </c>
      <c r="AA2" s="7">
        <f>$B2 * IFERROR(VLOOKUP("LULUCF|SO2|Premature mortality", US_national_yearly!$D:$AM, 35, FALSE) / VLOOKUP("LULUCF|SO2|Premature mortality", US_national_yearly!$D:$AM, 10, FALSE), 1)</f>
        <v>2.6818339517094282E-5</v>
      </c>
      <c r="AB2" s="7">
        <f>$B2 * IFERROR(VLOOKUP("LULUCF|SO2|Premature mortality", US_national_yearly!$D:$AM, 36, FALSE) / VLOOKUP("LULUCF|SO2|Premature mortality", US_national_yearly!$D:$AM, 10, FALSE), 1)</f>
        <v>2.6847009945656202E-5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6.0276700525170871E-8</v>
      </c>
      <c r="C3" s="7">
        <f>$B3 * IFERROR(VLOOKUP("LULUCF|SO2|Infant mortality", US_national_yearly!$D:$AM, 11, FALSE) / VLOOKUP("LULUCF|SO2|Infant mortality", US_national_yearly!$D:$AM, 10, FALSE), 1)</f>
        <v>5.9758912672853682E-8</v>
      </c>
      <c r="D3" s="7">
        <f>$B3 * IFERROR(VLOOKUP("LULUCF|SO2|Infant mortality", US_national_yearly!$D:$AM, 12, FALSE) / VLOOKUP("LULUCF|SO2|Infant mortality", US_national_yearly!$D:$AM, 10, FALSE), 1)</f>
        <v>5.9241124820536493E-8</v>
      </c>
      <c r="E3" s="7">
        <f>$B3 * IFERROR(VLOOKUP("LULUCF|SO2|Infant mortality", US_national_yearly!$D:$AM, 13, FALSE) / VLOOKUP("LULUCF|SO2|Infant mortality", US_national_yearly!$D:$AM, 10, FALSE), 1)</f>
        <v>5.8723336968219291E-8</v>
      </c>
      <c r="F3" s="7">
        <f>$B3 * IFERROR(VLOOKUP("LULUCF|SO2|Infant mortality", US_national_yearly!$D:$AM, 14, FALSE) / VLOOKUP("LULUCF|SO2|Infant mortality", US_national_yearly!$D:$AM, 10, FALSE), 1)</f>
        <v>5.8205549115902103E-8</v>
      </c>
      <c r="G3" s="7">
        <f>$B3 * IFERROR(VLOOKUP("LULUCF|SO2|Infant mortality", US_national_yearly!$D:$AM, 15, FALSE) / VLOOKUP("LULUCF|SO2|Infant mortality", US_national_yearly!$D:$AM, 10, FALSE), 1)</f>
        <v>3.8769583678121579E-8</v>
      </c>
      <c r="H3" s="7">
        <f>$B3 * IFERROR(VLOOKUP("LULUCF|SO2|Infant mortality", US_national_yearly!$D:$AM, 16, FALSE) / VLOOKUP("LULUCF|SO2|Infant mortality", US_national_yearly!$D:$AM, 10, FALSE), 1)</f>
        <v>1.9333618240341086E-8</v>
      </c>
      <c r="I3" s="7">
        <f>$B3 * IFERROR(VLOOKUP("LULUCF|SO2|Infant mortality", US_national_yearly!$D:$AM, 17, FALSE) / VLOOKUP("LULUCF|SO2|Infant mortality", US_national_yearly!$D:$AM, 10, FALSE), 1)</f>
        <v>1.9212332614867976E-8</v>
      </c>
      <c r="J3" s="7">
        <f>$B3 * IFERROR(VLOOKUP("LULUCF|SO2|Infant mortality", US_national_yearly!$D:$AM, 18, FALSE) / VLOOKUP("LULUCF|SO2|Infant mortality", US_national_yearly!$D:$AM, 10, FALSE), 1)</f>
        <v>1.9091046989394867E-8</v>
      </c>
      <c r="K3" s="7">
        <f>$B3 * IFERROR(VLOOKUP("LULUCF|SO2|Infant mortality", US_national_yearly!$D:$AM, 19, FALSE) / VLOOKUP("LULUCF|SO2|Infant mortality", US_national_yearly!$D:$AM, 10, FALSE), 1)</f>
        <v>1.8969761363921754E-8</v>
      </c>
      <c r="L3" s="7">
        <f>$B3 * IFERROR(VLOOKUP("LULUCF|SO2|Infant mortality", US_national_yearly!$D:$AM, 20, FALSE) / VLOOKUP("LULUCF|SO2|Infant mortality", US_national_yearly!$D:$AM, 10, FALSE), 1)</f>
        <v>1.8848475738448647E-8</v>
      </c>
      <c r="M3" s="7">
        <f>$B3 * IFERROR(VLOOKUP("LULUCF|SO2|Infant mortality", US_national_yearly!$D:$AM, 21, FALSE) / VLOOKUP("LULUCF|SO2|Infant mortality", US_national_yearly!$D:$AM, 10, FALSE), 1)</f>
        <v>1.8727190112975535E-8</v>
      </c>
      <c r="N3" s="7">
        <f>$B3 * IFERROR(VLOOKUP("LULUCF|SO2|Infant mortality", US_national_yearly!$D:$AM, 22, FALSE) / VLOOKUP("LULUCF|SO2|Infant mortality", US_national_yearly!$D:$AM, 10, FALSE), 1)</f>
        <v>1.8651060033890574E-8</v>
      </c>
      <c r="O3" s="7">
        <f>$B3 * IFERROR(VLOOKUP("LULUCF|SO2|Infant mortality", US_national_yearly!$D:$AM, 23, FALSE) / VLOOKUP("LULUCF|SO2|Infant mortality", US_national_yearly!$D:$AM, 10, FALSE), 1)</f>
        <v>1.8574929954805614E-8</v>
      </c>
      <c r="P3" s="7">
        <f>$B3 * IFERROR(VLOOKUP("LULUCF|SO2|Infant mortality", US_national_yearly!$D:$AM, 24, FALSE) / VLOOKUP("LULUCF|SO2|Infant mortality", US_national_yearly!$D:$AM, 10, FALSE), 1)</f>
        <v>1.8498799875720651E-8</v>
      </c>
      <c r="Q3" s="7">
        <f>$B3 * IFERROR(VLOOKUP("LULUCF|SO2|Infant mortality", US_national_yearly!$D:$AM, 25, FALSE) / VLOOKUP("LULUCF|SO2|Infant mortality", US_national_yearly!$D:$AM, 10, FALSE), 1)</f>
        <v>1.8422669796635691E-8</v>
      </c>
      <c r="R3" s="7">
        <f>$B3 * IFERROR(VLOOKUP("LULUCF|SO2|Infant mortality", US_national_yearly!$D:$AM, 26, FALSE) / VLOOKUP("LULUCF|SO2|Infant mortality", US_national_yearly!$D:$AM, 10, FALSE), 1)</f>
        <v>1.8346539717550727E-8</v>
      </c>
      <c r="S3" s="7">
        <f>$B3 * IFERROR(VLOOKUP("LULUCF|SO2|Infant mortality", US_national_yearly!$D:$AM, 27, FALSE) / VLOOKUP("LULUCF|SO2|Infant mortality", US_national_yearly!$D:$AM, 10, FALSE), 1)</f>
        <v>1.8250953765315861E-8</v>
      </c>
      <c r="T3" s="7">
        <f>$B3 * IFERROR(VLOOKUP("LULUCF|SO2|Infant mortality", US_national_yearly!$D:$AM, 28, FALSE) / VLOOKUP("LULUCF|SO2|Infant mortality", US_national_yearly!$D:$AM, 10, FALSE), 1)</f>
        <v>1.8155367813080995E-8</v>
      </c>
      <c r="U3" s="7">
        <f>$B3 * IFERROR(VLOOKUP("LULUCF|SO2|Infant mortality", US_national_yearly!$D:$AM, 29, FALSE) / VLOOKUP("LULUCF|SO2|Infant mortality", US_national_yearly!$D:$AM, 10, FALSE), 1)</f>
        <v>1.8059781860846123E-8</v>
      </c>
      <c r="V3" s="7">
        <f>$B3 * IFERROR(VLOOKUP("LULUCF|SO2|Infant mortality", US_national_yearly!$D:$AM, 30, FALSE) / VLOOKUP("LULUCF|SO2|Infant mortality", US_national_yearly!$D:$AM, 10, FALSE), 1)</f>
        <v>1.796419590861126E-8</v>
      </c>
      <c r="W3" s="7">
        <f>$B3 * IFERROR(VLOOKUP("LULUCF|SO2|Infant mortality", US_national_yearly!$D:$AM, 31, FALSE) / VLOOKUP("LULUCF|SO2|Infant mortality", US_national_yearly!$D:$AM, 10, FALSE), 1)</f>
        <v>1.7868609956376391E-8</v>
      </c>
      <c r="X3" s="7">
        <f>$B3 * IFERROR(VLOOKUP("LULUCF|SO2|Infant mortality", US_national_yearly!$D:$AM, 32, FALSE) / VLOOKUP("LULUCF|SO2|Infant mortality", US_national_yearly!$D:$AM, 10, FALSE), 1)</f>
        <v>1.7764105005869773E-8</v>
      </c>
      <c r="Y3" s="7">
        <f>$B3 * IFERROR(VLOOKUP("LULUCF|SO2|Infant mortality", US_national_yearly!$D:$AM, 33, FALSE) / VLOOKUP("LULUCF|SO2|Infant mortality", US_national_yearly!$D:$AM, 10, FALSE), 1)</f>
        <v>1.7659600055363148E-8</v>
      </c>
      <c r="Z3" s="7">
        <f>$B3 * IFERROR(VLOOKUP("LULUCF|SO2|Infant mortality", US_national_yearly!$D:$AM, 34, FALSE) / VLOOKUP("LULUCF|SO2|Infant mortality", US_national_yearly!$D:$AM, 10, FALSE), 1)</f>
        <v>1.7555095104856529E-8</v>
      </c>
      <c r="AA3" s="7">
        <f>$B3 * IFERROR(VLOOKUP("LULUCF|SO2|Infant mortality", US_national_yearly!$D:$AM, 35, FALSE) / VLOOKUP("LULUCF|SO2|Infant mortality", US_national_yearly!$D:$AM, 10, FALSE), 1)</f>
        <v>1.7450590154349904E-8</v>
      </c>
      <c r="AB3" s="7">
        <f>$B3 * IFERROR(VLOOKUP("LULUCF|SO2|Infant mortality", US_national_yearly!$D:$AM, 36, FALSE) / VLOOKUP("LULUCF|SO2|Infant mortality", US_national_yearly!$D:$AM, 10, FALSE), 1)</f>
        <v>1.7346085203843282E-8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5.9536486277448857E-5</v>
      </c>
      <c r="C6" s="7">
        <f>$B6 * IFERROR(VLOOKUP("LULUCF|SO2|Asthma symptoms cough", US_national_yearly!$D:$AM, 11, FALSE) / VLOOKUP("LULUCF|SO2|Asthma symptoms cough", US_national_yearly!$D:$AM, 10, FALSE), 1)</f>
        <v>5.9536486277448857E-5</v>
      </c>
      <c r="D6" s="7">
        <f>$B6 * IFERROR(VLOOKUP("LULUCF|SO2|Asthma symptoms cough", US_national_yearly!$D:$AM, 12, FALSE) / VLOOKUP("LULUCF|SO2|Asthma symptoms cough", US_national_yearly!$D:$AM, 10, FALSE), 1)</f>
        <v>5.9536486277448857E-5</v>
      </c>
      <c r="E6" s="7">
        <f>$B6 * IFERROR(VLOOKUP("LULUCF|SO2|Asthma symptoms cough", US_national_yearly!$D:$AM, 13, FALSE) / VLOOKUP("LULUCF|SO2|Asthma symptoms cough", US_national_yearly!$D:$AM, 10, FALSE), 1)</f>
        <v>5.9536486277448857E-5</v>
      </c>
      <c r="F6" s="7">
        <f>$B6 * IFERROR(VLOOKUP("LULUCF|SO2|Asthma symptoms cough", US_national_yearly!$D:$AM, 14, FALSE) / VLOOKUP("LULUCF|SO2|Asthma symptoms cough", US_national_yearly!$D:$AM, 10, FALSE), 1)</f>
        <v>5.9536486277448857E-5</v>
      </c>
      <c r="G6" s="7">
        <f>$B6 * IFERROR(VLOOKUP("LULUCF|SO2|Asthma symptoms cough", US_national_yearly!$D:$AM, 15, FALSE) / VLOOKUP("LULUCF|SO2|Asthma symptoms cough", US_national_yearly!$D:$AM, 10, FALSE), 1)</f>
        <v>5.9536486277448857E-5</v>
      </c>
      <c r="H6" s="7">
        <f>$B6 * IFERROR(VLOOKUP("LULUCF|SO2|Asthma symptoms cough", US_national_yearly!$D:$AM, 16, FALSE) / VLOOKUP("LULUCF|SO2|Asthma symptoms cough", US_national_yearly!$D:$AM, 10, FALSE), 1)</f>
        <v>5.9536486277448857E-5</v>
      </c>
      <c r="I6" s="7">
        <f>$B6 * IFERROR(VLOOKUP("LULUCF|SO2|Asthma symptoms cough", US_national_yearly!$D:$AM, 17, FALSE) / VLOOKUP("LULUCF|SO2|Asthma symptoms cough", US_national_yearly!$D:$AM, 10, FALSE), 1)</f>
        <v>5.9536486277448857E-5</v>
      </c>
      <c r="J6" s="7">
        <f>$B6 * IFERROR(VLOOKUP("LULUCF|SO2|Asthma symptoms cough", US_national_yearly!$D:$AM, 18, FALSE) / VLOOKUP("LULUCF|SO2|Asthma symptoms cough", US_national_yearly!$D:$AM, 10, FALSE), 1)</f>
        <v>5.9536486277448857E-5</v>
      </c>
      <c r="K6" s="7">
        <f>$B6 * IFERROR(VLOOKUP("LULUCF|SO2|Asthma symptoms cough", US_national_yearly!$D:$AM, 19, FALSE) / VLOOKUP("LULUCF|SO2|Asthma symptoms cough", US_national_yearly!$D:$AM, 10, FALSE), 1)</f>
        <v>5.9536486277448857E-5</v>
      </c>
      <c r="L6" s="7">
        <f>$B6 * IFERROR(VLOOKUP("LULUCF|SO2|Asthma symptoms cough", US_national_yearly!$D:$AM, 20, FALSE) / VLOOKUP("LULUCF|SO2|Asthma symptoms cough", US_national_yearly!$D:$AM, 10, FALSE), 1)</f>
        <v>5.9536486277448857E-5</v>
      </c>
      <c r="M6" s="7">
        <f>$B6 * IFERROR(VLOOKUP("LULUCF|SO2|Asthma symptoms cough", US_national_yearly!$D:$AM, 21, FALSE) / VLOOKUP("LULUCF|SO2|Asthma symptoms cough", US_national_yearly!$D:$AM, 10, FALSE), 1)</f>
        <v>5.9536486277448857E-5</v>
      </c>
      <c r="N6" s="7">
        <f>$B6 * IFERROR(VLOOKUP("LULUCF|SO2|Asthma symptoms cough", US_national_yearly!$D:$AM, 22, FALSE) / VLOOKUP("LULUCF|SO2|Asthma symptoms cough", US_national_yearly!$D:$AM, 10, FALSE), 1)</f>
        <v>5.9536486277448857E-5</v>
      </c>
      <c r="O6" s="7">
        <f>$B6 * IFERROR(VLOOKUP("LULUCF|SO2|Asthma symptoms cough", US_national_yearly!$D:$AM, 23, FALSE) / VLOOKUP("LULUCF|SO2|Asthma symptoms cough", US_national_yearly!$D:$AM, 10, FALSE), 1)</f>
        <v>5.9536486277448857E-5</v>
      </c>
      <c r="P6" s="7">
        <f>$B6 * IFERROR(VLOOKUP("LULUCF|SO2|Asthma symptoms cough", US_national_yearly!$D:$AM, 24, FALSE) / VLOOKUP("LULUCF|SO2|Asthma symptoms cough", US_national_yearly!$D:$AM, 10, FALSE), 1)</f>
        <v>5.9536486277448857E-5</v>
      </c>
      <c r="Q6" s="7">
        <f>$B6 * IFERROR(VLOOKUP("LULUCF|SO2|Asthma symptoms cough", US_national_yearly!$D:$AM, 25, FALSE) / VLOOKUP("LULUCF|SO2|Asthma symptoms cough", US_national_yearly!$D:$AM, 10, FALSE), 1)</f>
        <v>5.9536486277448857E-5</v>
      </c>
      <c r="R6" s="7">
        <f>$B6 * IFERROR(VLOOKUP("LULUCF|SO2|Asthma symptoms cough", US_national_yearly!$D:$AM, 26, FALSE) / VLOOKUP("LULUCF|SO2|Asthma symptoms cough", US_national_yearly!$D:$AM, 10, FALSE), 1)</f>
        <v>5.9536486277448857E-5</v>
      </c>
      <c r="S6" s="7">
        <f>$B6 * IFERROR(VLOOKUP("LULUCF|SO2|Asthma symptoms cough", US_national_yearly!$D:$AM, 27, FALSE) / VLOOKUP("LULUCF|SO2|Asthma symptoms cough", US_national_yearly!$D:$AM, 10, FALSE), 1)</f>
        <v>5.9536486277448857E-5</v>
      </c>
      <c r="T6" s="7">
        <f>$B6 * IFERROR(VLOOKUP("LULUCF|SO2|Asthma symptoms cough", US_national_yearly!$D:$AM, 28, FALSE) / VLOOKUP("LULUCF|SO2|Asthma symptoms cough", US_national_yearly!$D:$AM, 10, FALSE), 1)</f>
        <v>5.9536486277448857E-5</v>
      </c>
      <c r="U6" s="7">
        <f>$B6 * IFERROR(VLOOKUP("LULUCF|SO2|Asthma symptoms cough", US_national_yearly!$D:$AM, 29, FALSE) / VLOOKUP("LULUCF|SO2|Asthma symptoms cough", US_national_yearly!$D:$AM, 10, FALSE), 1)</f>
        <v>5.9536486277448857E-5</v>
      </c>
      <c r="V6" s="7">
        <f>$B6 * IFERROR(VLOOKUP("LULUCF|SO2|Asthma symptoms cough", US_national_yearly!$D:$AM, 30, FALSE) / VLOOKUP("LULUCF|SO2|Asthma symptoms cough", US_national_yearly!$D:$AM, 10, FALSE), 1)</f>
        <v>5.9536486277448857E-5</v>
      </c>
      <c r="W6" s="7">
        <f>$B6 * IFERROR(VLOOKUP("LULUCF|SO2|Asthma symptoms cough", US_national_yearly!$D:$AM, 31, FALSE) / VLOOKUP("LULUCF|SO2|Asthma symptoms cough", US_national_yearly!$D:$AM, 10, FALSE), 1)</f>
        <v>5.9536486277448857E-5</v>
      </c>
      <c r="X6" s="7">
        <f>$B6 * IFERROR(VLOOKUP("LULUCF|SO2|Asthma symptoms cough", US_national_yearly!$D:$AM, 32, FALSE) / VLOOKUP("LULUCF|SO2|Asthma symptoms cough", US_national_yearly!$D:$AM, 10, FALSE), 1)</f>
        <v>5.9536486277448857E-5</v>
      </c>
      <c r="Y6" s="7">
        <f>$B6 * IFERROR(VLOOKUP("LULUCF|SO2|Asthma symptoms cough", US_national_yearly!$D:$AM, 33, FALSE) / VLOOKUP("LULUCF|SO2|Asthma symptoms cough", US_national_yearly!$D:$AM, 10, FALSE), 1)</f>
        <v>5.9536486277448857E-5</v>
      </c>
      <c r="Z6" s="7">
        <f>$B6 * IFERROR(VLOOKUP("LULUCF|SO2|Asthma symptoms cough", US_national_yearly!$D:$AM, 34, FALSE) / VLOOKUP("LULUCF|SO2|Asthma symptoms cough", US_national_yearly!$D:$AM, 10, FALSE), 1)</f>
        <v>5.9536486277448857E-5</v>
      </c>
      <c r="AA6" s="7">
        <f>$B6 * IFERROR(VLOOKUP("LULUCF|SO2|Asthma symptoms cough", US_national_yearly!$D:$AM, 35, FALSE) / VLOOKUP("LULUCF|SO2|Asthma symptoms cough", US_national_yearly!$D:$AM, 10, FALSE), 1)</f>
        <v>5.9536486277448857E-5</v>
      </c>
      <c r="AB6" s="7">
        <f>$B6 * IFERROR(VLOOKUP("LULUCF|SO2|Asthma symptoms cough", US_national_yearly!$D:$AM, 36, FALSE) / VLOOKUP("LULUCF|SO2|Asthma symptoms cough", US_national_yearly!$D:$AM, 10, FALSE), 1)</f>
        <v>5.9536486277448857E-5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8.0174373571446043E-5</v>
      </c>
      <c r="C7" s="7">
        <f>$B7 * IFERROR(VLOOKUP("LULUCF|SO2|Asthma symptoms shortness of breath", US_national_yearly!$D:$AM, 11, FALSE) / VLOOKUP("LULUCF|SO2|Asthma symptoms shortness of breath", US_national_yearly!$D:$AM, 10, FALSE), 1)</f>
        <v>8.0174373571446043E-5</v>
      </c>
      <c r="D7" s="7">
        <f>$B7 * IFERROR(VLOOKUP("LULUCF|SO2|Asthma symptoms shortness of breath", US_national_yearly!$D:$AM, 12, FALSE) / VLOOKUP("LULUCF|SO2|Asthma symptoms shortness of breath", US_national_yearly!$D:$AM, 10, FALSE), 1)</f>
        <v>8.0174373571446043E-5</v>
      </c>
      <c r="E7" s="7">
        <f>$B7 * IFERROR(VLOOKUP("LULUCF|SO2|Asthma symptoms shortness of breath", US_national_yearly!$D:$AM, 13, FALSE) / VLOOKUP("LULUCF|SO2|Asthma symptoms shortness of breath", US_national_yearly!$D:$AM, 10, FALSE), 1)</f>
        <v>8.0174373571446043E-5</v>
      </c>
      <c r="F7" s="7">
        <f>$B7 * IFERROR(VLOOKUP("LULUCF|SO2|Asthma symptoms shortness of breath", US_national_yearly!$D:$AM, 14, FALSE) / VLOOKUP("LULUCF|SO2|Asthma symptoms shortness of breath", US_national_yearly!$D:$AM, 10, FALSE), 1)</f>
        <v>8.0174373571446043E-5</v>
      </c>
      <c r="G7" s="7">
        <f>$B7 * IFERROR(VLOOKUP("LULUCF|SO2|Asthma symptoms shortness of breath", US_national_yearly!$D:$AM, 15, FALSE) / VLOOKUP("LULUCF|SO2|Asthma symptoms shortness of breath", US_national_yearly!$D:$AM, 10, FALSE), 1)</f>
        <v>8.0174373571446043E-5</v>
      </c>
      <c r="H7" s="7">
        <f>$B7 * IFERROR(VLOOKUP("LULUCF|SO2|Asthma symptoms shortness of breath", US_national_yearly!$D:$AM, 16, FALSE) / VLOOKUP("LULUCF|SO2|Asthma symptoms shortness of breath", US_national_yearly!$D:$AM, 10, FALSE), 1)</f>
        <v>8.0174373571446043E-5</v>
      </c>
      <c r="I7" s="7">
        <f>$B7 * IFERROR(VLOOKUP("LULUCF|SO2|Asthma symptoms shortness of breath", US_national_yearly!$D:$AM, 17, FALSE) / VLOOKUP("LULUCF|SO2|Asthma symptoms shortness of breath", US_national_yearly!$D:$AM, 10, FALSE), 1)</f>
        <v>8.0174373571446043E-5</v>
      </c>
      <c r="J7" s="7">
        <f>$B7 * IFERROR(VLOOKUP("LULUCF|SO2|Asthma symptoms shortness of breath", US_national_yearly!$D:$AM, 18, FALSE) / VLOOKUP("LULUCF|SO2|Asthma symptoms shortness of breath", US_national_yearly!$D:$AM, 10, FALSE), 1)</f>
        <v>8.0174373571446043E-5</v>
      </c>
      <c r="K7" s="7">
        <f>$B7 * IFERROR(VLOOKUP("LULUCF|SO2|Asthma symptoms shortness of breath", US_national_yearly!$D:$AM, 19, FALSE) / VLOOKUP("LULUCF|SO2|Asthma symptoms shortness of breath", US_national_yearly!$D:$AM, 10, FALSE), 1)</f>
        <v>8.0174373571446043E-5</v>
      </c>
      <c r="L7" s="7">
        <f>$B7 * IFERROR(VLOOKUP("LULUCF|SO2|Asthma symptoms shortness of breath", US_national_yearly!$D:$AM, 20, FALSE) / VLOOKUP("LULUCF|SO2|Asthma symptoms shortness of breath", US_national_yearly!$D:$AM, 10, FALSE), 1)</f>
        <v>8.0174373571446043E-5</v>
      </c>
      <c r="M7" s="7">
        <f>$B7 * IFERROR(VLOOKUP("LULUCF|SO2|Asthma symptoms shortness of breath", US_national_yearly!$D:$AM, 21, FALSE) / VLOOKUP("LULUCF|SO2|Asthma symptoms shortness of breath", US_national_yearly!$D:$AM, 10, FALSE), 1)</f>
        <v>8.0174373571446043E-5</v>
      </c>
      <c r="N7" s="7">
        <f>$B7 * IFERROR(VLOOKUP("LULUCF|SO2|Asthma symptoms shortness of breath", US_national_yearly!$D:$AM, 22, FALSE) / VLOOKUP("LULUCF|SO2|Asthma symptoms shortness of breath", US_national_yearly!$D:$AM, 10, FALSE), 1)</f>
        <v>8.0174373571446043E-5</v>
      </c>
      <c r="O7" s="7">
        <f>$B7 * IFERROR(VLOOKUP("LULUCF|SO2|Asthma symptoms shortness of breath", US_national_yearly!$D:$AM, 23, FALSE) / VLOOKUP("LULUCF|SO2|Asthma symptoms shortness of breath", US_national_yearly!$D:$AM, 10, FALSE), 1)</f>
        <v>8.0174373571446043E-5</v>
      </c>
      <c r="P7" s="7">
        <f>$B7 * IFERROR(VLOOKUP("LULUCF|SO2|Asthma symptoms shortness of breath", US_national_yearly!$D:$AM, 24, FALSE) / VLOOKUP("LULUCF|SO2|Asthma symptoms shortness of breath", US_national_yearly!$D:$AM, 10, FALSE), 1)</f>
        <v>8.0174373571446043E-5</v>
      </c>
      <c r="Q7" s="7">
        <f>$B7 * IFERROR(VLOOKUP("LULUCF|SO2|Asthma symptoms shortness of breath", US_national_yearly!$D:$AM, 25, FALSE) / VLOOKUP("LULUCF|SO2|Asthma symptoms shortness of breath", US_national_yearly!$D:$AM, 10, FALSE), 1)</f>
        <v>8.0174373571446043E-5</v>
      </c>
      <c r="R7" s="7">
        <f>$B7 * IFERROR(VLOOKUP("LULUCF|SO2|Asthma symptoms shortness of breath", US_national_yearly!$D:$AM, 26, FALSE) / VLOOKUP("LULUCF|SO2|Asthma symptoms shortness of breath", US_national_yearly!$D:$AM, 10, FALSE), 1)</f>
        <v>8.0174373571446043E-5</v>
      </c>
      <c r="S7" s="7">
        <f>$B7 * IFERROR(VLOOKUP("LULUCF|SO2|Asthma symptoms shortness of breath", US_national_yearly!$D:$AM, 27, FALSE) / VLOOKUP("LULUCF|SO2|Asthma symptoms shortness of breath", US_national_yearly!$D:$AM, 10, FALSE), 1)</f>
        <v>8.0174373571446043E-5</v>
      </c>
      <c r="T7" s="7">
        <f>$B7 * IFERROR(VLOOKUP("LULUCF|SO2|Asthma symptoms shortness of breath", US_national_yearly!$D:$AM, 28, FALSE) / VLOOKUP("LULUCF|SO2|Asthma symptoms shortness of breath", US_national_yearly!$D:$AM, 10, FALSE), 1)</f>
        <v>8.0174373571446043E-5</v>
      </c>
      <c r="U7" s="7">
        <f>$B7 * IFERROR(VLOOKUP("LULUCF|SO2|Asthma symptoms shortness of breath", US_national_yearly!$D:$AM, 29, FALSE) / VLOOKUP("LULUCF|SO2|Asthma symptoms shortness of breath", US_national_yearly!$D:$AM, 10, FALSE), 1)</f>
        <v>8.0174373571446043E-5</v>
      </c>
      <c r="V7" s="7">
        <f>$B7 * IFERROR(VLOOKUP("LULUCF|SO2|Asthma symptoms shortness of breath", US_national_yearly!$D:$AM, 30, FALSE) / VLOOKUP("LULUCF|SO2|Asthma symptoms shortness of breath", US_national_yearly!$D:$AM, 10, FALSE), 1)</f>
        <v>8.0174373571446043E-5</v>
      </c>
      <c r="W7" s="7">
        <f>$B7 * IFERROR(VLOOKUP("LULUCF|SO2|Asthma symptoms shortness of breath", US_national_yearly!$D:$AM, 31, FALSE) / VLOOKUP("LULUCF|SO2|Asthma symptoms shortness of breath", US_national_yearly!$D:$AM, 10, FALSE), 1)</f>
        <v>8.0174373571446043E-5</v>
      </c>
      <c r="X7" s="7">
        <f>$B7 * IFERROR(VLOOKUP("LULUCF|SO2|Asthma symptoms shortness of breath", US_national_yearly!$D:$AM, 32, FALSE) / VLOOKUP("LULUCF|SO2|Asthma symptoms shortness of breath", US_national_yearly!$D:$AM, 10, FALSE), 1)</f>
        <v>8.0174373571446043E-5</v>
      </c>
      <c r="Y7" s="7">
        <f>$B7 * IFERROR(VLOOKUP("LULUCF|SO2|Asthma symptoms shortness of breath", US_national_yearly!$D:$AM, 33, FALSE) / VLOOKUP("LULUCF|SO2|Asthma symptoms shortness of breath", US_national_yearly!$D:$AM, 10, FALSE), 1)</f>
        <v>8.0174373571446043E-5</v>
      </c>
      <c r="Z7" s="7">
        <f>$B7 * IFERROR(VLOOKUP("LULUCF|SO2|Asthma symptoms shortness of breath", US_national_yearly!$D:$AM, 34, FALSE) / VLOOKUP("LULUCF|SO2|Asthma symptoms shortness of breath", US_national_yearly!$D:$AM, 10, FALSE), 1)</f>
        <v>8.0174373571446043E-5</v>
      </c>
      <c r="AA7" s="7">
        <f>$B7 * IFERROR(VLOOKUP("LULUCF|SO2|Asthma symptoms shortness of breath", US_national_yearly!$D:$AM, 35, FALSE) / VLOOKUP("LULUCF|SO2|Asthma symptoms shortness of breath", US_national_yearly!$D:$AM, 10, FALSE), 1)</f>
        <v>8.0174373571446043E-5</v>
      </c>
      <c r="AB7" s="7">
        <f>$B7 * IFERROR(VLOOKUP("LULUCF|SO2|Asthma symptoms shortness of breath", US_national_yearly!$D:$AM, 36, FALSE) / VLOOKUP("LULUCF|SO2|Asthma symptoms shortness of breath", US_national_yearly!$D:$AM, 10, FALSE), 1)</f>
        <v>8.0174373571446043E-5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1.2249337002356658E-4</v>
      </c>
      <c r="C8" s="7">
        <f>$B8 * IFERROR(VLOOKUP("LULUCF|SO2|Asthma symptoms wheeze", US_national_yearly!$D:$AM, 11, FALSE) / VLOOKUP("LULUCF|SO2|Asthma symptoms wheeze", US_national_yearly!$D:$AM, 10, FALSE), 1)</f>
        <v>1.2249337002356658E-4</v>
      </c>
      <c r="D8" s="7">
        <f>$B8 * IFERROR(VLOOKUP("LULUCF|SO2|Asthma symptoms wheeze", US_national_yearly!$D:$AM, 12, FALSE) / VLOOKUP("LULUCF|SO2|Asthma symptoms wheeze", US_national_yearly!$D:$AM, 10, FALSE), 1)</f>
        <v>1.2249337002356658E-4</v>
      </c>
      <c r="E8" s="7">
        <f>$B8 * IFERROR(VLOOKUP("LULUCF|SO2|Asthma symptoms wheeze", US_national_yearly!$D:$AM, 13, FALSE) / VLOOKUP("LULUCF|SO2|Asthma symptoms wheeze", US_national_yearly!$D:$AM, 10, FALSE), 1)</f>
        <v>1.2249337002356658E-4</v>
      </c>
      <c r="F8" s="7">
        <f>$B8 * IFERROR(VLOOKUP("LULUCF|SO2|Asthma symptoms wheeze", US_national_yearly!$D:$AM, 14, FALSE) / VLOOKUP("LULUCF|SO2|Asthma symptoms wheeze", US_national_yearly!$D:$AM, 10, FALSE), 1)</f>
        <v>1.2249337002356658E-4</v>
      </c>
      <c r="G8" s="7">
        <f>$B8 * IFERROR(VLOOKUP("LULUCF|SO2|Asthma symptoms wheeze", US_national_yearly!$D:$AM, 15, FALSE) / VLOOKUP("LULUCF|SO2|Asthma symptoms wheeze", US_national_yearly!$D:$AM, 10, FALSE), 1)</f>
        <v>1.2249337002356658E-4</v>
      </c>
      <c r="H8" s="7">
        <f>$B8 * IFERROR(VLOOKUP("LULUCF|SO2|Asthma symptoms wheeze", US_national_yearly!$D:$AM, 16, FALSE) / VLOOKUP("LULUCF|SO2|Asthma symptoms wheeze", US_national_yearly!$D:$AM, 10, FALSE), 1)</f>
        <v>1.2249337002356658E-4</v>
      </c>
      <c r="I8" s="7">
        <f>$B8 * IFERROR(VLOOKUP("LULUCF|SO2|Asthma symptoms wheeze", US_national_yearly!$D:$AM, 17, FALSE) / VLOOKUP("LULUCF|SO2|Asthma symptoms wheeze", US_national_yearly!$D:$AM, 10, FALSE), 1)</f>
        <v>1.2249337002356658E-4</v>
      </c>
      <c r="J8" s="7">
        <f>$B8 * IFERROR(VLOOKUP("LULUCF|SO2|Asthma symptoms wheeze", US_national_yearly!$D:$AM, 18, FALSE) / VLOOKUP("LULUCF|SO2|Asthma symptoms wheeze", US_national_yearly!$D:$AM, 10, FALSE), 1)</f>
        <v>1.2249337002356658E-4</v>
      </c>
      <c r="K8" s="7">
        <f>$B8 * IFERROR(VLOOKUP("LULUCF|SO2|Asthma symptoms wheeze", US_national_yearly!$D:$AM, 19, FALSE) / VLOOKUP("LULUCF|SO2|Asthma symptoms wheeze", US_national_yearly!$D:$AM, 10, FALSE), 1)</f>
        <v>1.2249337002356658E-4</v>
      </c>
      <c r="L8" s="7">
        <f>$B8 * IFERROR(VLOOKUP("LULUCF|SO2|Asthma symptoms wheeze", US_national_yearly!$D:$AM, 20, FALSE) / VLOOKUP("LULUCF|SO2|Asthma symptoms wheeze", US_national_yearly!$D:$AM, 10, FALSE), 1)</f>
        <v>1.2249337002356658E-4</v>
      </c>
      <c r="M8" s="7">
        <f>$B8 * IFERROR(VLOOKUP("LULUCF|SO2|Asthma symptoms wheeze", US_national_yearly!$D:$AM, 21, FALSE) / VLOOKUP("LULUCF|SO2|Asthma symptoms wheeze", US_national_yearly!$D:$AM, 10, FALSE), 1)</f>
        <v>1.2249337002356658E-4</v>
      </c>
      <c r="N8" s="7">
        <f>$B8 * IFERROR(VLOOKUP("LULUCF|SO2|Asthma symptoms wheeze", US_national_yearly!$D:$AM, 22, FALSE) / VLOOKUP("LULUCF|SO2|Asthma symptoms wheeze", US_national_yearly!$D:$AM, 10, FALSE), 1)</f>
        <v>1.2249337002356658E-4</v>
      </c>
      <c r="O8" s="7">
        <f>$B8 * IFERROR(VLOOKUP("LULUCF|SO2|Asthma symptoms wheeze", US_national_yearly!$D:$AM, 23, FALSE) / VLOOKUP("LULUCF|SO2|Asthma symptoms wheeze", US_national_yearly!$D:$AM, 10, FALSE), 1)</f>
        <v>1.2249337002356658E-4</v>
      </c>
      <c r="P8" s="7">
        <f>$B8 * IFERROR(VLOOKUP("LULUCF|SO2|Asthma symptoms wheeze", US_national_yearly!$D:$AM, 24, FALSE) / VLOOKUP("LULUCF|SO2|Asthma symptoms wheeze", US_national_yearly!$D:$AM, 10, FALSE), 1)</f>
        <v>1.2249337002356658E-4</v>
      </c>
      <c r="Q8" s="7">
        <f>$B8 * IFERROR(VLOOKUP("LULUCF|SO2|Asthma symptoms wheeze", US_national_yearly!$D:$AM, 25, FALSE) / VLOOKUP("LULUCF|SO2|Asthma symptoms wheeze", US_national_yearly!$D:$AM, 10, FALSE), 1)</f>
        <v>1.2249337002356658E-4</v>
      </c>
      <c r="R8" s="7">
        <f>$B8 * IFERROR(VLOOKUP("LULUCF|SO2|Asthma symptoms wheeze", US_national_yearly!$D:$AM, 26, FALSE) / VLOOKUP("LULUCF|SO2|Asthma symptoms wheeze", US_national_yearly!$D:$AM, 10, FALSE), 1)</f>
        <v>1.2249337002356658E-4</v>
      </c>
      <c r="S8" s="7">
        <f>$B8 * IFERROR(VLOOKUP("LULUCF|SO2|Asthma symptoms wheeze", US_national_yearly!$D:$AM, 27, FALSE) / VLOOKUP("LULUCF|SO2|Asthma symptoms wheeze", US_national_yearly!$D:$AM, 10, FALSE), 1)</f>
        <v>1.2249337002356658E-4</v>
      </c>
      <c r="T8" s="7">
        <f>$B8 * IFERROR(VLOOKUP("LULUCF|SO2|Asthma symptoms wheeze", US_national_yearly!$D:$AM, 28, FALSE) / VLOOKUP("LULUCF|SO2|Asthma symptoms wheeze", US_national_yearly!$D:$AM, 10, FALSE), 1)</f>
        <v>1.2249337002356658E-4</v>
      </c>
      <c r="U8" s="7">
        <f>$B8 * IFERROR(VLOOKUP("LULUCF|SO2|Asthma symptoms wheeze", US_national_yearly!$D:$AM, 29, FALSE) / VLOOKUP("LULUCF|SO2|Asthma symptoms wheeze", US_national_yearly!$D:$AM, 10, FALSE), 1)</f>
        <v>1.2249337002356658E-4</v>
      </c>
      <c r="V8" s="7">
        <f>$B8 * IFERROR(VLOOKUP("LULUCF|SO2|Asthma symptoms wheeze", US_national_yearly!$D:$AM, 30, FALSE) / VLOOKUP("LULUCF|SO2|Asthma symptoms wheeze", US_national_yearly!$D:$AM, 10, FALSE), 1)</f>
        <v>1.2249337002356658E-4</v>
      </c>
      <c r="W8" s="7">
        <f>$B8 * IFERROR(VLOOKUP("LULUCF|SO2|Asthma symptoms wheeze", US_national_yearly!$D:$AM, 31, FALSE) / VLOOKUP("LULUCF|SO2|Asthma symptoms wheeze", US_national_yearly!$D:$AM, 10, FALSE), 1)</f>
        <v>1.2249337002356658E-4</v>
      </c>
      <c r="X8" s="7">
        <f>$B8 * IFERROR(VLOOKUP("LULUCF|SO2|Asthma symptoms wheeze", US_national_yearly!$D:$AM, 32, FALSE) / VLOOKUP("LULUCF|SO2|Asthma symptoms wheeze", US_national_yearly!$D:$AM, 10, FALSE), 1)</f>
        <v>1.2249337002356658E-4</v>
      </c>
      <c r="Y8" s="7">
        <f>$B8 * IFERROR(VLOOKUP("LULUCF|SO2|Asthma symptoms wheeze", US_national_yearly!$D:$AM, 33, FALSE) / VLOOKUP("LULUCF|SO2|Asthma symptoms wheeze", US_national_yearly!$D:$AM, 10, FALSE), 1)</f>
        <v>1.2249337002356658E-4</v>
      </c>
      <c r="Z8" s="7">
        <f>$B8 * IFERROR(VLOOKUP("LULUCF|SO2|Asthma symptoms wheeze", US_national_yearly!$D:$AM, 34, FALSE) / VLOOKUP("LULUCF|SO2|Asthma symptoms wheeze", US_national_yearly!$D:$AM, 10, FALSE), 1)</f>
        <v>1.2249337002356658E-4</v>
      </c>
      <c r="AA8" s="7">
        <f>$B8 * IFERROR(VLOOKUP("LULUCF|SO2|Asthma symptoms wheeze", US_national_yearly!$D:$AM, 35, FALSE) / VLOOKUP("LULUCF|SO2|Asthma symptoms wheeze", US_national_yearly!$D:$AM, 10, FALSE), 1)</f>
        <v>1.2249337002356658E-4</v>
      </c>
      <c r="AB8" s="7">
        <f>$B8 * IFERROR(VLOOKUP("LULUCF|SO2|Asthma symptoms wheeze", US_national_yearly!$D:$AM, 36, FALSE) / VLOOKUP("LULUCF|SO2|Asthma symptoms wheeze", US_national_yearly!$D:$AM, 10, FALSE), 1)</f>
        <v>1.2249337002356658E-4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1.365314321005517E-6</v>
      </c>
      <c r="C12" s="7">
        <f>$B12 * IFERROR(VLOOKUP("LULUCF|SO2|Respiratory hospital admissions", US_national_yearly!$D:$AM, 11, FALSE) / VLOOKUP("LULUCF|SO2|Respiratory hospital admissions", US_national_yearly!$D:$AM, 10, FALSE), 1)</f>
        <v>1.3733670127199655E-6</v>
      </c>
      <c r="D12" s="7">
        <f>$B12 * IFERROR(VLOOKUP("LULUCF|SO2|Respiratory hospital admissions", US_national_yearly!$D:$AM, 12, FALSE) / VLOOKUP("LULUCF|SO2|Respiratory hospital admissions", US_national_yearly!$D:$AM, 10, FALSE), 1)</f>
        <v>1.3814197044344139E-6</v>
      </c>
      <c r="E12" s="7">
        <f>$B12 * IFERROR(VLOOKUP("LULUCF|SO2|Respiratory hospital admissions", US_national_yearly!$D:$AM, 13, FALSE) / VLOOKUP("LULUCF|SO2|Respiratory hospital admissions", US_national_yearly!$D:$AM, 10, FALSE), 1)</f>
        <v>1.3894723961488625E-6</v>
      </c>
      <c r="F12" s="7">
        <f>$B12 * IFERROR(VLOOKUP("LULUCF|SO2|Respiratory hospital admissions", US_national_yearly!$D:$AM, 14, FALSE) / VLOOKUP("LULUCF|SO2|Respiratory hospital admissions", US_national_yearly!$D:$AM, 10, FALSE), 1)</f>
        <v>1.397525087863311E-6</v>
      </c>
      <c r="G12" s="7">
        <f>$B12 * IFERROR(VLOOKUP("LULUCF|SO2|Respiratory hospital admissions", US_national_yearly!$D:$AM, 15, FALSE) / VLOOKUP("LULUCF|SO2|Respiratory hospital admissions", US_national_yearly!$D:$AM, 10, FALSE), 1)</f>
        <v>1.4063038800875816E-6</v>
      </c>
      <c r="H12" s="7">
        <f>$B12 * IFERROR(VLOOKUP("LULUCF|SO2|Respiratory hospital admissions", US_national_yearly!$D:$AM, 16, FALSE) / VLOOKUP("LULUCF|SO2|Respiratory hospital admissions", US_national_yearly!$D:$AM, 10, FALSE), 1)</f>
        <v>1.4150826723118522E-6</v>
      </c>
      <c r="I12" s="7">
        <f>$B12 * IFERROR(VLOOKUP("LULUCF|SO2|Respiratory hospital admissions", US_national_yearly!$D:$AM, 17, FALSE) / VLOOKUP("LULUCF|SO2|Respiratory hospital admissions", US_national_yearly!$D:$AM, 10, FALSE), 1)</f>
        <v>1.4237396066842458E-6</v>
      </c>
      <c r="J12" s="7">
        <f>$B12 * IFERROR(VLOOKUP("LULUCF|SO2|Respiratory hospital admissions", US_national_yearly!$D:$AM, 18, FALSE) / VLOOKUP("LULUCF|SO2|Respiratory hospital admissions", US_national_yearly!$D:$AM, 10, FALSE), 1)</f>
        <v>1.4323965410566397E-6</v>
      </c>
      <c r="K12" s="7">
        <f>$B12 * IFERROR(VLOOKUP("LULUCF|SO2|Respiratory hospital admissions", US_national_yearly!$D:$AM, 19, FALSE) / VLOOKUP("LULUCF|SO2|Respiratory hospital admissions", US_national_yearly!$D:$AM, 10, FALSE), 1)</f>
        <v>1.4410534754290332E-6</v>
      </c>
      <c r="L12" s="7">
        <f>$B12 * IFERROR(VLOOKUP("LULUCF|SO2|Respiratory hospital admissions", US_national_yearly!$D:$AM, 20, FALSE) / VLOOKUP("LULUCF|SO2|Respiratory hospital admissions", US_national_yearly!$D:$AM, 10, FALSE), 1)</f>
        <v>1.4497104098014272E-6</v>
      </c>
      <c r="M12" s="7">
        <f>$B12 * IFERROR(VLOOKUP("LULUCF|SO2|Respiratory hospital admissions", US_national_yearly!$D:$AM, 21, FALSE) / VLOOKUP("LULUCF|SO2|Respiratory hospital admissions", US_national_yearly!$D:$AM, 10, FALSE), 1)</f>
        <v>1.4583673441738207E-6</v>
      </c>
      <c r="N12" s="7">
        <f>$B12 * IFERROR(VLOOKUP("LULUCF|SO2|Respiratory hospital admissions", US_national_yearly!$D:$AM, 22, FALSE) / VLOOKUP("LULUCF|SO2|Respiratory hospital admissions", US_national_yearly!$D:$AM, 10, FALSE), 1)</f>
        <v>1.464686639038244E-6</v>
      </c>
      <c r="O12" s="7">
        <f>$B12 * IFERROR(VLOOKUP("LULUCF|SO2|Respiratory hospital admissions", US_national_yearly!$D:$AM, 23, FALSE) / VLOOKUP("LULUCF|SO2|Respiratory hospital admissions", US_national_yearly!$D:$AM, 10, FALSE), 1)</f>
        <v>1.4710059339026669E-6</v>
      </c>
      <c r="P12" s="7">
        <f>$B12 * IFERROR(VLOOKUP("LULUCF|SO2|Respiratory hospital admissions", US_national_yearly!$D:$AM, 24, FALSE) / VLOOKUP("LULUCF|SO2|Respiratory hospital admissions", US_national_yearly!$D:$AM, 10, FALSE), 1)</f>
        <v>1.47732522876709E-6</v>
      </c>
      <c r="Q12" s="7">
        <f>$B12 * IFERROR(VLOOKUP("LULUCF|SO2|Respiratory hospital admissions", US_national_yearly!$D:$AM, 25, FALSE) / VLOOKUP("LULUCF|SO2|Respiratory hospital admissions", US_national_yearly!$D:$AM, 10, FALSE), 1)</f>
        <v>1.4836445236315134E-6</v>
      </c>
      <c r="R12" s="7">
        <f>$B12 * IFERROR(VLOOKUP("LULUCF|SO2|Respiratory hospital admissions", US_national_yearly!$D:$AM, 26, FALSE) / VLOOKUP("LULUCF|SO2|Respiratory hospital admissions", US_national_yearly!$D:$AM, 10, FALSE), 1)</f>
        <v>1.4899638184959365E-6</v>
      </c>
      <c r="S12" s="7">
        <f>$B12 * IFERROR(VLOOKUP("LULUCF|SO2|Respiratory hospital admissions", US_national_yearly!$D:$AM, 27, FALSE) / VLOOKUP("LULUCF|SO2|Respiratory hospital admissions", US_national_yearly!$D:$AM, 10, FALSE), 1)</f>
        <v>1.495991943620792E-6</v>
      </c>
      <c r="T12" s="7">
        <f>$B12 * IFERROR(VLOOKUP("LULUCF|SO2|Respiratory hospital admissions", US_national_yearly!$D:$AM, 28, FALSE) / VLOOKUP("LULUCF|SO2|Respiratory hospital admissions", US_national_yearly!$D:$AM, 10, FALSE), 1)</f>
        <v>1.5020200687456475E-6</v>
      </c>
      <c r="U12" s="7">
        <f>$B12 * IFERROR(VLOOKUP("LULUCF|SO2|Respiratory hospital admissions", US_national_yearly!$D:$AM, 29, FALSE) / VLOOKUP("LULUCF|SO2|Respiratory hospital admissions", US_national_yearly!$D:$AM, 10, FALSE), 1)</f>
        <v>1.508048193870503E-6</v>
      </c>
      <c r="V12" s="7">
        <f>$B12 * IFERROR(VLOOKUP("LULUCF|SO2|Respiratory hospital admissions", US_national_yearly!$D:$AM, 30, FALSE) / VLOOKUP("LULUCF|SO2|Respiratory hospital admissions", US_national_yearly!$D:$AM, 10, FALSE), 1)</f>
        <v>1.5140763189953587E-6</v>
      </c>
      <c r="W12" s="7">
        <f>$B12 * IFERROR(VLOOKUP("LULUCF|SO2|Respiratory hospital admissions", US_national_yearly!$D:$AM, 31, FALSE) / VLOOKUP("LULUCF|SO2|Respiratory hospital admissions", US_national_yearly!$D:$AM, 10, FALSE), 1)</f>
        <v>1.5201044441202144E-6</v>
      </c>
      <c r="X12" s="7">
        <f>$B12 * IFERROR(VLOOKUP("LULUCF|SO2|Respiratory hospital admissions", US_national_yearly!$D:$AM, 32, FALSE) / VLOOKUP("LULUCF|SO2|Respiratory hospital admissions", US_national_yearly!$D:$AM, 10, FALSE), 1)</f>
        <v>1.5258241451631723E-6</v>
      </c>
      <c r="Y12" s="7">
        <f>$B12 * IFERROR(VLOOKUP("LULUCF|SO2|Respiratory hospital admissions", US_national_yearly!$D:$AM, 33, FALSE) / VLOOKUP("LULUCF|SO2|Respiratory hospital admissions", US_national_yearly!$D:$AM, 10, FALSE), 1)</f>
        <v>1.5315438462061302E-6</v>
      </c>
      <c r="Z12" s="7">
        <f>$B12 * IFERROR(VLOOKUP("LULUCF|SO2|Respiratory hospital admissions", US_national_yearly!$D:$AM, 34, FALSE) / VLOOKUP("LULUCF|SO2|Respiratory hospital admissions", US_national_yearly!$D:$AM, 10, FALSE), 1)</f>
        <v>1.5372635472490881E-6</v>
      </c>
      <c r="AA12" s="7">
        <f>$B12 * IFERROR(VLOOKUP("LULUCF|SO2|Respiratory hospital admissions", US_national_yearly!$D:$AM, 35, FALSE) / VLOOKUP("LULUCF|SO2|Respiratory hospital admissions", US_national_yearly!$D:$AM, 10, FALSE), 1)</f>
        <v>1.542983248292046E-6</v>
      </c>
      <c r="AB12" s="7">
        <f>$B12 * IFERROR(VLOOKUP("LULUCF|SO2|Respiratory hospital admissions", US_national_yearly!$D:$AM, 36, FALSE) / VLOOKUP("LULUCF|SO2|Respiratory hospital admissions", US_national_yearly!$D:$AM, 10, FALSE), 1)</f>
        <v>1.5487029493350044E-6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1.4412083892358025E-5</v>
      </c>
      <c r="C13" s="7">
        <f>$B13 * IFERROR(VLOOKUP("LULUCF|SO2|Non-fatal heart attacks", US_national_yearly!$D:$AM, 11, FALSE) / VLOOKUP("LULUCF|SO2|Non-fatal heart attacks", US_national_yearly!$D:$AM, 10, FALSE), 1)</f>
        <v>1.4835170327878703E-5</v>
      </c>
      <c r="D13" s="7">
        <f>$B13 * IFERROR(VLOOKUP("LULUCF|SO2|Non-fatal heart attacks", US_national_yearly!$D:$AM, 12, FALSE) / VLOOKUP("LULUCF|SO2|Non-fatal heart attacks", US_national_yearly!$D:$AM, 10, FALSE), 1)</f>
        <v>1.5258256763399379E-5</v>
      </c>
      <c r="E13" s="7">
        <f>$B13 * IFERROR(VLOOKUP("LULUCF|SO2|Non-fatal heart attacks", US_national_yearly!$D:$AM, 13, FALSE) / VLOOKUP("LULUCF|SO2|Non-fatal heart attacks", US_national_yearly!$D:$AM, 10, FALSE), 1)</f>
        <v>1.5681343198920056E-5</v>
      </c>
      <c r="F13" s="7">
        <f>$B13 * IFERROR(VLOOKUP("LULUCF|SO2|Non-fatal heart attacks", US_national_yearly!$D:$AM, 14, FALSE) / VLOOKUP("LULUCF|SO2|Non-fatal heart attacks", US_national_yearly!$D:$AM, 10, FALSE), 1)</f>
        <v>1.6104429634440732E-5</v>
      </c>
      <c r="G13" s="7">
        <f>$B13 * IFERROR(VLOOKUP("LULUCF|SO2|Non-fatal heart attacks", US_national_yearly!$D:$AM, 15, FALSE) / VLOOKUP("LULUCF|SO2|Non-fatal heart attacks", US_national_yearly!$D:$AM, 10, FALSE), 1)</f>
        <v>1.6503439386801016E-5</v>
      </c>
      <c r="H13" s="7">
        <f>$B13 * IFERROR(VLOOKUP("LULUCF|SO2|Non-fatal heart attacks", US_national_yearly!$D:$AM, 16, FALSE) / VLOOKUP("LULUCF|SO2|Non-fatal heart attacks", US_national_yearly!$D:$AM, 10, FALSE), 1)</f>
        <v>1.6902449139161299E-5</v>
      </c>
      <c r="I13" s="7">
        <f>$B13 * IFERROR(VLOOKUP("LULUCF|SO2|Non-fatal heart attacks", US_national_yearly!$D:$AM, 17, FALSE) / VLOOKUP("LULUCF|SO2|Non-fatal heart attacks", US_national_yearly!$D:$AM, 10, FALSE), 1)</f>
        <v>1.7223526906038966E-5</v>
      </c>
      <c r="J13" s="7">
        <f>$B13 * IFERROR(VLOOKUP("LULUCF|SO2|Non-fatal heart attacks", US_national_yearly!$D:$AM, 18, FALSE) / VLOOKUP("LULUCF|SO2|Non-fatal heart attacks", US_national_yearly!$D:$AM, 10, FALSE), 1)</f>
        <v>1.7544604672916633E-5</v>
      </c>
      <c r="K13" s="7">
        <f>$B13 * IFERROR(VLOOKUP("LULUCF|SO2|Non-fatal heart attacks", US_national_yearly!$D:$AM, 19, FALSE) / VLOOKUP("LULUCF|SO2|Non-fatal heart attacks", US_national_yearly!$D:$AM, 10, FALSE), 1)</f>
        <v>1.78656824397943E-5</v>
      </c>
      <c r="L13" s="7">
        <f>$B13 * IFERROR(VLOOKUP("LULUCF|SO2|Non-fatal heart attacks", US_national_yearly!$D:$AM, 20, FALSE) / VLOOKUP("LULUCF|SO2|Non-fatal heart attacks", US_national_yearly!$D:$AM, 10, FALSE), 1)</f>
        <v>1.8186760206671974E-5</v>
      </c>
      <c r="M13" s="7">
        <f>$B13 * IFERROR(VLOOKUP("LULUCF|SO2|Non-fatal heart attacks", US_national_yearly!$D:$AM, 21, FALSE) / VLOOKUP("LULUCF|SO2|Non-fatal heart attacks", US_national_yearly!$D:$AM, 10, FALSE), 1)</f>
        <v>1.8507837973549644E-5</v>
      </c>
      <c r="N13" s="7">
        <f>$B13 * IFERROR(VLOOKUP("LULUCF|SO2|Non-fatal heart attacks", US_national_yearly!$D:$AM, 22, FALSE) / VLOOKUP("LULUCF|SO2|Non-fatal heart attacks", US_national_yearly!$D:$AM, 10, FALSE), 1)</f>
        <v>1.8716317646717399E-5</v>
      </c>
      <c r="O13" s="7">
        <f>$B13 * IFERROR(VLOOKUP("LULUCF|SO2|Non-fatal heart attacks", US_national_yearly!$D:$AM, 23, FALSE) / VLOOKUP("LULUCF|SO2|Non-fatal heart attacks", US_national_yearly!$D:$AM, 10, FALSE), 1)</f>
        <v>1.8924797319885161E-5</v>
      </c>
      <c r="P13" s="7">
        <f>$B13 * IFERROR(VLOOKUP("LULUCF|SO2|Non-fatal heart attacks", US_national_yearly!$D:$AM, 24, FALSE) / VLOOKUP("LULUCF|SO2|Non-fatal heart attacks", US_national_yearly!$D:$AM, 10, FALSE), 1)</f>
        <v>1.9133276993052923E-5</v>
      </c>
      <c r="Q13" s="7">
        <f>$B13 * IFERROR(VLOOKUP("LULUCF|SO2|Non-fatal heart attacks", US_national_yearly!$D:$AM, 25, FALSE) / VLOOKUP("LULUCF|SO2|Non-fatal heart attacks", US_national_yearly!$D:$AM, 10, FALSE), 1)</f>
        <v>1.9341756666220681E-5</v>
      </c>
      <c r="R13" s="7">
        <f>$B13 * IFERROR(VLOOKUP("LULUCF|SO2|Non-fatal heart attacks", US_national_yearly!$D:$AM, 26, FALSE) / VLOOKUP("LULUCF|SO2|Non-fatal heart attacks", US_national_yearly!$D:$AM, 10, FALSE), 1)</f>
        <v>1.9550236339388443E-5</v>
      </c>
      <c r="S13" s="7">
        <f>$B13 * IFERROR(VLOOKUP("LULUCF|SO2|Non-fatal heart attacks", US_national_yearly!$D:$AM, 27, FALSE) / VLOOKUP("LULUCF|SO2|Non-fatal heart attacks", US_national_yearly!$D:$AM, 10, FALSE), 1)</f>
        <v>1.9659082404095147E-5</v>
      </c>
      <c r="T13" s="7">
        <f>$B13 * IFERROR(VLOOKUP("LULUCF|SO2|Non-fatal heart attacks", US_national_yearly!$D:$AM, 28, FALSE) / VLOOKUP("LULUCF|SO2|Non-fatal heart attacks", US_national_yearly!$D:$AM, 10, FALSE), 1)</f>
        <v>1.9767928468801854E-5</v>
      </c>
      <c r="U13" s="7">
        <f>$B13 * IFERROR(VLOOKUP("LULUCF|SO2|Non-fatal heart attacks", US_national_yearly!$D:$AM, 29, FALSE) / VLOOKUP("LULUCF|SO2|Non-fatal heart attacks", US_national_yearly!$D:$AM, 10, FALSE), 1)</f>
        <v>1.9876774533508555E-5</v>
      </c>
      <c r="V13" s="7">
        <f>$B13 * IFERROR(VLOOKUP("LULUCF|SO2|Non-fatal heart attacks", US_national_yearly!$D:$AM, 30, FALSE) / VLOOKUP("LULUCF|SO2|Non-fatal heart attacks", US_national_yearly!$D:$AM, 10, FALSE), 1)</f>
        <v>1.9985620598215259E-5</v>
      </c>
      <c r="W13" s="7">
        <f>$B13 * IFERROR(VLOOKUP("LULUCF|SO2|Non-fatal heart attacks", US_national_yearly!$D:$AM, 31, FALSE) / VLOOKUP("LULUCF|SO2|Non-fatal heart attacks", US_national_yearly!$D:$AM, 10, FALSE), 1)</f>
        <v>2.0094466662921967E-5</v>
      </c>
      <c r="X13" s="7">
        <f>$B13 * IFERROR(VLOOKUP("LULUCF|SO2|Non-fatal heart attacks", US_national_yearly!$D:$AM, 32, FALSE) / VLOOKUP("LULUCF|SO2|Non-fatal heart attacks", US_national_yearly!$D:$AM, 10, FALSE), 1)</f>
        <v>2.0176635920591065E-5</v>
      </c>
      <c r="Y13" s="7">
        <f>$B13 * IFERROR(VLOOKUP("LULUCF|SO2|Non-fatal heart attacks", US_national_yearly!$D:$AM, 33, FALSE) / VLOOKUP("LULUCF|SO2|Non-fatal heart attacks", US_national_yearly!$D:$AM, 10, FALSE), 1)</f>
        <v>2.0258805178260161E-5</v>
      </c>
      <c r="Z13" s="7">
        <f>$B13 * IFERROR(VLOOKUP("LULUCF|SO2|Non-fatal heart attacks", US_national_yearly!$D:$AM, 34, FALSE) / VLOOKUP("LULUCF|SO2|Non-fatal heart attacks", US_national_yearly!$D:$AM, 10, FALSE), 1)</f>
        <v>2.0340974435929256E-5</v>
      </c>
      <c r="AA13" s="7">
        <f>$B13 * IFERROR(VLOOKUP("LULUCF|SO2|Non-fatal heart attacks", US_national_yearly!$D:$AM, 35, FALSE) / VLOOKUP("LULUCF|SO2|Non-fatal heart attacks", US_national_yearly!$D:$AM, 10, FALSE), 1)</f>
        <v>2.0423143693598352E-5</v>
      </c>
      <c r="AB13" s="7">
        <f>$B13 * IFERROR(VLOOKUP("LULUCF|SO2|Non-fatal heart attacks", US_national_yearly!$D:$AM, 36, FALSE) / VLOOKUP("LULUCF|SO2|Non-fatal heart attacks", US_national_yearly!$D:$AM, 10, FALSE), 1)</f>
        <v>2.0505312951267447E-5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6.8689927836716163E-3</v>
      </c>
      <c r="C14" s="7">
        <f>$B14 * IFERROR(VLOOKUP("LULUCF|SO2|Minor restricted activity days", US_national_yearly!$D:$AM, 11, FALSE) / VLOOKUP("LULUCF|SO2|Minor restricted activity days", US_national_yearly!$D:$AM, 10, FALSE), 1)</f>
        <v>6.8863072257835944E-3</v>
      </c>
      <c r="D14" s="7">
        <f>$B14 * IFERROR(VLOOKUP("LULUCF|SO2|Minor restricted activity days", US_national_yearly!$D:$AM, 12, FALSE) / VLOOKUP("LULUCF|SO2|Minor restricted activity days", US_national_yearly!$D:$AM, 10, FALSE), 1)</f>
        <v>6.9036216678955709E-3</v>
      </c>
      <c r="E14" s="7">
        <f>$B14 * IFERROR(VLOOKUP("LULUCF|SO2|Minor restricted activity days", US_national_yearly!$D:$AM, 13, FALSE) / VLOOKUP("LULUCF|SO2|Minor restricted activity days", US_national_yearly!$D:$AM, 10, FALSE), 1)</f>
        <v>6.920936110007549E-3</v>
      </c>
      <c r="F14" s="7">
        <f>$B14 * IFERROR(VLOOKUP("LULUCF|SO2|Minor restricted activity days", US_national_yearly!$D:$AM, 14, FALSE) / VLOOKUP("LULUCF|SO2|Minor restricted activity days", US_national_yearly!$D:$AM, 10, FALSE), 1)</f>
        <v>6.9382505521195254E-3</v>
      </c>
      <c r="G14" s="7">
        <f>$B14 * IFERROR(VLOOKUP("LULUCF|SO2|Minor restricted activity days", US_national_yearly!$D:$AM, 15, FALSE) / VLOOKUP("LULUCF|SO2|Minor restricted activity days", US_national_yearly!$D:$AM, 10, FALSE), 1)</f>
        <v>6.9637357099280647E-3</v>
      </c>
      <c r="H14" s="7">
        <f>$B14 * IFERROR(VLOOKUP("LULUCF|SO2|Minor restricted activity days", US_national_yearly!$D:$AM, 16, FALSE) / VLOOKUP("LULUCF|SO2|Minor restricted activity days", US_national_yearly!$D:$AM, 10, FALSE), 1)</f>
        <v>6.9892208677366039E-3</v>
      </c>
      <c r="I14" s="7">
        <f>$B14 * IFERROR(VLOOKUP("LULUCF|SO2|Minor restricted activity days", US_national_yearly!$D:$AM, 17, FALSE) / VLOOKUP("LULUCF|SO2|Minor restricted activity days", US_national_yearly!$D:$AM, 10, FALSE), 1)</f>
        <v>7.032683428884039E-3</v>
      </c>
      <c r="J14" s="7">
        <f>$B14 * IFERROR(VLOOKUP("LULUCF|SO2|Minor restricted activity days", US_national_yearly!$D:$AM, 18, FALSE) / VLOOKUP("LULUCF|SO2|Minor restricted activity days", US_national_yearly!$D:$AM, 10, FALSE), 1)</f>
        <v>7.0761459900314742E-3</v>
      </c>
      <c r="K14" s="7">
        <f>$B14 * IFERROR(VLOOKUP("LULUCF|SO2|Minor restricted activity days", US_national_yearly!$D:$AM, 19, FALSE) / VLOOKUP("LULUCF|SO2|Minor restricted activity days", US_national_yearly!$D:$AM, 10, FALSE), 1)</f>
        <v>7.119608551178911E-3</v>
      </c>
      <c r="L14" s="7">
        <f>$B14 * IFERROR(VLOOKUP("LULUCF|SO2|Minor restricted activity days", US_national_yearly!$D:$AM, 20, FALSE) / VLOOKUP("LULUCF|SO2|Minor restricted activity days", US_national_yearly!$D:$AM, 10, FALSE), 1)</f>
        <v>7.1630711123263462E-3</v>
      </c>
      <c r="M14" s="7">
        <f>$B14 * IFERROR(VLOOKUP("LULUCF|SO2|Minor restricted activity days", US_national_yearly!$D:$AM, 21, FALSE) / VLOOKUP("LULUCF|SO2|Minor restricted activity days", US_national_yearly!$D:$AM, 10, FALSE), 1)</f>
        <v>7.2065336734737813E-3</v>
      </c>
      <c r="N14" s="7">
        <f>$B14 * IFERROR(VLOOKUP("LULUCF|SO2|Minor restricted activity days", US_national_yearly!$D:$AM, 22, FALSE) / VLOOKUP("LULUCF|SO2|Minor restricted activity days", US_national_yearly!$D:$AM, 10, FALSE), 1)</f>
        <v>7.2659834831653126E-3</v>
      </c>
      <c r="O14" s="7">
        <f>$B14 * IFERROR(VLOOKUP("LULUCF|SO2|Minor restricted activity days", US_national_yearly!$D:$AM, 23, FALSE) / VLOOKUP("LULUCF|SO2|Minor restricted activity days", US_national_yearly!$D:$AM, 10, FALSE), 1)</f>
        <v>7.3254332928568439E-3</v>
      </c>
      <c r="P14" s="7">
        <f>$B14 * IFERROR(VLOOKUP("LULUCF|SO2|Minor restricted activity days", US_national_yearly!$D:$AM, 24, FALSE) / VLOOKUP("LULUCF|SO2|Minor restricted activity days", US_national_yearly!$D:$AM, 10, FALSE), 1)</f>
        <v>7.3848831025483744E-3</v>
      </c>
      <c r="Q14" s="7">
        <f>$B14 * IFERROR(VLOOKUP("LULUCF|SO2|Minor restricted activity days", US_national_yearly!$D:$AM, 25, FALSE) / VLOOKUP("LULUCF|SO2|Minor restricted activity days", US_national_yearly!$D:$AM, 10, FALSE), 1)</f>
        <v>7.4443329122399057E-3</v>
      </c>
      <c r="R14" s="7">
        <f>$B14 * IFERROR(VLOOKUP("LULUCF|SO2|Minor restricted activity days", US_national_yearly!$D:$AM, 26, FALSE) / VLOOKUP("LULUCF|SO2|Minor restricted activity days", US_national_yearly!$D:$AM, 10, FALSE), 1)</f>
        <v>7.503782721931437E-3</v>
      </c>
      <c r="S14" s="7">
        <f>$B14 * IFERROR(VLOOKUP("LULUCF|SO2|Minor restricted activity days", US_national_yearly!$D:$AM, 27, FALSE) / VLOOKUP("LULUCF|SO2|Minor restricted activity days", US_national_yearly!$D:$AM, 10, FALSE), 1)</f>
        <v>7.5643976214981607E-3</v>
      </c>
      <c r="T14" s="7">
        <f>$B14 * IFERROR(VLOOKUP("LULUCF|SO2|Minor restricted activity days", US_national_yearly!$D:$AM, 28, FALSE) / VLOOKUP("LULUCF|SO2|Minor restricted activity days", US_national_yearly!$D:$AM, 10, FALSE), 1)</f>
        <v>7.6250125210648844E-3</v>
      </c>
      <c r="U14" s="7">
        <f>$B14 * IFERROR(VLOOKUP("LULUCF|SO2|Minor restricted activity days", US_national_yearly!$D:$AM, 29, FALSE) / VLOOKUP("LULUCF|SO2|Minor restricted activity days", US_national_yearly!$D:$AM, 10, FALSE), 1)</f>
        <v>7.685627420631609E-3</v>
      </c>
      <c r="V14" s="7">
        <f>$B14 * IFERROR(VLOOKUP("LULUCF|SO2|Minor restricted activity days", US_national_yearly!$D:$AM, 30, FALSE) / VLOOKUP("LULUCF|SO2|Minor restricted activity days", US_national_yearly!$D:$AM, 10, FALSE), 1)</f>
        <v>7.7462423201983327E-3</v>
      </c>
      <c r="W14" s="7">
        <f>$B14 * IFERROR(VLOOKUP("LULUCF|SO2|Minor restricted activity days", US_national_yearly!$D:$AM, 31, FALSE) / VLOOKUP("LULUCF|SO2|Minor restricted activity days", US_national_yearly!$D:$AM, 10, FALSE), 1)</f>
        <v>7.8068572197650581E-3</v>
      </c>
      <c r="X14" s="7">
        <f>$B14 * IFERROR(VLOOKUP("LULUCF|SO2|Minor restricted activity days", US_national_yearly!$D:$AM, 32, FALSE) / VLOOKUP("LULUCF|SO2|Minor restricted activity days", US_national_yearly!$D:$AM, 10, FALSE), 1)</f>
        <v>7.8601631936043876E-3</v>
      </c>
      <c r="Y14" s="7">
        <f>$B14 * IFERROR(VLOOKUP("LULUCF|SO2|Minor restricted activity days", US_national_yearly!$D:$AM, 33, FALSE) / VLOOKUP("LULUCF|SO2|Minor restricted activity days", US_national_yearly!$D:$AM, 10, FALSE), 1)</f>
        <v>7.913469167443718E-3</v>
      </c>
      <c r="Z14" s="7">
        <f>$B14 * IFERROR(VLOOKUP("LULUCF|SO2|Minor restricted activity days", US_national_yearly!$D:$AM, 34, FALSE) / VLOOKUP("LULUCF|SO2|Minor restricted activity days", US_national_yearly!$D:$AM, 10, FALSE), 1)</f>
        <v>7.9667751412830501E-3</v>
      </c>
      <c r="AA14" s="7">
        <f>$B14 * IFERROR(VLOOKUP("LULUCF|SO2|Minor restricted activity days", US_national_yearly!$D:$AM, 35, FALSE) / VLOOKUP("LULUCF|SO2|Minor restricted activity days", US_national_yearly!$D:$AM, 10, FALSE), 1)</f>
        <v>8.0200811151223805E-3</v>
      </c>
      <c r="AB14" s="7">
        <f>$B14 * IFERROR(VLOOKUP("LULUCF|SO2|Minor restricted activity days", US_national_yearly!$D:$AM, 36, FALSE) / VLOOKUP("LULUCF|SO2|Minor restricted activity days", US_national_yearly!$D:$AM, 10, FALSE), 1)</f>
        <v>8.0733870889617126E-3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1.1700589266991882E-3</v>
      </c>
      <c r="C15" s="7">
        <f>$B15 * IFERROR(VLOOKUP("LULUCF|SO2|Work loss days", US_national_yearly!$D:$AM, 11, FALSE) / VLOOKUP("LULUCF|SO2|Work loss days", US_national_yearly!$D:$AM, 10, FALSE), 1)</f>
        <v>1.1738497316572765E-3</v>
      </c>
      <c r="D15" s="7">
        <f>$B15 * IFERROR(VLOOKUP("LULUCF|SO2|Work loss days", US_national_yearly!$D:$AM, 12, FALSE) / VLOOKUP("LULUCF|SO2|Work loss days", US_national_yearly!$D:$AM, 10, FALSE), 1)</f>
        <v>1.177640536615365E-3</v>
      </c>
      <c r="E15" s="7">
        <f>$B15 * IFERROR(VLOOKUP("LULUCF|SO2|Work loss days", US_national_yearly!$D:$AM, 13, FALSE) / VLOOKUP("LULUCF|SO2|Work loss days", US_national_yearly!$D:$AM, 10, FALSE), 1)</f>
        <v>1.1814313415734533E-3</v>
      </c>
      <c r="F15" s="7">
        <f>$B15 * IFERROR(VLOOKUP("LULUCF|SO2|Work loss days", US_national_yearly!$D:$AM, 14, FALSE) / VLOOKUP("LULUCF|SO2|Work loss days", US_national_yearly!$D:$AM, 10, FALSE), 1)</f>
        <v>1.1852221465315418E-3</v>
      </c>
      <c r="G15" s="7">
        <f>$B15 * IFERROR(VLOOKUP("LULUCF|SO2|Work loss days", US_national_yearly!$D:$AM, 15, FALSE) / VLOOKUP("LULUCF|SO2|Work loss days", US_national_yearly!$D:$AM, 10, FALSE), 1)</f>
        <v>1.1901752970439172E-3</v>
      </c>
      <c r="H15" s="7">
        <f>$B15 * IFERROR(VLOOKUP("LULUCF|SO2|Work loss days", US_national_yearly!$D:$AM, 16, FALSE) / VLOOKUP("LULUCF|SO2|Work loss days", US_national_yearly!$D:$AM, 10, FALSE), 1)</f>
        <v>1.1951284475562923E-3</v>
      </c>
      <c r="I15" s="7">
        <f>$B15 * IFERROR(VLOOKUP("LULUCF|SO2|Work loss days", US_national_yearly!$D:$AM, 17, FALSE) / VLOOKUP("LULUCF|SO2|Work loss days", US_national_yearly!$D:$AM, 10, FALSE), 1)</f>
        <v>1.2023742418434107E-3</v>
      </c>
      <c r="J15" s="7">
        <f>$B15 * IFERROR(VLOOKUP("LULUCF|SO2|Work loss days", US_national_yearly!$D:$AM, 18, FALSE) / VLOOKUP("LULUCF|SO2|Work loss days", US_national_yearly!$D:$AM, 10, FALSE), 1)</f>
        <v>1.2096200361305291E-3</v>
      </c>
      <c r="K15" s="7">
        <f>$B15 * IFERROR(VLOOKUP("LULUCF|SO2|Work loss days", US_national_yearly!$D:$AM, 19, FALSE) / VLOOKUP("LULUCF|SO2|Work loss days", US_national_yearly!$D:$AM, 10, FALSE), 1)</f>
        <v>1.2168658304176478E-3</v>
      </c>
      <c r="L15" s="7">
        <f>$B15 * IFERROR(VLOOKUP("LULUCF|SO2|Work loss days", US_national_yearly!$D:$AM, 20, FALSE) / VLOOKUP("LULUCF|SO2|Work loss days", US_national_yearly!$D:$AM, 10, FALSE), 1)</f>
        <v>1.2241116247047662E-3</v>
      </c>
      <c r="M15" s="7">
        <f>$B15 * IFERROR(VLOOKUP("LULUCF|SO2|Work loss days", US_national_yearly!$D:$AM, 21, FALSE) / VLOOKUP("LULUCF|SO2|Work loss days", US_national_yearly!$D:$AM, 10, FALSE), 1)</f>
        <v>1.2313574189918848E-3</v>
      </c>
      <c r="N15" s="7">
        <f>$B15 * IFERROR(VLOOKUP("LULUCF|SO2|Work loss days", US_national_yearly!$D:$AM, 22, FALSE) / VLOOKUP("LULUCF|SO2|Work loss days", US_national_yearly!$D:$AM, 10, FALSE), 1)</f>
        <v>1.240442470842778E-3</v>
      </c>
      <c r="O15" s="7">
        <f>$B15 * IFERROR(VLOOKUP("LULUCF|SO2|Work loss days", US_national_yearly!$D:$AM, 23, FALSE) / VLOOKUP("LULUCF|SO2|Work loss days", US_national_yearly!$D:$AM, 10, FALSE), 1)</f>
        <v>1.2495275226936714E-3</v>
      </c>
      <c r="P15" s="7">
        <f>$B15 * IFERROR(VLOOKUP("LULUCF|SO2|Work loss days", US_national_yearly!$D:$AM, 24, FALSE) / VLOOKUP("LULUCF|SO2|Work loss days", US_national_yearly!$D:$AM, 10, FALSE), 1)</f>
        <v>1.2586125745445644E-3</v>
      </c>
      <c r="Q15" s="7">
        <f>$B15 * IFERROR(VLOOKUP("LULUCF|SO2|Work loss days", US_national_yearly!$D:$AM, 25, FALSE) / VLOOKUP("LULUCF|SO2|Work loss days", US_national_yearly!$D:$AM, 10, FALSE), 1)</f>
        <v>1.2676976263954576E-3</v>
      </c>
      <c r="R15" s="7">
        <f>$B15 * IFERROR(VLOOKUP("LULUCF|SO2|Work loss days", US_national_yearly!$D:$AM, 26, FALSE) / VLOOKUP("LULUCF|SO2|Work loss days", US_national_yearly!$D:$AM, 10, FALSE), 1)</f>
        <v>1.2767826782463508E-3</v>
      </c>
      <c r="S15" s="7">
        <f>$B15 * IFERROR(VLOOKUP("LULUCF|SO2|Work loss days", US_national_yearly!$D:$AM, 27, FALSE) / VLOOKUP("LULUCF|SO2|Work loss days", US_national_yearly!$D:$AM, 10, FALSE), 1)</f>
        <v>1.2869351937366907E-3</v>
      </c>
      <c r="T15" s="7">
        <f>$B15 * IFERROR(VLOOKUP("LULUCF|SO2|Work loss days", US_national_yearly!$D:$AM, 28, FALSE) / VLOOKUP("LULUCF|SO2|Work loss days", US_national_yearly!$D:$AM, 10, FALSE), 1)</f>
        <v>1.2970877092270308E-3</v>
      </c>
      <c r="U15" s="7">
        <f>$B15 * IFERROR(VLOOKUP("LULUCF|SO2|Work loss days", US_national_yearly!$D:$AM, 29, FALSE) / VLOOKUP("LULUCF|SO2|Work loss days", US_national_yearly!$D:$AM, 10, FALSE), 1)</f>
        <v>1.3072402247173705E-3</v>
      </c>
      <c r="V15" s="7">
        <f>$B15 * IFERROR(VLOOKUP("LULUCF|SO2|Work loss days", US_national_yearly!$D:$AM, 30, FALSE) / VLOOKUP("LULUCF|SO2|Work loss days", US_national_yearly!$D:$AM, 10, FALSE), 1)</f>
        <v>1.3173927402077101E-3</v>
      </c>
      <c r="W15" s="7">
        <f>$B15 * IFERROR(VLOOKUP("LULUCF|SO2|Work loss days", US_national_yearly!$D:$AM, 31, FALSE) / VLOOKUP("LULUCF|SO2|Work loss days", US_national_yearly!$D:$AM, 10, FALSE), 1)</f>
        <v>1.3275452556980503E-3</v>
      </c>
      <c r="X15" s="7">
        <f>$B15 * IFERROR(VLOOKUP("LULUCF|SO2|Work loss days", US_national_yearly!$D:$AM, 32, FALSE) / VLOOKUP("LULUCF|SO2|Work loss days", US_national_yearly!$D:$AM, 10, FALSE), 1)</f>
        <v>1.3366608152200025E-3</v>
      </c>
      <c r="Y15" s="7">
        <f>$B15 * IFERROR(VLOOKUP("LULUCF|SO2|Work loss days", US_national_yearly!$D:$AM, 33, FALSE) / VLOOKUP("LULUCF|SO2|Work loss days", US_national_yearly!$D:$AM, 10, FALSE), 1)</f>
        <v>1.3457763747419553E-3</v>
      </c>
      <c r="Z15" s="7">
        <f>$B15 * IFERROR(VLOOKUP("LULUCF|SO2|Work loss days", US_national_yearly!$D:$AM, 34, FALSE) / VLOOKUP("LULUCF|SO2|Work loss days", US_national_yearly!$D:$AM, 10, FALSE), 1)</f>
        <v>1.354891934263908E-3</v>
      </c>
      <c r="AA15" s="7">
        <f>$B15 * IFERROR(VLOOKUP("LULUCF|SO2|Work loss days", US_national_yearly!$D:$AM, 35, FALSE) / VLOOKUP("LULUCF|SO2|Work loss days", US_national_yearly!$D:$AM, 10, FALSE), 1)</f>
        <v>1.3640074937858605E-3</v>
      </c>
      <c r="AB15" s="7">
        <f>$B15 * IFERROR(VLOOKUP("LULUCF|SO2|Work loss days", US_national_yearly!$D:$AM, 36, FALSE) / VLOOKUP("LULUCF|SO2|Work loss days", US_national_yearly!$D:$AM, 10, FALSE), 1)</f>
        <v>1.3731230533078132E-3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2.128683339093597E-6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2.1930628748941102E-6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2.2574424106946234E-6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2.3218219464951366E-6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2.3862014822956507E-6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2.4478709560555154E-6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2.5095404298153809E-6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2.5623791341348389E-6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2.6152178384542969E-6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2.6680565427737549E-6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2.7208952470932129E-6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2.7737339514126705E-6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2.8092295245989612E-6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2.8447250977852516E-6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2.8802206709715419E-6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2.9157162441578322E-6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2.951211817344123E-6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2.9698799615529403E-6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2.9885481057617577E-6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3.007216249970575E-6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3.0258843941793923E-6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3.0445525383882096E-6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3.0570850807172874E-6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3.0696176230463656E-6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3.0821501653754434E-6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3.0946827077045216E-6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3.107215250033599E-6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2026-06-15T17:16:10Z</dcterms:modified>
</cp:coreProperties>
</file>