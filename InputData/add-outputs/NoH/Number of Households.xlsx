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D\add-outputs\NoH\"/>
    </mc:Choice>
  </mc:AlternateContent>
  <xr:revisionPtr revIDLastSave="0" documentId="8_{71138D69-EA61-4AC0-9975-E828D9DC9ACC}"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D2" i="3"/>
  <c r="Z2" i="3"/>
  <c r="E2" i="3"/>
  <c r="AA2" i="3"/>
  <c r="F2" i="3"/>
  <c r="AB2" i="3"/>
  <c r="G2" i="3"/>
  <c r="AC2" i="3"/>
  <c r="R2" i="3"/>
  <c r="H2" i="3"/>
  <c r="AD2" i="3"/>
  <c r="B2" i="3"/>
  <c r="Q2" i="3"/>
  <c r="I2" i="3"/>
  <c r="AE2" i="3"/>
  <c r="J2" i="3"/>
  <c r="T2" i="3"/>
  <c r="K2" i="3"/>
  <c r="L2" i="3"/>
  <c r="O2" i="3"/>
  <c r="S2" i="3"/>
  <c r="U2" i="3"/>
  <c r="W2" i="3"/>
  <c r="M2" i="3"/>
  <c r="N2" i="3"/>
  <c r="P2" i="3"/>
  <c r="V2" i="3"/>
  <c r="X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<sst xmlns="http://schemas.openxmlformats.org/spreadsheetml/2006/main" count="1069" uniqueCount="448">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</sst>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392</v>
      </c>
      <c r="C1" s="68">
        <v>46185</v>
      </c>
      <c r="H1" t="s">
        <v>324</v>
      </c>
      <c r="I1" t="s">
        <v>325</v>
      </c>
    </row>
    <row r="2" spans="1:9" x14ac:dyDescent="0.25">
      <c r="B2" t="str">
        <f>VLOOKUP(B1,H2:I52,2)</f>
        <v>ND</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330009.24091266358</v>
      </c>
      <c r="C2">
        <f>SUMIFS('state calcs'!C62:C112,'state calcs'!$A$62:$A$112,About!$B$2)</f>
        <v>337091.5975740776</v>
      </c>
      <c r="D2">
        <f>SUMIFS('state calcs'!D62:D112,'state calcs'!$A$62:$A$112,About!$B$2)</f>
        <v>342208.10307831015</v>
      </c>
      <c r="E2">
        <f>SUMIFS('state calcs'!E62:E112,'state calcs'!$A$62:$A$112,About!$B$2)</f>
        <v>347345.68040083785</v>
      </c>
      <c r="F2">
        <f>SUMIFS('state calcs'!F62:F112,'state calcs'!$A$62:$A$112,About!$B$2)</f>
        <v>352571.35896058287</v>
      </c>
      <c r="G2">
        <f>SUMIFS('state calcs'!G62:G112,'state calcs'!$A$62:$A$112,About!$B$2)</f>
        <v>357803.52002163779</v>
      </c>
      <c r="H2">
        <f>SUMIFS('state calcs'!H62:H112,'state calcs'!$A$62:$A$112,About!$B$2)</f>
        <v>363067.47871326591</v>
      </c>
      <c r="I2">
        <f>SUMIFS('state calcs'!I62:I112,'state calcs'!$A$62:$A$112,About!$B$2)</f>
        <v>368369.97771343385</v>
      </c>
      <c r="J2">
        <f>SUMIFS('state calcs'!J62:J112,'state calcs'!$A$62:$A$112,About!$B$2)</f>
        <v>373661.79137844982</v>
      </c>
      <c r="K2">
        <f>SUMIFS('state calcs'!K62:K112,'state calcs'!$A$62:$A$112,About!$B$2)</f>
        <v>378882.0330945687</v>
      </c>
      <c r="L2">
        <f>SUMIFS('state calcs'!L62:L112,'state calcs'!$A$62:$A$112,About!$B$2)</f>
        <v>385129.63537941768</v>
      </c>
      <c r="M2">
        <f>SUMIFS('state calcs'!M62:M112,'state calcs'!$A$62:$A$112,About!$B$2)</f>
        <v>391382.90230262175</v>
      </c>
      <c r="N2">
        <f>SUMIFS('state calcs'!N62:N112,'state calcs'!$A$62:$A$112,About!$B$2)</f>
        <v>397593.87575739046</v>
      </c>
      <c r="O2">
        <f>SUMIFS('state calcs'!O62:O112,'state calcs'!$A$62:$A$112,About!$B$2)</f>
        <v>403731.32232732279</v>
      </c>
      <c r="P2">
        <f>SUMIFS('state calcs'!P62:P112,'state calcs'!$A$62:$A$112,About!$B$2)</f>
        <v>409851.40493988997</v>
      </c>
      <c r="Q2">
        <f>SUMIFS('state calcs'!Q62:Q112,'state calcs'!$A$62:$A$112,About!$B$2)</f>
        <v>416000.88155949145</v>
      </c>
      <c r="R2">
        <f>SUMIFS('state calcs'!R62:R112,'state calcs'!$A$62:$A$112,About!$B$2)</f>
        <v>422154.71059719869</v>
      </c>
      <c r="S2">
        <f>SUMIFS('state calcs'!S62:S112,'state calcs'!$A$62:$A$112,About!$B$2)</f>
        <v>428319.2740337032</v>
      </c>
      <c r="T2">
        <f>SUMIFS('state calcs'!T62:T112,'state calcs'!$A$62:$A$112,About!$B$2)</f>
        <v>434484.19187145098</v>
      </c>
      <c r="U2">
        <f>SUMIFS('state calcs'!U62:U112,'state calcs'!$A$62:$A$112,About!$B$2)</f>
        <v>440708.33872512152</v>
      </c>
      <c r="V2">
        <f>SUMIFS('state calcs'!V62:V112,'state calcs'!$A$62:$A$112,About!$B$2)</f>
        <v>447280.02474102715</v>
      </c>
      <c r="W2">
        <f>SUMIFS('state calcs'!W62:W112,'state calcs'!$A$62:$A$112,About!$B$2)</f>
        <v>453833.98541782401</v>
      </c>
      <c r="X2">
        <f>SUMIFS('state calcs'!X62:X112,'state calcs'!$A$62:$A$112,About!$B$2)</f>
        <v>460393.55396324745</v>
      </c>
      <c r="Y2">
        <f>SUMIFS('state calcs'!Y62:Y112,'state calcs'!$A$62:$A$112,About!$B$2)</f>
        <v>466960.3479087929</v>
      </c>
      <c r="Z2">
        <f>SUMIFS('state calcs'!Z62:Z112,'state calcs'!$A$62:$A$112,About!$B$2)</f>
        <v>473537.02301200945</v>
      </c>
      <c r="AA2">
        <f>SUMIFS('state calcs'!AA62:AA112,'state calcs'!$A$62:$A$112,About!$B$2)</f>
        <v>480110.96731178527</v>
      </c>
      <c r="AB2">
        <f>SUMIFS('state calcs'!AB62:AB112,'state calcs'!$A$62:$A$112,About!$B$2)</f>
        <v>486701.70956661546</v>
      </c>
      <c r="AC2">
        <f>SUMIFS('state calcs'!AC62:AC112,'state calcs'!$A$62:$A$112,About!$B$2)</f>
        <v>493285.8348792863</v>
      </c>
      <c r="AD2">
        <f>SUMIFS('state calcs'!AD62:AD112,'state calcs'!$A$62:$A$112,About!$B$2)</f>
        <v>499859.01511771674</v>
      </c>
      <c r="AE2">
        <f>SUMIFS('state calcs'!AE62:AE112,'state calcs'!$A$62:$A$112,About!$B$2)</f>
        <v>506430.18294749153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2026-06-12T19:29:14Z</dcterms:modified>
</cp:coreProperties>
</file>