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D\bldgs\BDCL\"/>
    </mc:Choice>
  </mc:AlternateContent>
  <xr:revisionPtr revIDLastSave="0" documentId="8_{E293306B-7139-4C96-B25B-E38EBE5FA238}" xr6:coauthVersionLast="47" xr6:coauthVersionMax="47" xr10:uidLastSave="{00000000-0000-0000-0000-000000000000}"/>
  <bookViews>
    <workbookView xWindow="-98" yWindow="-98" windowWidth="21795" windowHeight="12975" activeTab="4" xr2:uid="{00000000-000D-0000-FFFF-FFFF00000000}"/>
  </bookViews>
  <sheets>
    <sheet name="About" sheetId="1" r:id="rId1"/>
    <sheet name="US-values" sheetId="11" r:id="rId2"/>
    <sheet name="EPRI regional" sheetId="9" r:id="rId3"/>
    <sheet name="calcs" sheetId="10" r:id="rId4"/>
    <sheet name="BDCL-low" sheetId="6" r:id="rId5"/>
    <sheet name="BDCL-mid" sheetId="2" r:id="rId6"/>
    <sheet name="BDCL-high" sheetId="7" r:id="rId7"/>
  </sheets>
  <externalReferences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0" l="1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J10" i="10"/>
  <c r="J11" i="10"/>
  <c r="J9" i="10"/>
  <c r="C6" i="10" l="1"/>
  <c r="B6" i="10"/>
  <c r="C5" i="10"/>
  <c r="B5" i="10"/>
  <c r="C4" i="10"/>
  <c r="B4" i="10"/>
  <c r="B1" i="10"/>
  <c r="B2" i="1"/>
  <c r="C85" i="9"/>
  <c r="E85" i="9"/>
  <c r="G85" i="9"/>
  <c r="I85" i="9"/>
  <c r="K85" i="9"/>
  <c r="C86" i="9"/>
  <c r="E86" i="9"/>
  <c r="G86" i="9"/>
  <c r="I86" i="9"/>
  <c r="K86" i="9"/>
  <c r="I17" i="10" l="1"/>
  <c r="H17" i="10"/>
  <c r="G2" i="2" s="1"/>
  <c r="G17" i="10"/>
  <c r="F2" i="2" s="1"/>
  <c r="F17" i="10"/>
  <c r="E2" i="2" s="1"/>
  <c r="E17" i="10"/>
  <c r="D2" i="2" s="1"/>
  <c r="D17" i="10"/>
  <c r="C2" i="2" s="1"/>
  <c r="B18" i="10"/>
  <c r="C18" i="10" s="1"/>
  <c r="B2" i="7" s="1"/>
  <c r="B17" i="10"/>
  <c r="C17" i="10" s="1"/>
  <c r="B2" i="2" s="1"/>
  <c r="I18" i="10"/>
  <c r="H18" i="10"/>
  <c r="G2" i="7" s="1"/>
  <c r="G18" i="10"/>
  <c r="F2" i="7" s="1"/>
  <c r="E18" i="10"/>
  <c r="D2" i="7" s="1"/>
  <c r="F18" i="10"/>
  <c r="E2" i="7" s="1"/>
  <c r="D18" i="10"/>
  <c r="C2" i="7" s="1"/>
  <c r="I16" i="10"/>
  <c r="F16" i="10"/>
  <c r="E2" i="6" s="1"/>
  <c r="E16" i="10"/>
  <c r="D2" i="6" s="1"/>
  <c r="B16" i="10"/>
  <c r="C16" i="10" s="1"/>
  <c r="B2" i="6" s="1"/>
  <c r="H16" i="10"/>
  <c r="G2" i="6" s="1"/>
  <c r="G16" i="10"/>
  <c r="F2" i="6" s="1"/>
  <c r="D16" i="10"/>
  <c r="C2" i="6" s="1"/>
  <c r="P16" i="10" l="1"/>
  <c r="O2" i="6" s="1"/>
  <c r="U16" i="10"/>
  <c r="T2" i="6" s="1"/>
  <c r="J16" i="10"/>
  <c r="I2" i="6" s="1"/>
  <c r="M16" i="10"/>
  <c r="L2" i="6" s="1"/>
  <c r="Q16" i="10"/>
  <c r="P2" i="6" s="1"/>
  <c r="R16" i="10"/>
  <c r="Q2" i="6" s="1"/>
  <c r="S16" i="10"/>
  <c r="R2" i="6" s="1"/>
  <c r="AB16" i="10"/>
  <c r="AA2" i="6" s="1"/>
  <c r="L16" i="10"/>
  <c r="K2" i="6" s="1"/>
  <c r="T16" i="10"/>
  <c r="S2" i="6" s="1"/>
  <c r="V16" i="10"/>
  <c r="U2" i="6" s="1"/>
  <c r="W16" i="10"/>
  <c r="V2" i="6" s="1"/>
  <c r="Y16" i="10"/>
  <c r="X2" i="6" s="1"/>
  <c r="X16" i="10"/>
  <c r="W2" i="6" s="1"/>
  <c r="AA16" i="10"/>
  <c r="Z2" i="6" s="1"/>
  <c r="Z16" i="10"/>
  <c r="Y2" i="6" s="1"/>
  <c r="H2" i="6"/>
  <c r="AC16" i="10"/>
  <c r="AB2" i="6" s="1"/>
  <c r="K16" i="10"/>
  <c r="J2" i="6" s="1"/>
  <c r="O16" i="10"/>
  <c r="N2" i="6" s="1"/>
  <c r="N16" i="10"/>
  <c r="M2" i="6" s="1"/>
  <c r="V18" i="10"/>
  <c r="U2" i="7" s="1"/>
  <c r="Z18" i="10"/>
  <c r="Y2" i="7" s="1"/>
  <c r="AA18" i="10"/>
  <c r="Z2" i="7" s="1"/>
  <c r="W18" i="10"/>
  <c r="V2" i="7" s="1"/>
  <c r="Y18" i="10"/>
  <c r="X2" i="7" s="1"/>
  <c r="J18" i="10"/>
  <c r="I2" i="7" s="1"/>
  <c r="M18" i="10"/>
  <c r="L2" i="7" s="1"/>
  <c r="R18" i="10"/>
  <c r="Q2" i="7" s="1"/>
  <c r="X18" i="10"/>
  <c r="W2" i="7" s="1"/>
  <c r="AB18" i="10"/>
  <c r="AA2" i="7" s="1"/>
  <c r="AC18" i="10"/>
  <c r="AB2" i="7" s="1"/>
  <c r="H2" i="7"/>
  <c r="L18" i="10"/>
  <c r="K2" i="7" s="1"/>
  <c r="N18" i="10"/>
  <c r="M2" i="7" s="1"/>
  <c r="O18" i="10"/>
  <c r="N2" i="7" s="1"/>
  <c r="K18" i="10"/>
  <c r="J2" i="7" s="1"/>
  <c r="Q18" i="10"/>
  <c r="P2" i="7" s="1"/>
  <c r="U18" i="10"/>
  <c r="T2" i="7" s="1"/>
  <c r="T18" i="10"/>
  <c r="S2" i="7" s="1"/>
  <c r="P18" i="10"/>
  <c r="O2" i="7" s="1"/>
  <c r="S18" i="10"/>
  <c r="R2" i="7" s="1"/>
  <c r="S17" i="10"/>
  <c r="R2" i="2" s="1"/>
  <c r="X17" i="10"/>
  <c r="W2" i="2" s="1"/>
  <c r="AB17" i="10"/>
  <c r="AA2" i="2" s="1"/>
  <c r="AC17" i="10"/>
  <c r="AB2" i="2" s="1"/>
  <c r="T17" i="10"/>
  <c r="S2" i="2" s="1"/>
  <c r="U17" i="10"/>
  <c r="T2" i="2" s="1"/>
  <c r="V17" i="10"/>
  <c r="U2" i="2" s="1"/>
  <c r="L17" i="10"/>
  <c r="K2" i="2" s="1"/>
  <c r="O17" i="10"/>
  <c r="N2" i="2" s="1"/>
  <c r="W17" i="10"/>
  <c r="V2" i="2" s="1"/>
  <c r="K17" i="10"/>
  <c r="J2" i="2" s="1"/>
  <c r="M17" i="10"/>
  <c r="L2" i="2" s="1"/>
  <c r="Y17" i="10"/>
  <c r="X2" i="2" s="1"/>
  <c r="Z17" i="10"/>
  <c r="Y2" i="2" s="1"/>
  <c r="AA17" i="10"/>
  <c r="Z2" i="2" s="1"/>
  <c r="J17" i="10"/>
  <c r="I2" i="2" s="1"/>
  <c r="H2" i="2"/>
  <c r="P17" i="10"/>
  <c r="O2" i="2" s="1"/>
  <c r="N17" i="10"/>
  <c r="M2" i="2" s="1"/>
  <c r="Q17" i="10"/>
  <c r="P2" i="2" s="1"/>
  <c r="R17" i="10"/>
  <c r="Q2" i="2" s="1"/>
</calcChain>
</file>

<file path=xl/sharedStrings.xml><?xml version="1.0" encoding="utf-8"?>
<sst xmlns="http://schemas.openxmlformats.org/spreadsheetml/2006/main" count="214" uniqueCount="147">
  <si>
    <t>Year</t>
  </si>
  <si>
    <t>electricity (MWh)</t>
  </si>
  <si>
    <t>Sources:</t>
  </si>
  <si>
    <t>Notes on Data Center Load in AEO</t>
  </si>
  <si>
    <t>In AEO 2023 and AEO 2025, data center load is captured in both Ventilation and Other Uses (for on-site data centers) and Computing (for standalone data centers).</t>
  </si>
  <si>
    <t>In AEO 2025, the EIA included projections for data center load growth. With this, EIA included additional documentation of how data center electricity demand is classified in Table 5.</t>
  </si>
  <si>
    <t>BDCL BAU Data Center Load</t>
  </si>
  <si>
    <t>Due to uncertainty in electricity demand growth from data centers in the age of AI, we include three different projections for annual data center electricity load.</t>
  </si>
  <si>
    <t>Data Center Load</t>
  </si>
  <si>
    <t>The Rhodium Group</t>
  </si>
  <si>
    <t>Taking Stock 2024: Technical Appendix</t>
  </si>
  <si>
    <t>https://rhg.com/wp-content/uploads/2024/07/Taking-Stock-2024_Technical-Appendix.pdf</t>
  </si>
  <si>
    <t>Figure 10</t>
  </si>
  <si>
    <t>The projections included are the low, mid and high scenarios from The Rhodium Group through 2035. From 2036 through 2050, we assume continued growth at a slower rate.</t>
  </si>
  <si>
    <t xml:space="preserve">To estimate EIA's projected load growth for data centers, the difference can be taken between the two releases. </t>
  </si>
  <si>
    <t>This data center load is removed from bldgs/BCEU.</t>
  </si>
  <si>
    <t>TBD on this adjustment pending AEO choice</t>
  </si>
  <si>
    <t>EPRI National (TWh)</t>
  </si>
  <si>
    <t>Total (TWh)</t>
  </si>
  <si>
    <t>Wyoming</t>
  </si>
  <si>
    <t>Wisconsin</t>
  </si>
  <si>
    <t>Washington</t>
  </si>
  <si>
    <t>Virginia</t>
  </si>
  <si>
    <t>Utah</t>
  </si>
  <si>
    <t>Texas</t>
  </si>
  <si>
    <t>Tennessee</t>
  </si>
  <si>
    <t>South Dakota</t>
  </si>
  <si>
    <t>South Carolina</t>
  </si>
  <si>
    <t>Rhode Island</t>
  </si>
  <si>
    <t>Pennsylvania</t>
  </si>
  <si>
    <t>Oregon</t>
  </si>
  <si>
    <t>Oklahoma</t>
  </si>
  <si>
    <t>Ohio</t>
  </si>
  <si>
    <t>North Dakota</t>
  </si>
  <si>
    <t>North Carolina</t>
  </si>
  <si>
    <t>New York</t>
  </si>
  <si>
    <t>New Mexico</t>
  </si>
  <si>
    <t>New Jersey</t>
  </si>
  <si>
    <t>New Hampshire</t>
  </si>
  <si>
    <t>Nevada</t>
  </si>
  <si>
    <t>Nebraska</t>
  </si>
  <si>
    <t>Montana</t>
  </si>
  <si>
    <t>Missouri</t>
  </si>
  <si>
    <t>Minnesota</t>
  </si>
  <si>
    <t>Michigan</t>
  </si>
  <si>
    <t>Massachusetts</t>
  </si>
  <si>
    <t>Maryland</t>
  </si>
  <si>
    <t>Maine</t>
  </si>
  <si>
    <t>Louisiana</t>
  </si>
  <si>
    <t>Kentucky</t>
  </si>
  <si>
    <t>Kansas</t>
  </si>
  <si>
    <t>Iowa</t>
  </si>
  <si>
    <t>Indiana</t>
  </si>
  <si>
    <t>Illinois</t>
  </si>
  <si>
    <t>Idaho</t>
  </si>
  <si>
    <t>Hawaii</t>
  </si>
  <si>
    <t>Georgia</t>
  </si>
  <si>
    <t>Florida</t>
  </si>
  <si>
    <t>Connecticut</t>
  </si>
  <si>
    <t>Colorado</t>
  </si>
  <si>
    <t>California</t>
  </si>
  <si>
    <t>Arizona</t>
  </si>
  <si>
    <t>Alabama</t>
  </si>
  <si>
    <t>Higher_%</t>
  </si>
  <si>
    <t>Higher_MWh</t>
  </si>
  <si>
    <t>High_%</t>
  </si>
  <si>
    <t>High_MWh</t>
  </si>
  <si>
    <t>Mod_%</t>
  </si>
  <si>
    <t>Mod_MWh</t>
  </si>
  <si>
    <t>Low_%</t>
  </si>
  <si>
    <t>Low_MWh</t>
  </si>
  <si>
    <t>2023_%</t>
  </si>
  <si>
    <t>2023_MWh</t>
  </si>
  <si>
    <t>State</t>
  </si>
  <si>
    <t>Table</t>
  </si>
  <si>
    <t xml:space="preserve">https://www.epri.com/research/products/3002028905 </t>
  </si>
  <si>
    <t>https://www.wpr.org/wp-content/uploads/2024/06/3002028905_Powering-Intelligence_-Analyzing-Artificial-Intelligence-and-Data-Center-Energy-Consumption.pdf</t>
  </si>
  <si>
    <t>Link</t>
  </si>
  <si>
    <t>Powering Intelligence Analyzing Artificial Intelligence and Data Center Energy Consumption</t>
  </si>
  <si>
    <t>Source</t>
  </si>
  <si>
    <t>STATE</t>
  </si>
  <si>
    <t>EPRI</t>
  </si>
  <si>
    <t>https://www.epri.com/research/products/3002028905</t>
  </si>
  <si>
    <t>AL</t>
  </si>
  <si>
    <t>Alaska</t>
  </si>
  <si>
    <t>AK</t>
  </si>
  <si>
    <t>AZ</t>
  </si>
  <si>
    <t>Arkansas</t>
  </si>
  <si>
    <t>AR</t>
  </si>
  <si>
    <t>CA</t>
  </si>
  <si>
    <t>CO</t>
  </si>
  <si>
    <t>CT</t>
  </si>
  <si>
    <t>Delaware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</si>
  <si>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</si>
  <si>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</si>
  <si>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</si>
  <si>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</si>
  <si>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</si>
  <si>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</si>
  <si>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</si>
  <si>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</si>
  <si>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</si>
  <si>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</si>
  <si>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</si>
  <si>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</si>
  <si>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</si>
  <si>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</si>
  <si>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</si>
  <si>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</si>
  <si>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Mississippi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</si>
  <si>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</si>
  <si>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</si>
  <si>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</si>
  <si>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</si>
  <si>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</si>
  <si>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</si>
  <si>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</si>
  <si>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</si>
  <si>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</si>
  <si>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</si>
  <si>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</si>
  <si>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</si>
  <si>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</si>
  <si>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</si>
  <si>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</si>
  <si>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</si>
  <si>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</si>
  <si>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</si>
  <si>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</si>
  <si>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</si>
  <si>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</si>
  <si>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Vermont</t>
  </si>
  <si>
    <t>VT</t>
  </si>
  <si>
    <t>VA</t>
  </si>
  <si>
    <t>WA</t>
  </si>
  <si>
    <t>West Virginia</t>
  </si>
  <si>
    <t>WV</t>
  </si>
  <si>
    <t>WI</t>
  </si>
  <si>
    <t>WY</t>
  </si>
  <si>
    <t>LOW</t>
  </si>
  <si>
    <t>MOD</t>
  </si>
  <si>
    <t>HIGH</t>
  </si>
  <si>
    <t>mwh</t>
  </si>
  <si>
    <t>US VALUES</t>
  </si>
  <si>
    <t>US GROWTH (post 2030)</t>
  </si>
  <si>
    <t>STATE FORECAST</t>
  </si>
  <si>
    <t>US GROWTH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</si>
</sst>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5" fillId="0" borderId="1">
      <alignment wrapText="1"/>
    </xf>
    <xf numFmtId="0" fontId="4" fillId="0" borderId="2">
      <alignment wrapText="1"/>
    </xf>
    <xf numFmtId="0" fontId="5" fillId="0" borderId="3">
      <alignment wrapText="1"/>
    </xf>
    <xf numFmtId="0" fontId="4" fillId="0" borderId="4">
      <alignment wrapText="1"/>
    </xf>
    <xf numFmtId="0" fontId="6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6" fillId="0" borderId="0" xfId="7"/>
    <xf numFmtId="0" fontId="3" fillId="0" borderId="0" xfId="0" applyFont="1"/>
    <xf numFmtId="0" fontId="3" fillId="3" borderId="0" xfId="0" applyFont="1" applyFill="1"/>
    <xf numFmtId="0" fontId="7" fillId="0" borderId="0" xfId="0" applyFont="1"/>
    <xf numFmtId="164" fontId="0" fillId="0" borderId="0" xfId="0" applyNumberFormat="1"/>
    <xf numFmtId="9" fontId="0" fillId="0" borderId="0" xfId="1" applyFont="1"/>
    <xf numFmtId="0" fontId="8" fillId="0" borderId="0" xfId="0" applyFont="1"/>
    <xf numFmtId="0" fontId="2" fillId="0" borderId="0" xfId="0" applyFont="1"/>
    <xf numFmtId="14" fontId="0" fillId="0" borderId="0" xfId="0" applyNumberFormat="1"/>
    <xf numFmtId="10" fontId="0" fillId="0" borderId="0" xfId="0" applyNumberFormat="1"/>
    <xf numFmtId="165" fontId="0" fillId="0" borderId="0" xfId="8" applyNumberFormat="1" applyFont="1"/>
    <xf numFmtId="0" fontId="0" fillId="4" borderId="0" xfId="0" applyFill="1"/>
    <xf numFmtId="0" fontId="10" fillId="0" borderId="0" xfId="0" applyFont="1"/>
    <xf numFmtId="0" fontId="9" fillId="0" borderId="0" xfId="0" applyFont="1"/>
    <xf numFmtId="0" fontId="11" fillId="0" borderId="0" xfId="0" applyFont="1" applyAlignment="1">
      <alignment vertical="center"/>
    </xf>
    <xf numFmtId="165" fontId="0" fillId="4" borderId="0" xfId="8" applyNumberFormat="1" applyFont="1" applyFill="1"/>
    <xf numFmtId="0" fontId="3" fillId="4" borderId="0" xfId="0" applyFont="1" applyFill="1"/>
    <xf numFmtId="0" fontId="3" fillId="2" borderId="0" xfId="0" applyFont="1" applyFill="1"/>
    <xf numFmtId="0" fontId="0" fillId="2" borderId="0" xfId="0" applyFill="1"/>
  </cellXfs>
  <cellStyles count="9">
    <cellStyle name="Body: normal cell 2 2" xfId="4" xr:uid="{8826D916-A56A-49C8-BC7B-1C7173429BE0}"/>
    <cellStyle name="Comma" xfId="8" builtinId="3"/>
    <cellStyle name="Footnotes: top row 2 2" xfId="6" xr:uid="{47E9C91E-6EC7-41DA-8AA7-D903CF4BC43A}"/>
    <cellStyle name="Header: bottom row 2 2" xfId="3" xr:uid="{392BA950-59C6-4B9B-9EFE-CDA5D326A746}"/>
    <cellStyle name="Hyperlink" xfId="7" builtinId="8"/>
    <cellStyle name="Normal" xfId="0" builtinId="0"/>
    <cellStyle name="Normal 2" xfId="2" xr:uid="{8234889B-6E37-4A53-8A9B-E869E279CD06}"/>
    <cellStyle name="Parent row 2 2" xfId="5" xr:uid="{EDFA25B6-E8BA-45F4-8914-989DAA4F9F94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4</xdr:row>
      <xdr:rowOff>0</xdr:rowOff>
    </xdr:from>
    <xdr:ext cx="7991475" cy="5900271"/>
    <xdr:pic>
      <xdr:nvPicPr>
        <xdr:cNvPr id="2" name="Picture 1">
          <a:extLst>
            <a:ext uri="{FF2B5EF4-FFF2-40B4-BE49-F238E27FC236}">
              <a16:creationId xmlns:a16="http://schemas.microsoft.com/office/drawing/2014/main" id="{3DD98E3D-4B58-4320-B024-749386EE4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43100" y="723900"/>
          <a:ext cx="7991475" cy="5900271"/>
        </a:xfrm>
        <a:prstGeom prst="rect">
          <a:avLst/>
        </a:prstGeom>
      </xdr:spPr>
    </xdr:pic>
    <xdr:clientData/>
  </xdr:oneCellAnchor>
  <xdr:oneCellAnchor>
    <xdr:from>
      <xdr:col>18</xdr:col>
      <xdr:colOff>0</xdr:colOff>
      <xdr:row>4</xdr:row>
      <xdr:rowOff>0</xdr:rowOff>
    </xdr:from>
    <xdr:ext cx="7268531" cy="7440118"/>
    <xdr:pic>
      <xdr:nvPicPr>
        <xdr:cNvPr id="3" name="Picture 2">
          <a:extLst>
            <a:ext uri="{FF2B5EF4-FFF2-40B4-BE49-F238E27FC236}">
              <a16:creationId xmlns:a16="http://schemas.microsoft.com/office/drawing/2014/main" id="{A33D8AE7-0A96-4FDD-9864-BCB16E450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658600" y="723900"/>
          <a:ext cx="7268531" cy="7440118"/>
        </a:xfrm>
        <a:prstGeom prst="rect">
          <a:avLst/>
        </a:prstGeom>
      </xdr:spPr>
    </xdr:pic>
    <xdr:clientData/>
  </xdr:oneCellAnchor>
  <xdr:oneCellAnchor>
    <xdr:from>
      <xdr:col>18</xdr:col>
      <xdr:colOff>85725</xdr:colOff>
      <xdr:row>44</xdr:row>
      <xdr:rowOff>171450</xdr:rowOff>
    </xdr:from>
    <xdr:ext cx="7144689" cy="3839140"/>
    <xdr:pic>
      <xdr:nvPicPr>
        <xdr:cNvPr id="4" name="Picture 3">
          <a:extLst>
            <a:ext uri="{FF2B5EF4-FFF2-40B4-BE49-F238E27FC236}">
              <a16:creationId xmlns:a16="http://schemas.microsoft.com/office/drawing/2014/main" id="{E4E1F9EB-AD52-4D0C-9E47-811E9C293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744325" y="8134350"/>
          <a:ext cx="7144689" cy="383914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emplate_state_4.0/bldgs/BDCL/Data%20Centers%20Data%20Scoping.xlsx" TargetMode="External"/><Relationship Id="rId2" Type="http://schemas.openxmlformats.org/officeDocument/2006/relationships/externalLinkPath" Target="file:///C:\Users\OliviaAshmoore\Documents\Github%20Repos\state-eps-data\template_state_4.0\bldgs\BDCL\Data%20Centers%20Data%20Scoping.xlsx" TargetMode="External"/><Relationship Id="rId1" Type="http://schemas.openxmlformats.org/officeDocument/2006/relationships/externalLinkPath" Target="/Users/OliviaAshmoore/Documents/Github%20Repos/state-eps-data/template_state_4.0/bldgs/BDCL/Data%20Centers%20Data%20Scop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jections"/>
      <sheetName val="Low_Mid_High Scenarios"/>
      <sheetName val="AEO Calculations --&gt;"/>
      <sheetName val="AEO Data Center Assumptions"/>
      <sheetName val="AEO 2025 Table 5"/>
      <sheetName val="AEO 2023 Table 5"/>
      <sheetName val="Compare AEO"/>
      <sheetName val="Demand Projection Sources --&gt;"/>
      <sheetName val="LBNL 2024"/>
      <sheetName val="evolved energy ADP 2024"/>
      <sheetName val="On Location"/>
      <sheetName val="E3 2024"/>
      <sheetName val="EPRI"/>
      <sheetName val="Rhodium"/>
      <sheetName val="IEA"/>
      <sheetName val="Global Efficiency Intelligence"/>
      <sheetName val="McKinsey"/>
      <sheetName val="BNEF"/>
      <sheetName val="Brattle Group"/>
      <sheetName val="Regional Projections --&gt;"/>
      <sheetName val="regional comparison"/>
      <sheetName val="ICF"/>
      <sheetName val="data center growth locations"/>
      <sheetName val="evolved energy region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C4">
            <v>152</v>
          </cell>
        </row>
        <row r="5">
          <cell r="D5">
            <v>403.9</v>
          </cell>
        </row>
        <row r="6">
          <cell r="D6">
            <v>296.39999999999998</v>
          </cell>
        </row>
        <row r="7">
          <cell r="D7">
            <v>214</v>
          </cell>
        </row>
        <row r="8">
          <cell r="D8">
            <v>196.3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epri.com/research/products/3002028905" TargetMode="External"/><Relationship Id="rId1" Type="http://schemas.openxmlformats.org/officeDocument/2006/relationships/hyperlink" Target="https://www.wpr.org/wp-content/uploads/2024/06/3002028905_Powering-Intelligence_-Analyzing-Artificial-Intelligence-and-Data-Center-Energy-Consumption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C3" sqref="C3"/>
    </sheetView>
  </sheetViews>
  <sheetFormatPr defaultRowHeight="14.25" x14ac:dyDescent="0.45"/>
  <cols>
    <col min="2" max="2" width="13.53125" customWidth="1"/>
  </cols>
  <sheetData>
    <row r="1" spans="1:7" x14ac:dyDescent="0.45">
      <c r="A1" t="s">
        <v>6</v>
      </c>
      <c r="B1" s="13" t="s">
        <v>33</v>
      </c>
      <c r="C1" s="9">
        <v>46184</v>
      </c>
      <c r="D1" s="14"/>
      <c r="E1" s="14"/>
      <c r="F1" s="15" t="s">
        <v>73</v>
      </c>
      <c r="G1" s="15" t="s">
        <v>73</v>
      </c>
    </row>
    <row r="2" spans="1:7" x14ac:dyDescent="0.45">
      <c r="B2" t="str">
        <f>LOOKUP(B1,F2:G51,G2:G51)</f>
        <v>ND</v>
      </c>
      <c r="D2" s="14"/>
      <c r="E2" s="14"/>
      <c r="F2" s="13" t="s">
        <v>62</v>
      </c>
      <c r="G2" s="13" t="s">
        <v>83</v>
      </c>
    </row>
    <row r="3" spans="1:7" x14ac:dyDescent="0.45">
      <c r="A3" s="2" t="s">
        <v>2</v>
      </c>
      <c r="B3" s="3" t="s">
        <v>8</v>
      </c>
      <c r="F3" s="13" t="s">
        <v>84</v>
      </c>
      <c r="G3" s="13" t="s">
        <v>85</v>
      </c>
    </row>
    <row r="4" spans="1:7" x14ac:dyDescent="0.45">
      <c r="B4" t="s">
        <v>9</v>
      </c>
      <c r="F4" s="13" t="s">
        <v>61</v>
      </c>
      <c r="G4" s="13" t="s">
        <v>86</v>
      </c>
    </row>
    <row r="5" spans="1:7" x14ac:dyDescent="0.45">
      <c r="B5" t="s">
        <v>10</v>
      </c>
      <c r="F5" s="13" t="s">
        <v>87</v>
      </c>
      <c r="G5" s="13" t="s">
        <v>88</v>
      </c>
    </row>
    <row r="6" spans="1:7" x14ac:dyDescent="0.45">
      <c r="B6" s="1" t="s">
        <v>11</v>
      </c>
      <c r="F6" s="13" t="s">
        <v>60</v>
      </c>
      <c r="G6" s="13" t="s">
        <v>89</v>
      </c>
    </row>
    <row r="7" spans="1:7" x14ac:dyDescent="0.45">
      <c r="B7" t="s">
        <v>12</v>
      </c>
      <c r="F7" s="13" t="s">
        <v>59</v>
      </c>
      <c r="G7" s="13" t="s">
        <v>90</v>
      </c>
    </row>
    <row r="8" spans="1:7" x14ac:dyDescent="0.45">
      <c r="F8" s="13" t="s">
        <v>58</v>
      </c>
      <c r="G8" s="13" t="s">
        <v>91</v>
      </c>
    </row>
    <row r="9" spans="1:7" x14ac:dyDescent="0.45">
      <c r="B9" s="12" t="s">
        <v>80</v>
      </c>
      <c r="F9" s="13" t="s">
        <v>92</v>
      </c>
      <c r="G9" s="13" t="s">
        <v>93</v>
      </c>
    </row>
    <row r="10" spans="1:7" x14ac:dyDescent="0.45">
      <c r="B10" t="s">
        <v>81</v>
      </c>
      <c r="F10" s="13" t="s">
        <v>57</v>
      </c>
      <c r="G10" s="13" t="s">
        <v>94</v>
      </c>
    </row>
    <row r="11" spans="1:7" x14ac:dyDescent="0.45">
      <c r="B11" t="s">
        <v>78</v>
      </c>
      <c r="F11" s="13" t="s">
        <v>56</v>
      </c>
      <c r="G11" s="13" t="s">
        <v>95</v>
      </c>
    </row>
    <row r="12" spans="1:7" x14ac:dyDescent="0.45">
      <c r="B12">
        <v>2024</v>
      </c>
      <c r="F12" s="13" t="s">
        <v>55</v>
      </c>
      <c r="G12" s="13" t="s">
        <v>96</v>
      </c>
    </row>
    <row r="13" spans="1:7" x14ac:dyDescent="0.45">
      <c r="B13" t="s">
        <v>82</v>
      </c>
      <c r="F13" s="13" t="s">
        <v>54</v>
      </c>
      <c r="G13" s="13" t="s">
        <v>97</v>
      </c>
    </row>
    <row r="14" spans="1:7" x14ac:dyDescent="0.45">
      <c r="F14" s="13" t="s">
        <v>53</v>
      </c>
      <c r="G14" s="13" t="s">
        <v>98</v>
      </c>
    </row>
    <row r="15" spans="1:7" x14ac:dyDescent="0.45">
      <c r="F15" s="13" t="s">
        <v>52</v>
      </c>
      <c r="G15" s="13" t="s">
        <v>99</v>
      </c>
    </row>
    <row r="16" spans="1:7" x14ac:dyDescent="0.45">
      <c r="A16" s="2" t="s">
        <v>3</v>
      </c>
      <c r="F16" s="13" t="s">
        <v>51</v>
      </c>
      <c r="G16" s="13" t="s">
        <v>100</v>
      </c>
    </row>
    <row r="17" spans="1:7" x14ac:dyDescent="0.45">
      <c r="A17" s="7" t="s">
        <v>16</v>
      </c>
      <c r="F17" s="13" t="s">
        <v>50</v>
      </c>
      <c r="G17" s="13" t="s">
        <v>101</v>
      </c>
    </row>
    <row r="18" spans="1:7" x14ac:dyDescent="0.45">
      <c r="A18" t="s">
        <v>5</v>
      </c>
      <c r="F18" s="13" t="s">
        <v>49</v>
      </c>
      <c r="G18" s="13" t="s">
        <v>102</v>
      </c>
    </row>
    <row r="19" spans="1:7" x14ac:dyDescent="0.45">
      <c r="A19" t="s">
        <v>4</v>
      </c>
      <c r="F19" s="13" t="s">
        <v>48</v>
      </c>
      <c r="G19" s="13" t="s">
        <v>103</v>
      </c>
    </row>
    <row r="20" spans="1:7" x14ac:dyDescent="0.45">
      <c r="A20" t="s">
        <v>14</v>
      </c>
      <c r="F20" s="13" t="s">
        <v>47</v>
      </c>
      <c r="G20" s="13" t="s">
        <v>104</v>
      </c>
    </row>
    <row r="21" spans="1:7" x14ac:dyDescent="0.45">
      <c r="A21" t="s">
        <v>15</v>
      </c>
      <c r="F21" s="13" t="s">
        <v>46</v>
      </c>
      <c r="G21" s="13" t="s">
        <v>105</v>
      </c>
    </row>
    <row r="22" spans="1:7" x14ac:dyDescent="0.45">
      <c r="F22" s="13" t="s">
        <v>45</v>
      </c>
      <c r="G22" s="13" t="s">
        <v>106</v>
      </c>
    </row>
    <row r="23" spans="1:7" x14ac:dyDescent="0.45">
      <c r="A23" s="4" t="s">
        <v>7</v>
      </c>
      <c r="F23" s="13" t="s">
        <v>44</v>
      </c>
      <c r="G23" s="13" t="s">
        <v>107</v>
      </c>
    </row>
    <row r="24" spans="1:7" x14ac:dyDescent="0.45">
      <c r="A24" t="s">
        <v>13</v>
      </c>
      <c r="F24" s="13" t="s">
        <v>43</v>
      </c>
      <c r="G24" s="13" t="s">
        <v>108</v>
      </c>
    </row>
    <row r="25" spans="1:7" x14ac:dyDescent="0.45">
      <c r="F25" s="13" t="s">
        <v>109</v>
      </c>
      <c r="G25" s="13" t="s">
        <v>110</v>
      </c>
    </row>
    <row r="26" spans="1:7" x14ac:dyDescent="0.45">
      <c r="F26" s="13" t="s">
        <v>42</v>
      </c>
      <c r="G26" s="13" t="s">
        <v>111</v>
      </c>
    </row>
    <row r="27" spans="1:7" x14ac:dyDescent="0.45">
      <c r="F27" s="13" t="s">
        <v>41</v>
      </c>
      <c r="G27" s="13" t="s">
        <v>112</v>
      </c>
    </row>
    <row r="28" spans="1:7" x14ac:dyDescent="0.45">
      <c r="F28" s="13" t="s">
        <v>40</v>
      </c>
      <c r="G28" s="13" t="s">
        <v>113</v>
      </c>
    </row>
    <row r="29" spans="1:7" x14ac:dyDescent="0.45">
      <c r="F29" s="13" t="s">
        <v>39</v>
      </c>
      <c r="G29" s="13" t="s">
        <v>114</v>
      </c>
    </row>
    <row r="30" spans="1:7" x14ac:dyDescent="0.45">
      <c r="F30" s="13" t="s">
        <v>38</v>
      </c>
      <c r="G30" s="13" t="s">
        <v>115</v>
      </c>
    </row>
    <row r="31" spans="1:7" x14ac:dyDescent="0.45">
      <c r="F31" s="13" t="s">
        <v>37</v>
      </c>
      <c r="G31" s="13" t="s">
        <v>116</v>
      </c>
    </row>
    <row r="32" spans="1:7" x14ac:dyDescent="0.45">
      <c r="F32" s="13" t="s">
        <v>36</v>
      </c>
      <c r="G32" s="13" t="s">
        <v>117</v>
      </c>
    </row>
    <row r="33" spans="6:7" x14ac:dyDescent="0.45">
      <c r="F33" s="13" t="s">
        <v>35</v>
      </c>
      <c r="G33" s="13" t="s">
        <v>118</v>
      </c>
    </row>
    <row r="34" spans="6:7" x14ac:dyDescent="0.45">
      <c r="F34" s="13" t="s">
        <v>34</v>
      </c>
      <c r="G34" s="13" t="s">
        <v>119</v>
      </c>
    </row>
    <row r="35" spans="6:7" x14ac:dyDescent="0.45">
      <c r="F35" s="13" t="s">
        <v>33</v>
      </c>
      <c r="G35" s="13" t="s">
        <v>120</v>
      </c>
    </row>
    <row r="36" spans="6:7" x14ac:dyDescent="0.45">
      <c r="F36" s="13" t="s">
        <v>32</v>
      </c>
      <c r="G36" s="13" t="s">
        <v>121</v>
      </c>
    </row>
    <row r="37" spans="6:7" x14ac:dyDescent="0.45">
      <c r="F37" s="13" t="s">
        <v>31</v>
      </c>
      <c r="G37" s="13" t="s">
        <v>122</v>
      </c>
    </row>
    <row r="38" spans="6:7" x14ac:dyDescent="0.45">
      <c r="F38" s="13" t="s">
        <v>30</v>
      </c>
      <c r="G38" s="13" t="s">
        <v>123</v>
      </c>
    </row>
    <row r="39" spans="6:7" x14ac:dyDescent="0.45">
      <c r="F39" s="13" t="s">
        <v>29</v>
      </c>
      <c r="G39" s="13" t="s">
        <v>124</v>
      </c>
    </row>
    <row r="40" spans="6:7" x14ac:dyDescent="0.45">
      <c r="F40" s="13" t="s">
        <v>28</v>
      </c>
      <c r="G40" s="13" t="s">
        <v>125</v>
      </c>
    </row>
    <row r="41" spans="6:7" x14ac:dyDescent="0.45">
      <c r="F41" s="13" t="s">
        <v>27</v>
      </c>
      <c r="G41" s="13" t="s">
        <v>126</v>
      </c>
    </row>
    <row r="42" spans="6:7" x14ac:dyDescent="0.45">
      <c r="F42" s="13" t="s">
        <v>26</v>
      </c>
      <c r="G42" s="13" t="s">
        <v>127</v>
      </c>
    </row>
    <row r="43" spans="6:7" x14ac:dyDescent="0.45">
      <c r="F43" s="13" t="s">
        <v>25</v>
      </c>
      <c r="G43" s="13" t="s">
        <v>128</v>
      </c>
    </row>
    <row r="44" spans="6:7" x14ac:dyDescent="0.45">
      <c r="F44" s="13" t="s">
        <v>24</v>
      </c>
      <c r="G44" s="13" t="s">
        <v>129</v>
      </c>
    </row>
    <row r="45" spans="6:7" x14ac:dyDescent="0.45">
      <c r="F45" s="13" t="s">
        <v>23</v>
      </c>
      <c r="G45" s="13" t="s">
        <v>130</v>
      </c>
    </row>
    <row r="46" spans="6:7" x14ac:dyDescent="0.45">
      <c r="F46" s="13" t="s">
        <v>131</v>
      </c>
      <c r="G46" s="13" t="s">
        <v>132</v>
      </c>
    </row>
    <row r="47" spans="6:7" x14ac:dyDescent="0.45">
      <c r="F47" s="13" t="s">
        <v>22</v>
      </c>
      <c r="G47" s="13" t="s">
        <v>133</v>
      </c>
    </row>
    <row r="48" spans="6:7" x14ac:dyDescent="0.45">
      <c r="F48" s="13" t="s">
        <v>21</v>
      </c>
      <c r="G48" s="13" t="s">
        <v>134</v>
      </c>
    </row>
    <row r="49" spans="6:7" x14ac:dyDescent="0.45">
      <c r="F49" s="13" t="s">
        <v>135</v>
      </c>
      <c r="G49" s="13" t="s">
        <v>136</v>
      </c>
    </row>
    <row r="50" spans="6:7" x14ac:dyDescent="0.45">
      <c r="F50" s="13" t="s">
        <v>20</v>
      </c>
      <c r="G50" s="13" t="s">
        <v>137</v>
      </c>
    </row>
    <row r="51" spans="6:7" x14ac:dyDescent="0.45">
      <c r="F51" s="13" t="s">
        <v>19</v>
      </c>
      <c r="G51" s="13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7D8CC-5F7E-430B-BFC8-2F537AE3CDDF}">
  <dimension ref="A1:AC5"/>
  <sheetViews>
    <sheetView topLeftCell="I1" workbookViewId="0">
      <selection activeCell="AD3" sqref="AD3:AD5"/>
    </sheetView>
  </sheetViews>
  <sheetFormatPr defaultRowHeight="14.25" x14ac:dyDescent="0.45"/>
  <sheetData>
    <row r="1" spans="1:29" x14ac:dyDescent="0.45">
      <c r="A1" t="s">
        <v>143</v>
      </c>
    </row>
    <row r="2" spans="1:29" x14ac:dyDescent="0.45">
      <c r="B2" t="s">
        <v>0</v>
      </c>
      <c r="C2">
        <v>2024</v>
      </c>
      <c r="D2">
        <v>2025</v>
      </c>
      <c r="E2">
        <v>2026</v>
      </c>
      <c r="F2">
        <v>2027</v>
      </c>
      <c r="G2">
        <v>2028</v>
      </c>
      <c r="H2">
        <v>2029</v>
      </c>
      <c r="I2">
        <v>2030</v>
      </c>
      <c r="J2">
        <v>2031</v>
      </c>
      <c r="K2">
        <v>2032</v>
      </c>
      <c r="L2">
        <v>2033</v>
      </c>
      <c r="M2">
        <v>2034</v>
      </c>
      <c r="N2">
        <v>2035</v>
      </c>
      <c r="O2">
        <v>2036</v>
      </c>
      <c r="P2">
        <v>2037</v>
      </c>
      <c r="Q2">
        <v>2038</v>
      </c>
      <c r="R2">
        <v>2039</v>
      </c>
      <c r="S2">
        <v>2040</v>
      </c>
      <c r="T2">
        <v>2041</v>
      </c>
      <c r="U2">
        <v>2042</v>
      </c>
      <c r="V2">
        <v>2043</v>
      </c>
      <c r="W2">
        <v>2044</v>
      </c>
      <c r="X2">
        <v>2045</v>
      </c>
      <c r="Y2">
        <v>2046</v>
      </c>
      <c r="Z2">
        <v>2047</v>
      </c>
      <c r="AA2">
        <v>2048</v>
      </c>
      <c r="AB2">
        <v>2049</v>
      </c>
      <c r="AC2">
        <v>2050</v>
      </c>
    </row>
    <row r="3" spans="1:29" x14ac:dyDescent="0.45">
      <c r="A3" t="s">
        <v>139</v>
      </c>
      <c r="B3" t="s">
        <v>1</v>
      </c>
      <c r="C3">
        <v>184000000</v>
      </c>
      <c r="D3">
        <v>224000000</v>
      </c>
      <c r="E3">
        <v>263000000</v>
      </c>
      <c r="F3">
        <v>308000000</v>
      </c>
      <c r="G3">
        <v>345000000</v>
      </c>
      <c r="H3">
        <v>371000000</v>
      </c>
      <c r="I3">
        <v>396000000</v>
      </c>
      <c r="J3">
        <v>411490910</v>
      </c>
      <c r="K3">
        <v>427279214.99999994</v>
      </c>
      <c r="L3">
        <v>443357003.99999994</v>
      </c>
      <c r="M3">
        <v>459669192.99999994</v>
      </c>
      <c r="N3">
        <v>476168315.99999994</v>
      </c>
      <c r="O3">
        <v>492772039.99999994</v>
      </c>
      <c r="P3">
        <v>509403598.99999994</v>
      </c>
      <c r="Q3">
        <v>525857306.99999988</v>
      </c>
      <c r="R3">
        <v>541988129</v>
      </c>
      <c r="S3">
        <v>557646635</v>
      </c>
      <c r="T3">
        <v>572773346</v>
      </c>
      <c r="U3">
        <v>587128587.99999988</v>
      </c>
      <c r="V3">
        <v>600726131.99999988</v>
      </c>
      <c r="W3">
        <v>613331284.99999988</v>
      </c>
      <c r="X3">
        <v>624948149</v>
      </c>
      <c r="Y3">
        <v>635298080.99999988</v>
      </c>
      <c r="Z3">
        <v>644291422.99999988</v>
      </c>
      <c r="AA3">
        <v>651829726.99999988</v>
      </c>
      <c r="AB3">
        <v>657857030</v>
      </c>
      <c r="AC3">
        <v>663209847</v>
      </c>
    </row>
    <row r="4" spans="1:29" x14ac:dyDescent="0.45">
      <c r="A4" t="s">
        <v>140</v>
      </c>
      <c r="B4" t="s">
        <v>1</v>
      </c>
      <c r="C4">
        <v>184000000</v>
      </c>
      <c r="D4">
        <v>224000000</v>
      </c>
      <c r="E4">
        <v>290000000</v>
      </c>
      <c r="F4">
        <v>369000000</v>
      </c>
      <c r="G4">
        <v>448000000</v>
      </c>
      <c r="H4">
        <v>518000000</v>
      </c>
      <c r="I4">
        <v>585000000</v>
      </c>
      <c r="J4">
        <v>615399999.99999416</v>
      </c>
      <c r="K4">
        <v>645799999.99999559</v>
      </c>
      <c r="L4">
        <v>676199999.99999714</v>
      </c>
      <c r="M4">
        <v>706599999.99999857</v>
      </c>
      <c r="N4">
        <v>737000000</v>
      </c>
      <c r="O4">
        <v>753600000.00000584</v>
      </c>
      <c r="P4">
        <v>770200000.00000441</v>
      </c>
      <c r="Q4">
        <v>786800000.00000286</v>
      </c>
      <c r="R4">
        <v>803400000.00000143</v>
      </c>
      <c r="S4">
        <v>820000000</v>
      </c>
      <c r="T4">
        <v>829400000.00000143</v>
      </c>
      <c r="U4">
        <v>838799999.99999928</v>
      </c>
      <c r="V4">
        <v>848200000.00000072</v>
      </c>
      <c r="W4">
        <v>857600000.00000215</v>
      </c>
      <c r="X4">
        <v>867000000</v>
      </c>
      <c r="Y4">
        <v>876400000.00000143</v>
      </c>
      <c r="Z4">
        <v>885799999.99999928</v>
      </c>
      <c r="AA4">
        <v>895200000.00000072</v>
      </c>
      <c r="AB4">
        <v>904600000.00000215</v>
      </c>
      <c r="AC4">
        <v>914000000</v>
      </c>
    </row>
    <row r="5" spans="1:29" x14ac:dyDescent="0.45">
      <c r="A5" t="s">
        <v>141</v>
      </c>
      <c r="B5" t="s">
        <v>1</v>
      </c>
      <c r="C5">
        <v>184000000</v>
      </c>
      <c r="D5">
        <v>224000000</v>
      </c>
      <c r="E5">
        <v>314000000</v>
      </c>
      <c r="F5">
        <v>425000000</v>
      </c>
      <c r="G5">
        <v>544000000</v>
      </c>
      <c r="H5">
        <v>653000000</v>
      </c>
      <c r="I5">
        <v>760000000</v>
      </c>
      <c r="J5">
        <v>825000000</v>
      </c>
      <c r="K5">
        <v>890000000</v>
      </c>
      <c r="L5">
        <v>955000000</v>
      </c>
      <c r="M5">
        <v>1020000000</v>
      </c>
      <c r="N5">
        <v>1085000000</v>
      </c>
      <c r="O5">
        <v>1120799999.9999883</v>
      </c>
      <c r="P5">
        <v>1156599999.9999912</v>
      </c>
      <c r="Q5">
        <v>1192399999.9999943</v>
      </c>
      <c r="R5">
        <v>1228199999.9999971</v>
      </c>
      <c r="S5">
        <v>1264000000</v>
      </c>
      <c r="T5">
        <v>1309700000.0000117</v>
      </c>
      <c r="U5">
        <v>1355400000.0000088</v>
      </c>
      <c r="V5">
        <v>1401100000.0000057</v>
      </c>
      <c r="W5">
        <v>1446800000.0000029</v>
      </c>
      <c r="X5">
        <v>1492500000</v>
      </c>
      <c r="Y5">
        <v>1538200000.0000117</v>
      </c>
      <c r="Z5">
        <v>1583900000.0000088</v>
      </c>
      <c r="AA5">
        <v>1629600000.0000057</v>
      </c>
      <c r="AB5">
        <v>1675300000.0000029</v>
      </c>
      <c r="AC5">
        <v>1721000000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2EF1C-F425-46DE-8444-395AF8D322D7}">
  <dimension ref="B1:L86"/>
  <sheetViews>
    <sheetView topLeftCell="A36" workbookViewId="0">
      <selection activeCell="E36" sqref="E36"/>
    </sheetView>
  </sheetViews>
  <sheetFormatPr defaultRowHeight="14.25" x14ac:dyDescent="0.45"/>
  <cols>
    <col min="2" max="2" width="19.86328125" customWidth="1"/>
    <col min="3" max="3" width="14.265625" bestFit="1" customWidth="1"/>
    <col min="5" max="5" width="11.59765625" customWidth="1"/>
    <col min="7" max="7" width="11.59765625" customWidth="1"/>
    <col min="9" max="9" width="11.59765625" customWidth="1"/>
    <col min="11" max="11" width="11.59765625" customWidth="1"/>
  </cols>
  <sheetData>
    <row r="1" spans="2:3" x14ac:dyDescent="0.45">
      <c r="B1" t="s">
        <v>79</v>
      </c>
      <c r="C1" t="s">
        <v>78</v>
      </c>
    </row>
    <row r="2" spans="2:3" x14ac:dyDescent="0.45">
      <c r="B2" t="s">
        <v>77</v>
      </c>
      <c r="C2" s="1" t="s">
        <v>76</v>
      </c>
    </row>
    <row r="3" spans="2:3" x14ac:dyDescent="0.45">
      <c r="C3" s="1" t="s">
        <v>75</v>
      </c>
    </row>
    <row r="38" spans="2:12" x14ac:dyDescent="0.45">
      <c r="B38" s="2" t="s">
        <v>74</v>
      </c>
    </row>
    <row r="39" spans="2:12" x14ac:dyDescent="0.45">
      <c r="B39" t="s">
        <v>73</v>
      </c>
      <c r="C39" t="s">
        <v>72</v>
      </c>
      <c r="D39" t="s">
        <v>71</v>
      </c>
      <c r="E39" t="s">
        <v>70</v>
      </c>
      <c r="F39" t="s">
        <v>69</v>
      </c>
      <c r="G39" t="s">
        <v>68</v>
      </c>
      <c r="H39" t="s">
        <v>67</v>
      </c>
      <c r="I39" t="s">
        <v>66</v>
      </c>
      <c r="J39" t="s">
        <v>65</v>
      </c>
      <c r="K39" t="s">
        <v>64</v>
      </c>
      <c r="L39" t="s">
        <v>63</v>
      </c>
    </row>
    <row r="40" spans="2:12" x14ac:dyDescent="0.45">
      <c r="B40" t="s">
        <v>62</v>
      </c>
      <c r="C40" s="11">
        <v>1489200</v>
      </c>
      <c r="D40" s="10">
        <v>1.7100000000000001E-2</v>
      </c>
      <c r="E40" s="11">
        <v>1921753</v>
      </c>
      <c r="F40" s="10">
        <v>2.0500000000000001E-2</v>
      </c>
      <c r="G40" s="11">
        <v>2095454</v>
      </c>
      <c r="H40" s="10">
        <v>2.23E-2</v>
      </c>
      <c r="I40" s="11">
        <v>2902030</v>
      </c>
      <c r="J40" s="10">
        <v>3.0700000000000002E-2</v>
      </c>
      <c r="K40" s="11">
        <v>3954704</v>
      </c>
      <c r="L40" s="10">
        <v>4.1300000000000003E-2</v>
      </c>
    </row>
    <row r="41" spans="2:12" x14ac:dyDescent="0.45">
      <c r="B41" t="s">
        <v>61</v>
      </c>
      <c r="C41" s="11">
        <v>6253280</v>
      </c>
      <c r="D41" s="10">
        <v>7.4300000000000005E-2</v>
      </c>
      <c r="E41" s="11">
        <v>8069580</v>
      </c>
      <c r="F41" s="10">
        <v>8.8099999999999998E-2</v>
      </c>
      <c r="G41" s="11">
        <v>8978795</v>
      </c>
      <c r="H41" s="10">
        <v>9.5299999999999996E-2</v>
      </c>
      <c r="I41" s="11">
        <v>11381582</v>
      </c>
      <c r="J41" s="10">
        <v>0.1237</v>
      </c>
      <c r="K41" s="11">
        <v>16603465</v>
      </c>
      <c r="L41" s="10">
        <v>0.15679999999999999</v>
      </c>
    </row>
    <row r="42" spans="2:12" x14ac:dyDescent="0.45">
      <c r="B42" t="s">
        <v>60</v>
      </c>
      <c r="C42" s="11">
        <v>9313619</v>
      </c>
      <c r="D42" s="10">
        <v>3.6999999999999998E-2</v>
      </c>
      <c r="E42" s="11">
        <v>12042078</v>
      </c>
      <c r="F42" s="10">
        <v>4.4299999999999999E-2</v>
      </c>
      <c r="G42" s="11">
        <v>13130525</v>
      </c>
      <c r="H42" s="10">
        <v>4.8099999999999997E-2</v>
      </c>
      <c r="I42" s="11">
        <v>18186486</v>
      </c>
      <c r="J42" s="10">
        <v>6.54E-2</v>
      </c>
      <c r="K42" s="11">
        <v>24777200</v>
      </c>
      <c r="L42" s="10">
        <v>8.6999999999999994E-2</v>
      </c>
    </row>
    <row r="43" spans="2:12" x14ac:dyDescent="0.45">
      <c r="B43" t="s">
        <v>59</v>
      </c>
      <c r="C43" s="11">
        <v>1509640</v>
      </c>
      <c r="D43" s="10">
        <v>2.6599999999999999E-2</v>
      </c>
      <c r="E43" s="11">
        <v>1948130</v>
      </c>
      <c r="F43" s="10">
        <v>3.1800000000000002E-2</v>
      </c>
      <c r="G43" s="11">
        <v>2124215</v>
      </c>
      <c r="H43" s="10">
        <v>3.4599999999999999E-2</v>
      </c>
      <c r="I43" s="11">
        <v>2941861</v>
      </c>
      <c r="J43" s="10">
        <v>4.7300000000000002E-2</v>
      </c>
      <c r="K43" s="11">
        <v>4008345</v>
      </c>
      <c r="L43" s="10">
        <v>6.3399999999999998E-2</v>
      </c>
    </row>
    <row r="44" spans="2:12" x14ac:dyDescent="0.45">
      <c r="B44" t="s">
        <v>58</v>
      </c>
      <c r="C44" s="11">
        <v>262800</v>
      </c>
      <c r="D44" s="10">
        <v>9.4999999999999998E-3</v>
      </c>
      <c r="E44" s="11">
        <v>339133</v>
      </c>
      <c r="F44" s="10">
        <v>1.24E-2</v>
      </c>
      <c r="G44" s="11">
        <v>369786</v>
      </c>
      <c r="H44" s="10">
        <v>1.24E-2</v>
      </c>
      <c r="I44" s="11">
        <v>421723</v>
      </c>
      <c r="J44" s="10">
        <v>1.17E-2</v>
      </c>
      <c r="K44" s="11">
        <v>697778</v>
      </c>
      <c r="L44" s="10">
        <v>3.1199999999999999E-2</v>
      </c>
    </row>
    <row r="45" spans="2:12" x14ac:dyDescent="0.45">
      <c r="B45" t="s">
        <v>57</v>
      </c>
      <c r="C45" s="11">
        <v>1384080</v>
      </c>
      <c r="D45" s="10">
        <v>5.5999999999999999E-3</v>
      </c>
      <c r="E45" s="11">
        <v>1786909</v>
      </c>
      <c r="F45" s="10">
        <v>6.7000000000000002E-3</v>
      </c>
      <c r="G45" s="11">
        <v>1947540</v>
      </c>
      <c r="H45" s="10">
        <v>7.3000000000000001E-3</v>
      </c>
      <c r="I45" s="11">
        <v>2697180</v>
      </c>
      <c r="J45" s="10">
        <v>1.0999999999999999E-2</v>
      </c>
      <c r="K45" s="11">
        <v>3674963</v>
      </c>
      <c r="L45" s="10">
        <v>1.37E-2</v>
      </c>
    </row>
    <row r="46" spans="2:12" x14ac:dyDescent="0.45">
      <c r="B46" t="s">
        <v>56</v>
      </c>
      <c r="C46" s="11">
        <v>6175391</v>
      </c>
      <c r="D46" s="10">
        <v>4.2599999999999999E-2</v>
      </c>
      <c r="E46" s="11">
        <v>7969093</v>
      </c>
      <c r="F46" s="10">
        <v>5.0799999999999998E-2</v>
      </c>
      <c r="G46" s="11">
        <v>8689396</v>
      </c>
      <c r="H46" s="10">
        <v>5.5300000000000002E-2</v>
      </c>
      <c r="I46" s="11">
        <v>12040390</v>
      </c>
      <c r="J46" s="10">
        <v>7.4800000000000005E-2</v>
      </c>
      <c r="K46" s="11">
        <v>16369560</v>
      </c>
      <c r="L46" s="10">
        <v>9.9199999999999997E-2</v>
      </c>
    </row>
    <row r="47" spans="2:12" x14ac:dyDescent="0.45">
      <c r="B47" t="s">
        <v>55</v>
      </c>
      <c r="C47" s="11">
        <v>8760</v>
      </c>
      <c r="D47" s="10">
        <v>8.6E-3</v>
      </c>
      <c r="E47" s="11">
        <v>11304</v>
      </c>
      <c r="F47" s="10">
        <v>1.0999999999999999E-2</v>
      </c>
      <c r="G47" s="11">
        <v>12316</v>
      </c>
      <c r="H47" s="10">
        <v>1.2999999999999999E-3</v>
      </c>
      <c r="I47" s="11">
        <v>17497</v>
      </c>
      <c r="J47" s="10">
        <v>2E-3</v>
      </c>
      <c r="K47" s="11">
        <v>23829</v>
      </c>
      <c r="L47" s="10">
        <v>5.0000000000000001E-4</v>
      </c>
    </row>
    <row r="48" spans="2:12" x14ac:dyDescent="0.45">
      <c r="B48" t="s">
        <v>54</v>
      </c>
      <c r="C48" s="11">
        <v>148920</v>
      </c>
      <c r="D48" s="10">
        <v>5.7000000000000002E-3</v>
      </c>
      <c r="E48" s="11">
        <v>192175</v>
      </c>
      <c r="F48" s="10">
        <v>6.7999999999999996E-3</v>
      </c>
      <c r="G48" s="11">
        <v>209545</v>
      </c>
      <c r="H48" s="10">
        <v>7.4000000000000003E-3</v>
      </c>
      <c r="I48" s="11">
        <v>290203</v>
      </c>
      <c r="J48" s="10">
        <v>1.03E-2</v>
      </c>
      <c r="K48" s="11">
        <v>395407</v>
      </c>
      <c r="L48" s="10">
        <v>1.4E-2</v>
      </c>
    </row>
    <row r="49" spans="2:12" x14ac:dyDescent="0.45">
      <c r="B49" t="s">
        <v>53</v>
      </c>
      <c r="C49" s="11">
        <v>7450176</v>
      </c>
      <c r="D49" s="10">
        <v>5.4800000000000001E-2</v>
      </c>
      <c r="E49" s="11">
        <v>9641651</v>
      </c>
      <c r="F49" s="10">
        <v>6.3299999999999995E-2</v>
      </c>
      <c r="G49" s="11">
        <v>10483485</v>
      </c>
      <c r="H49" s="10">
        <v>7.0800000000000002E-2</v>
      </c>
      <c r="I49" s="11">
        <v>14518285</v>
      </c>
      <c r="J49" s="10">
        <v>9.5399999999999999E-2</v>
      </c>
      <c r="K49" s="11">
        <v>19781455</v>
      </c>
      <c r="L49" s="10">
        <v>0.12559999999999999</v>
      </c>
    </row>
    <row r="50" spans="2:12" x14ac:dyDescent="0.45">
      <c r="B50" t="s">
        <v>52</v>
      </c>
      <c r="C50" s="11">
        <v>192720</v>
      </c>
      <c r="D50" s="10">
        <v>1.9E-3</v>
      </c>
      <c r="E50" s="11">
        <v>248697</v>
      </c>
      <c r="F50" s="10">
        <v>2.3E-3</v>
      </c>
      <c r="G50" s="11">
        <v>271176</v>
      </c>
      <c r="H50" s="10">
        <v>2.5000000000000001E-3</v>
      </c>
      <c r="I50" s="11">
        <v>375557</v>
      </c>
      <c r="J50" s="10">
        <v>3.5000000000000001E-3</v>
      </c>
      <c r="K50" s="11">
        <v>511704</v>
      </c>
      <c r="L50" s="10">
        <v>4.7999999999999996E-3</v>
      </c>
    </row>
    <row r="51" spans="2:12" x14ac:dyDescent="0.45">
      <c r="B51" t="s">
        <v>51</v>
      </c>
      <c r="C51" s="11">
        <v>6193320</v>
      </c>
      <c r="D51" s="10">
        <v>0.1143</v>
      </c>
      <c r="E51" s="11">
        <v>7992230</v>
      </c>
      <c r="F51" s="10">
        <v>0.13439999999999999</v>
      </c>
      <c r="G51" s="11">
        <v>8741623</v>
      </c>
      <c r="H51" s="10">
        <v>0.14480000000000001</v>
      </c>
      <c r="I51" s="11">
        <v>12069029</v>
      </c>
      <c r="J51" s="10">
        <v>0.18990000000000001</v>
      </c>
      <c r="K51" s="11">
        <v>16644294</v>
      </c>
      <c r="L51" s="10">
        <v>0.24210000000000001</v>
      </c>
    </row>
    <row r="52" spans="2:12" x14ac:dyDescent="0.45">
      <c r="B52" t="s">
        <v>50</v>
      </c>
      <c r="C52" s="11">
        <v>8760</v>
      </c>
      <c r="D52" s="10">
        <v>1E-4</v>
      </c>
      <c r="E52" s="11">
        <v>11304</v>
      </c>
      <c r="F52" s="10">
        <v>2.9999999999999997E-4</v>
      </c>
      <c r="G52" s="11">
        <v>12316</v>
      </c>
      <c r="H52" s="10">
        <v>2.9999999999999997E-4</v>
      </c>
      <c r="I52" s="11">
        <v>17071</v>
      </c>
      <c r="J52" s="10">
        <v>4.0000000000000002E-4</v>
      </c>
      <c r="K52" s="11">
        <v>23259</v>
      </c>
      <c r="L52" s="10">
        <v>5.0000000000000001E-4</v>
      </c>
    </row>
    <row r="53" spans="2:12" x14ac:dyDescent="0.45">
      <c r="B53" t="s">
        <v>49</v>
      </c>
      <c r="C53" s="11">
        <v>1620000</v>
      </c>
      <c r="D53" s="10">
        <v>2.1499999999999998E-2</v>
      </c>
      <c r="E53" s="11">
        <v>2091319</v>
      </c>
      <c r="F53" s="10">
        <v>2.58E-2</v>
      </c>
      <c r="G53" s="11">
        <v>2280427</v>
      </c>
      <c r="H53" s="10">
        <v>2.8000000000000001E-2</v>
      </c>
      <c r="I53" s="11">
        <v>3158091</v>
      </c>
      <c r="J53" s="10">
        <v>3.8399999999999997E-2</v>
      </c>
      <c r="K53" s="11">
        <v>4302962</v>
      </c>
      <c r="L53" s="10">
        <v>5.16E-2</v>
      </c>
    </row>
    <row r="54" spans="2:12" x14ac:dyDescent="0.45">
      <c r="B54" t="s">
        <v>48</v>
      </c>
      <c r="C54" s="11">
        <v>78840</v>
      </c>
      <c r="D54" s="10">
        <v>8.0000000000000004E-4</v>
      </c>
      <c r="E54" s="11">
        <v>101740</v>
      </c>
      <c r="F54" s="10">
        <v>1E-3</v>
      </c>
      <c r="G54" s="11">
        <v>110936</v>
      </c>
      <c r="H54" s="10">
        <v>1.1000000000000001E-3</v>
      </c>
      <c r="I54" s="11">
        <v>153637</v>
      </c>
      <c r="J54" s="10">
        <v>1.5E-3</v>
      </c>
      <c r="K54" s="11">
        <v>209333</v>
      </c>
      <c r="L54" s="10">
        <v>2E-3</v>
      </c>
    </row>
    <row r="55" spans="2:12" x14ac:dyDescent="0.45">
      <c r="B55" t="s">
        <v>47</v>
      </c>
      <c r="C55" s="11">
        <v>26280</v>
      </c>
      <c r="D55" s="10">
        <v>2.5999999999999999E-3</v>
      </c>
      <c r="E55" s="11">
        <v>33913</v>
      </c>
      <c r="F55" s="10">
        <v>2.8999999999999998E-3</v>
      </c>
      <c r="G55" s="11">
        <v>36976</v>
      </c>
      <c r="H55" s="10">
        <v>2.8999999999999998E-3</v>
      </c>
      <c r="I55" s="11">
        <v>42179</v>
      </c>
      <c r="J55" s="10">
        <v>3.0999999999999999E-3</v>
      </c>
      <c r="K55" s="11">
        <v>69778</v>
      </c>
      <c r="L55" s="10">
        <v>5.1999999999999998E-3</v>
      </c>
    </row>
    <row r="56" spans="2:12" x14ac:dyDescent="0.45">
      <c r="B56" t="s">
        <v>46</v>
      </c>
      <c r="C56" s="11">
        <v>96360</v>
      </c>
      <c r="D56" s="10">
        <v>1.6000000000000001E-3</v>
      </c>
      <c r="E56" s="11">
        <v>124349</v>
      </c>
      <c r="F56" s="10">
        <v>1.9E-3</v>
      </c>
      <c r="G56" s="11">
        <v>135588</v>
      </c>
      <c r="H56" s="10">
        <v>2.0999999999999999E-3</v>
      </c>
      <c r="I56" s="11">
        <v>187778</v>
      </c>
      <c r="J56" s="10">
        <v>2.8999999999999998E-3</v>
      </c>
      <c r="K56" s="11">
        <v>255852</v>
      </c>
      <c r="L56" s="10">
        <v>4.0000000000000001E-3</v>
      </c>
    </row>
    <row r="57" spans="2:12" x14ac:dyDescent="0.45">
      <c r="B57" t="s">
        <v>45</v>
      </c>
      <c r="C57" s="11">
        <v>1062980</v>
      </c>
      <c r="D57" s="10">
        <v>2.0799999999999999E-2</v>
      </c>
      <c r="E57" s="11">
        <v>1370944</v>
      </c>
      <c r="F57" s="10">
        <v>2.5000000000000001E-2</v>
      </c>
      <c r="G57" s="11">
        <v>1494860</v>
      </c>
      <c r="H57" s="10">
        <v>2.7199999999999998E-2</v>
      </c>
      <c r="I57" s="11">
        <v>2070257</v>
      </c>
      <c r="J57" s="10">
        <v>3.7199999999999997E-2</v>
      </c>
      <c r="K57" s="11">
        <v>2887260</v>
      </c>
      <c r="L57" s="10">
        <v>5.0999999999999997E-2</v>
      </c>
    </row>
    <row r="58" spans="2:12" x14ac:dyDescent="0.45">
      <c r="B58" t="s">
        <v>44</v>
      </c>
      <c r="C58" s="11">
        <v>652800</v>
      </c>
      <c r="D58" s="10">
        <v>5.1999999999999998E-3</v>
      </c>
      <c r="E58" s="11">
        <v>876866</v>
      </c>
      <c r="F58" s="10">
        <v>6.3E-3</v>
      </c>
      <c r="G58" s="11">
        <v>973592</v>
      </c>
      <c r="H58" s="10">
        <v>6.7999999999999996E-3</v>
      </c>
      <c r="I58" s="11">
        <v>1024246</v>
      </c>
      <c r="J58" s="10">
        <v>9.4999999999999998E-3</v>
      </c>
      <c r="K58" s="11">
        <v>1395585</v>
      </c>
      <c r="L58" s="10">
        <v>1.3100000000000001E-2</v>
      </c>
    </row>
    <row r="59" spans="2:12" x14ac:dyDescent="0.45">
      <c r="B59" t="s">
        <v>43</v>
      </c>
      <c r="C59" s="11">
        <v>824316</v>
      </c>
      <c r="D59" s="10">
        <v>1.24E-2</v>
      </c>
      <c r="E59" s="11">
        <v>1063747</v>
      </c>
      <c r="F59" s="10">
        <v>1.49E-2</v>
      </c>
      <c r="G59" s="11">
        <v>1159885</v>
      </c>
      <c r="H59" s="10">
        <v>1.6199999999999999E-2</v>
      </c>
      <c r="I59" s="11">
        <v>1606359</v>
      </c>
      <c r="J59" s="10">
        <v>2.23E-2</v>
      </c>
      <c r="K59" s="11">
        <v>2188866</v>
      </c>
      <c r="L59" s="10">
        <v>3.0099999999999998E-2</v>
      </c>
    </row>
    <row r="60" spans="2:12" x14ac:dyDescent="0.45">
      <c r="B60" t="s">
        <v>42</v>
      </c>
      <c r="C60" s="11">
        <v>1973620</v>
      </c>
      <c r="D60" s="10">
        <v>1.3599999999999999E-2</v>
      </c>
      <c r="E60" s="11">
        <v>1254791</v>
      </c>
      <c r="F60" s="10">
        <v>1.4500000000000001E-2</v>
      </c>
      <c r="G60" s="11">
        <v>1368886</v>
      </c>
      <c r="H60" s="10">
        <v>1.5800000000000002E-2</v>
      </c>
      <c r="I60" s="11">
        <v>1894585</v>
      </c>
      <c r="J60" s="10">
        <v>2.18E-2</v>
      </c>
      <c r="K60" s="11">
        <v>2581727</v>
      </c>
      <c r="L60" s="10">
        <v>2.98E-2</v>
      </c>
    </row>
    <row r="61" spans="2:12" x14ac:dyDescent="0.45">
      <c r="B61" t="s">
        <v>41</v>
      </c>
      <c r="C61" s="11">
        <v>578160</v>
      </c>
      <c r="D61" s="10">
        <v>3.7100000000000001E-2</v>
      </c>
      <c r="E61" s="11">
        <v>742906</v>
      </c>
      <c r="F61" s="10">
        <v>4.3299999999999998E-2</v>
      </c>
      <c r="G61" s="11">
        <v>813528</v>
      </c>
      <c r="H61" s="10">
        <v>4.8099999999999997E-2</v>
      </c>
      <c r="I61" s="11">
        <v>1121676</v>
      </c>
      <c r="J61" s="10">
        <v>6.54E-2</v>
      </c>
      <c r="K61" s="11">
        <v>1535211</v>
      </c>
      <c r="L61" s="10">
        <v>7.1300000000000002E-2</v>
      </c>
    </row>
    <row r="62" spans="2:12" x14ac:dyDescent="0.45">
      <c r="B62" t="s">
        <v>40</v>
      </c>
      <c r="C62" s="11">
        <v>3959520</v>
      </c>
      <c r="D62" s="10">
        <v>0.11700000000000001</v>
      </c>
      <c r="E62" s="11">
        <v>5109601</v>
      </c>
      <c r="F62" s="10">
        <v>0.13750000000000001</v>
      </c>
      <c r="G62" s="11">
        <v>5571422</v>
      </c>
      <c r="H62" s="10">
        <v>0.14810000000000001</v>
      </c>
      <c r="I62" s="11">
        <v>7715984</v>
      </c>
      <c r="J62" s="10">
        <v>0.19409999999999999</v>
      </c>
      <c r="K62" s="11">
        <v>10513184</v>
      </c>
      <c r="L62" s="10">
        <v>0.24709999999999999</v>
      </c>
    </row>
    <row r="63" spans="2:12" x14ac:dyDescent="0.45">
      <c r="B63" t="s">
        <v>39</v>
      </c>
      <c r="C63" s="11">
        <v>3416700</v>
      </c>
      <c r="D63" s="10">
        <v>0.14219999999999999</v>
      </c>
      <c r="E63" s="11">
        <v>4419700</v>
      </c>
      <c r="F63" s="10">
        <v>0.182</v>
      </c>
      <c r="G63" s="11">
        <v>4840747</v>
      </c>
      <c r="H63" s="10">
        <v>0.1888</v>
      </c>
      <c r="I63" s="11">
        <v>7006150</v>
      </c>
      <c r="J63" s="10">
        <v>0.14749999999999999</v>
      </c>
      <c r="K63" s="11">
        <v>9759194</v>
      </c>
      <c r="L63" s="10">
        <v>0.22009999999999999</v>
      </c>
    </row>
    <row r="64" spans="2:12" x14ac:dyDescent="0.45">
      <c r="B64" t="s">
        <v>38</v>
      </c>
      <c r="C64" s="11">
        <v>15720</v>
      </c>
      <c r="D64" s="10">
        <v>6.1000000000000004E-3</v>
      </c>
      <c r="E64" s="11">
        <v>22609</v>
      </c>
      <c r="F64" s="10">
        <v>1.9E-3</v>
      </c>
      <c r="G64" s="11">
        <v>24652</v>
      </c>
      <c r="H64" s="10">
        <v>2.0999999999999999E-3</v>
      </c>
      <c r="I64" s="11">
        <v>34142</v>
      </c>
      <c r="J64" s="10">
        <v>2.8999999999999998E-3</v>
      </c>
      <c r="K64" s="11">
        <v>46519</v>
      </c>
      <c r="L64" s="10">
        <v>4.0000000000000001E-3</v>
      </c>
    </row>
    <row r="65" spans="2:12" x14ac:dyDescent="0.45">
      <c r="B65" t="s">
        <v>37</v>
      </c>
      <c r="C65" s="11">
        <v>4038630</v>
      </c>
      <c r="D65" s="10">
        <v>5.4199999999999998E-2</v>
      </c>
      <c r="E65" s="11">
        <v>5211341</v>
      </c>
      <c r="F65" s="10">
        <v>6.4600000000000005E-2</v>
      </c>
      <c r="G65" s="11">
        <v>5682378</v>
      </c>
      <c r="H65" s="10">
        <v>7.0000000000000007E-2</v>
      </c>
      <c r="I65" s="11">
        <v>7869621</v>
      </c>
      <c r="J65" s="10">
        <v>9.4399999999999998E-2</v>
      </c>
      <c r="K65" s="11">
        <v>10722517</v>
      </c>
      <c r="L65" s="10">
        <v>0.1244</v>
      </c>
    </row>
    <row r="66" spans="2:12" x14ac:dyDescent="0.45">
      <c r="B66" t="s">
        <v>36</v>
      </c>
      <c r="C66" s="11">
        <v>402960</v>
      </c>
      <c r="D66" s="10">
        <v>1.6000000000000001E-3</v>
      </c>
      <c r="E66" s="11">
        <v>530189</v>
      </c>
      <c r="F66" s="10">
        <v>2.3E-3</v>
      </c>
      <c r="G66" s="11">
        <v>578907</v>
      </c>
      <c r="H66" s="10">
        <v>2.3999999999999998E-3</v>
      </c>
      <c r="I66" s="11">
        <v>802065</v>
      </c>
      <c r="J66" s="10">
        <v>3.2000000000000002E-3</v>
      </c>
      <c r="K66" s="11">
        <v>1096205</v>
      </c>
      <c r="L66" s="10">
        <v>4.4000000000000003E-3</v>
      </c>
    </row>
    <row r="67" spans="2:12" x14ac:dyDescent="0.45">
      <c r="B67" t="s">
        <v>35</v>
      </c>
      <c r="C67" s="11">
        <v>4067385</v>
      </c>
      <c r="D67" s="10">
        <v>2.8400000000000002E-2</v>
      </c>
      <c r="E67" s="11">
        <v>5248796</v>
      </c>
      <c r="F67" s="10">
        <v>3.56E-2</v>
      </c>
      <c r="G67" s="11">
        <v>5723219</v>
      </c>
      <c r="H67" s="10">
        <v>3.6900000000000002E-2</v>
      </c>
      <c r="I67" s="11">
        <v>7926182</v>
      </c>
      <c r="J67" s="10">
        <v>5.6500000000000002E-2</v>
      </c>
      <c r="K67" s="11">
        <v>10799583</v>
      </c>
      <c r="L67" s="10">
        <v>6.7500000000000004E-2</v>
      </c>
    </row>
    <row r="68" spans="2:12" x14ac:dyDescent="0.45">
      <c r="B68" t="s">
        <v>34</v>
      </c>
      <c r="C68" s="11">
        <v>2672676</v>
      </c>
      <c r="D68" s="10">
        <v>1.9199999999999998E-2</v>
      </c>
      <c r="E68" s="11">
        <v>3484821</v>
      </c>
      <c r="F68" s="10">
        <v>2.3E-2</v>
      </c>
      <c r="G68" s="11">
        <v>3760724</v>
      </c>
      <c r="H68" s="10">
        <v>2.5000000000000001E-2</v>
      </c>
      <c r="I68" s="11">
        <v>5208289</v>
      </c>
      <c r="J68" s="10">
        <v>3.44E-2</v>
      </c>
      <c r="K68" s="11">
        <v>7096939</v>
      </c>
      <c r="L68" s="10">
        <v>4.6199999999999998E-2</v>
      </c>
    </row>
    <row r="69" spans="2:12" x14ac:dyDescent="0.45">
      <c r="B69" t="s">
        <v>33</v>
      </c>
      <c r="C69" s="11">
        <v>3915720</v>
      </c>
      <c r="D69" s="10">
        <v>7.3800000000000004E-2</v>
      </c>
      <c r="E69" s="11">
        <v>5107735</v>
      </c>
      <c r="F69" s="10">
        <v>8.5699999999999998E-2</v>
      </c>
      <c r="G69" s="11">
        <v>5508981</v>
      </c>
      <c r="H69" s="10">
        <v>9.11E-2</v>
      </c>
      <c r="I69" s="11">
        <v>8008551</v>
      </c>
      <c r="J69" s="10">
        <v>0.1236</v>
      </c>
      <c r="K69" s="11">
        <v>10396838</v>
      </c>
      <c r="L69" s="10">
        <v>0.18310000000000001</v>
      </c>
    </row>
    <row r="70" spans="2:12" x14ac:dyDescent="0.45">
      <c r="B70" t="s">
        <v>32</v>
      </c>
      <c r="C70" s="11">
        <v>2363886</v>
      </c>
      <c r="D70" s="10">
        <v>1.78E-2</v>
      </c>
      <c r="E70" s="11">
        <v>3055020</v>
      </c>
      <c r="F70" s="10">
        <v>1.9800000000000002E-2</v>
      </c>
      <c r="G70" s="11">
        <v>3326225</v>
      </c>
      <c r="H70" s="10">
        <v>2.07E-2</v>
      </c>
      <c r="I70" s="11">
        <v>4606545</v>
      </c>
      <c r="J70" s="10">
        <v>2.8400000000000002E-2</v>
      </c>
      <c r="K70" s="11">
        <v>6276510</v>
      </c>
      <c r="L70" s="10">
        <v>3.8300000000000001E-2</v>
      </c>
    </row>
    <row r="71" spans="2:12" x14ac:dyDescent="0.45">
      <c r="B71" t="s">
        <v>31</v>
      </c>
      <c r="C71" s="11">
        <v>1226400</v>
      </c>
      <c r="D71" s="10">
        <v>1.7600000000000001E-2</v>
      </c>
      <c r="E71" s="11">
        <v>1582600</v>
      </c>
      <c r="F71" s="10">
        <v>2.12E-2</v>
      </c>
      <c r="G71" s="11">
        <v>1725688</v>
      </c>
      <c r="H71" s="10">
        <v>2.3E-2</v>
      </c>
      <c r="I71" s="11">
        <v>2389007</v>
      </c>
      <c r="J71" s="10">
        <v>3.1600000000000003E-2</v>
      </c>
      <c r="K71" s="11">
        <v>3256226</v>
      </c>
      <c r="L71" s="10">
        <v>2.06E-2</v>
      </c>
    </row>
    <row r="72" spans="2:12" x14ac:dyDescent="0.45">
      <c r="B72" t="s">
        <v>30</v>
      </c>
      <c r="C72" s="11">
        <v>6413663</v>
      </c>
      <c r="D72" s="10">
        <v>0.1139</v>
      </c>
      <c r="E72" s="11">
        <v>8276574</v>
      </c>
      <c r="F72" s="10">
        <v>0.13389999999999999</v>
      </c>
      <c r="G72" s="11">
        <v>9024668</v>
      </c>
      <c r="H72" s="10">
        <v>0.14430000000000001</v>
      </c>
      <c r="I72" s="11">
        <v>12498415</v>
      </c>
      <c r="J72" s="10">
        <v>0.1893</v>
      </c>
      <c r="K72" s="11">
        <v>17029342</v>
      </c>
      <c r="L72" s="10">
        <v>0.2414</v>
      </c>
    </row>
    <row r="73" spans="2:12" x14ac:dyDescent="0.45">
      <c r="B73" t="s">
        <v>29</v>
      </c>
      <c r="C73" s="11">
        <v>4590240</v>
      </c>
      <c r="D73" s="10">
        <v>3.1600000000000003E-2</v>
      </c>
      <c r="E73" s="11">
        <v>5923520</v>
      </c>
      <c r="F73" s="10">
        <v>3.78E-2</v>
      </c>
      <c r="G73" s="11">
        <v>6458929</v>
      </c>
      <c r="H73" s="10">
        <v>4.1099999999999998E-2</v>
      </c>
      <c r="I73" s="11">
        <v>8945079</v>
      </c>
      <c r="J73" s="10">
        <v>5.6099999999999997E-2</v>
      </c>
      <c r="K73" s="11">
        <v>12187850</v>
      </c>
      <c r="L73" s="10">
        <v>7.4899999999999994E-2</v>
      </c>
    </row>
    <row r="74" spans="2:12" x14ac:dyDescent="0.45">
      <c r="B74" t="s">
        <v>28</v>
      </c>
      <c r="C74" s="11">
        <v>17520</v>
      </c>
      <c r="D74" s="10">
        <v>2.3E-3</v>
      </c>
      <c r="E74" s="11">
        <v>22609</v>
      </c>
      <c r="F74" s="10">
        <v>2.8E-3</v>
      </c>
      <c r="G74" s="11">
        <v>24652</v>
      </c>
      <c r="H74" s="10">
        <v>3.0000000000000001E-3</v>
      </c>
      <c r="I74" s="11">
        <v>34142</v>
      </c>
      <c r="J74" s="10">
        <v>4.1999999999999997E-3</v>
      </c>
      <c r="K74" s="11">
        <v>46519</v>
      </c>
      <c r="L74" s="10">
        <v>5.7000000000000002E-3</v>
      </c>
    </row>
    <row r="75" spans="2:12" x14ac:dyDescent="0.45">
      <c r="B75" t="s">
        <v>27</v>
      </c>
      <c r="C75" s="11">
        <v>2023560</v>
      </c>
      <c r="D75" s="10">
        <v>2.4500000000000001E-2</v>
      </c>
      <c r="E75" s="11">
        <v>2611323</v>
      </c>
      <c r="F75" s="10">
        <v>2.93E-2</v>
      </c>
      <c r="G75" s="11">
        <v>2847352</v>
      </c>
      <c r="H75" s="10">
        <v>3.1800000000000002E-2</v>
      </c>
      <c r="I75" s="11">
        <v>3943346</v>
      </c>
      <c r="J75" s="10">
        <v>4.36E-2</v>
      </c>
      <c r="K75" s="11">
        <v>5372888</v>
      </c>
      <c r="L75" s="10">
        <v>5.8400000000000001E-2</v>
      </c>
    </row>
    <row r="76" spans="2:12" x14ac:dyDescent="0.45">
      <c r="B76" t="s">
        <v>26</v>
      </c>
      <c r="C76" s="11">
        <v>70080</v>
      </c>
      <c r="D76" s="10">
        <v>5.1999999999999998E-3</v>
      </c>
      <c r="E76" s="11">
        <v>90435</v>
      </c>
      <c r="F76" s="10">
        <v>6.3E-3</v>
      </c>
      <c r="G76" s="11">
        <v>98610</v>
      </c>
      <c r="H76" s="10">
        <v>6.7999999999999996E-3</v>
      </c>
      <c r="I76" s="11">
        <v>136566</v>
      </c>
      <c r="J76" s="10">
        <v>9.4000000000000004E-3</v>
      </c>
      <c r="K76" s="11">
        <v>186074</v>
      </c>
      <c r="L76" s="10">
        <v>1.2800000000000001E-2</v>
      </c>
    </row>
    <row r="77" spans="2:12" x14ac:dyDescent="0.45">
      <c r="B77" t="s">
        <v>25</v>
      </c>
      <c r="C77" s="11">
        <v>1327140</v>
      </c>
      <c r="D77" s="10">
        <v>1.2999999999999999E-2</v>
      </c>
      <c r="E77" s="11">
        <v>1712621</v>
      </c>
      <c r="F77" s="10">
        <v>1.5599999999999999E-2</v>
      </c>
      <c r="G77" s="11">
        <v>1867419</v>
      </c>
      <c r="H77" s="10">
        <v>1.7000000000000001E-2</v>
      </c>
      <c r="I77" s="11">
        <v>2586220</v>
      </c>
      <c r="J77" s="10">
        <v>2.3400000000000001E-2</v>
      </c>
      <c r="K77" s="11">
        <v>3523777</v>
      </c>
      <c r="L77" s="10">
        <v>3.1600000000000003E-2</v>
      </c>
    </row>
    <row r="78" spans="2:12" x14ac:dyDescent="0.45">
      <c r="B78" t="s">
        <v>24</v>
      </c>
      <c r="C78" s="11">
        <v>21813159</v>
      </c>
      <c r="D78" s="10">
        <v>4.5900000000000003E-2</v>
      </c>
      <c r="E78" s="11">
        <v>28149002</v>
      </c>
      <c r="F78" s="10">
        <v>5.4699999999999999E-2</v>
      </c>
      <c r="G78" s="11">
        <v>30693306</v>
      </c>
      <c r="H78" s="10">
        <v>5.9400000000000001E-2</v>
      </c>
      <c r="I78" s="11">
        <v>42507676</v>
      </c>
      <c r="J78" s="10">
        <v>8.0399999999999999E-2</v>
      </c>
      <c r="K78" s="11">
        <v>57917564</v>
      </c>
      <c r="L78" s="10">
        <v>0.10639999999999999</v>
      </c>
    </row>
    <row r="79" spans="2:12" x14ac:dyDescent="0.45">
      <c r="B79" t="s">
        <v>23</v>
      </c>
      <c r="C79" s="11">
        <v>2562037</v>
      </c>
      <c r="D79" s="10">
        <v>7.6799999999999993E-2</v>
      </c>
      <c r="E79" s="11">
        <v>3306206</v>
      </c>
      <c r="F79" s="10">
        <v>9.0999999999999998E-2</v>
      </c>
      <c r="G79" s="11">
        <v>3605044</v>
      </c>
      <c r="H79" s="10">
        <v>9.8400000000000001E-2</v>
      </c>
      <c r="I79" s="11">
        <v>4992686</v>
      </c>
      <c r="J79" s="10">
        <v>0.1313</v>
      </c>
      <c r="K79" s="11">
        <v>6802635</v>
      </c>
      <c r="L79" s="10">
        <v>0.17080000000000001</v>
      </c>
    </row>
    <row r="80" spans="2:12" x14ac:dyDescent="0.45">
      <c r="B80" t="s">
        <v>22</v>
      </c>
      <c r="C80" s="11">
        <v>33851122</v>
      </c>
      <c r="D80" s="10">
        <v>0.25590000000000002</v>
      </c>
      <c r="E80" s="11">
        <v>43683508</v>
      </c>
      <c r="F80" s="10">
        <v>0.2928</v>
      </c>
      <c r="G80" s="11">
        <v>47631298</v>
      </c>
      <c r="H80" s="10">
        <v>0.311</v>
      </c>
      <c r="I80" s="11">
        <v>65966620</v>
      </c>
      <c r="J80" s="10">
        <v>0.38469999999999999</v>
      </c>
      <c r="K80" s="11">
        <v>89880357</v>
      </c>
      <c r="L80" s="10">
        <v>0.46</v>
      </c>
    </row>
    <row r="81" spans="2:12" x14ac:dyDescent="0.45">
      <c r="B81" t="s">
        <v>21</v>
      </c>
      <c r="C81" s="11">
        <v>5171612</v>
      </c>
      <c r="D81" s="10">
        <v>5.6899999999999999E-2</v>
      </c>
      <c r="E81" s="11">
        <v>6673757</v>
      </c>
      <c r="F81" s="10">
        <v>6.7699999999999996E-2</v>
      </c>
      <c r="G81" s="11">
        <v>7276977</v>
      </c>
      <c r="H81" s="10">
        <v>7.3400000000000007E-2</v>
      </c>
      <c r="I81" s="11">
        <v>10087029</v>
      </c>
      <c r="J81" s="10">
        <v>9.5000000000000001E-2</v>
      </c>
      <c r="K81" s="11">
        <v>13731490</v>
      </c>
      <c r="L81" s="10">
        <v>0.10630000000000001</v>
      </c>
    </row>
    <row r="82" spans="2:12" x14ac:dyDescent="0.45">
      <c r="B82" t="s">
        <v>20</v>
      </c>
      <c r="C82" s="11">
        <v>148920</v>
      </c>
      <c r="D82" s="10">
        <v>2.0999999999999999E-3</v>
      </c>
      <c r="E82" s="11">
        <v>192175</v>
      </c>
      <c r="F82" s="10">
        <v>2.5999999999999999E-3</v>
      </c>
      <c r="G82" s="11">
        <v>209545</v>
      </c>
      <c r="H82" s="10">
        <v>2.8E-3</v>
      </c>
      <c r="I82" s="11">
        <v>290203</v>
      </c>
      <c r="J82" s="10">
        <v>3.8999999999999998E-3</v>
      </c>
      <c r="K82" s="11">
        <v>395407</v>
      </c>
      <c r="L82" s="10">
        <v>5.7000000000000002E-3</v>
      </c>
    </row>
    <row r="83" spans="2:12" x14ac:dyDescent="0.45">
      <c r="B83" t="s">
        <v>19</v>
      </c>
      <c r="C83" s="11">
        <v>1857120</v>
      </c>
      <c r="D83" s="10">
        <v>0.11260000000000001</v>
      </c>
      <c r="E83" s="11">
        <v>2396538</v>
      </c>
      <c r="F83" s="10">
        <v>0.13239999999999999</v>
      </c>
      <c r="G83" s="11">
        <v>2613144</v>
      </c>
      <c r="H83" s="10">
        <v>0.14269999999999999</v>
      </c>
      <c r="I83" s="11">
        <v>3619002</v>
      </c>
      <c r="J83" s="10">
        <v>0.18729999999999999</v>
      </c>
      <c r="K83" s="11">
        <v>4930962</v>
      </c>
      <c r="L83" s="10">
        <v>0.23899999999999999</v>
      </c>
    </row>
    <row r="85" spans="2:12" x14ac:dyDescent="0.45">
      <c r="B85" t="s">
        <v>18</v>
      </c>
      <c r="C85" s="5">
        <f>SUM(C40:C83)/10^6</f>
        <v>153.229792</v>
      </c>
      <c r="E85" s="5">
        <f>SUM(E40:E83)/10^6</f>
        <v>196.64529200000001</v>
      </c>
      <c r="G85" s="5">
        <f>SUM(G40:G83)/10^6</f>
        <v>214.53473700000001</v>
      </c>
      <c r="I85" s="5">
        <f>SUM(I40:I83)/10^6</f>
        <v>296.291222</v>
      </c>
      <c r="K85" s="5">
        <f>SUM(K40:K83)/10^6</f>
        <v>404.86111699999998</v>
      </c>
    </row>
    <row r="86" spans="2:12" x14ac:dyDescent="0.45">
      <c r="B86" t="s">
        <v>17</v>
      </c>
      <c r="C86">
        <f>[1]EPRI!C4</f>
        <v>152</v>
      </c>
      <c r="E86">
        <f>[1]EPRI!D8</f>
        <v>196.3</v>
      </c>
      <c r="G86">
        <f>[1]EPRI!D7</f>
        <v>214</v>
      </c>
      <c r="I86">
        <f>[1]EPRI!D6</f>
        <v>296.39999999999998</v>
      </c>
      <c r="K86">
        <f>[1]EPRI!D5</f>
        <v>403.9</v>
      </c>
    </row>
  </sheetData>
  <conditionalFormatting sqref="D40:D83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H40:H83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hyperlinks>
    <hyperlink ref="C2" r:id="rId1" xr:uid="{DE1F9E5D-CDE6-4AA5-B99B-1A2C6274E739}"/>
    <hyperlink ref="C3" r:id="rId2" xr:uid="{64EBA6DB-73B8-46DA-B411-F4A5355E1369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C1AF2-B43E-4D12-89DF-576683C5D5B4}">
  <dimension ref="A1:AC18"/>
  <sheetViews>
    <sheetView workbookViewId="0">
      <selection activeCell="C16" sqref="C16"/>
    </sheetView>
  </sheetViews>
  <sheetFormatPr defaultRowHeight="14.25" x14ac:dyDescent="0.45"/>
  <cols>
    <col min="2" max="3" width="12.33203125" bestFit="1" customWidth="1"/>
    <col min="4" max="4" width="12.33203125" customWidth="1"/>
    <col min="5" max="5" width="9.86328125" bestFit="1" customWidth="1"/>
    <col min="6" max="6" width="12.3984375" bestFit="1" customWidth="1"/>
    <col min="7" max="33" width="12.33203125" bestFit="1" customWidth="1"/>
  </cols>
  <sheetData>
    <row r="1" spans="1:29" x14ac:dyDescent="0.45">
      <c r="A1" s="2" t="s">
        <v>80</v>
      </c>
      <c r="B1" s="2" t="str">
        <f>About!B1</f>
        <v>North Dakota</v>
      </c>
      <c r="C1" s="2" t="s">
        <v>142</v>
      </c>
    </row>
    <row r="3" spans="1:29" x14ac:dyDescent="0.45">
      <c r="B3" s="2">
        <v>2023</v>
      </c>
      <c r="C3" s="2">
        <v>2030</v>
      </c>
      <c r="D3" s="2"/>
    </row>
    <row r="4" spans="1:29" x14ac:dyDescent="0.45">
      <c r="A4" s="2" t="s">
        <v>139</v>
      </c>
      <c r="B4" s="11">
        <f>SUMIFS('EPRI regional'!$C$40:$C$83,'EPRI regional'!$B$40:$B$83,About!$B$1)</f>
        <v>3915720</v>
      </c>
      <c r="C4" s="11">
        <f>SUMIFS('EPRI regional'!$E$40:$E$83,'EPRI regional'!$B$40:$B$83,About!$B$1)</f>
        <v>5107735</v>
      </c>
      <c r="D4" s="11"/>
    </row>
    <row r="5" spans="1:29" x14ac:dyDescent="0.45">
      <c r="A5" s="2" t="s">
        <v>140</v>
      </c>
      <c r="B5" s="11">
        <f>SUMIFS('EPRI regional'!$C$40:$C$83,'EPRI regional'!$B$40:$B$83,About!$B$1)</f>
        <v>3915720</v>
      </c>
      <c r="C5" s="11">
        <f>SUMIFS('EPRI regional'!$G$40:$G$83,'EPRI regional'!$B$40:$B$83,About!$B$1)</f>
        <v>5508981</v>
      </c>
      <c r="D5" s="11"/>
    </row>
    <row r="6" spans="1:29" x14ac:dyDescent="0.45">
      <c r="A6" s="2" t="s">
        <v>141</v>
      </c>
      <c r="B6" s="11">
        <f>SUMIFS('EPRI regional'!$C$40:$C$83,'EPRI regional'!$B$40:$B$83,About!$B$1)</f>
        <v>3915720</v>
      </c>
      <c r="C6" s="11">
        <f>SUMIFS('EPRI regional'!$K$40:$K$83,'EPRI regional'!$B$40:$B$83,About!$B$1)</f>
        <v>10396838</v>
      </c>
      <c r="D6" s="11"/>
    </row>
    <row r="8" spans="1:29" x14ac:dyDescent="0.45">
      <c r="A8" s="2" t="s">
        <v>144</v>
      </c>
      <c r="B8" s="2"/>
      <c r="C8" s="2">
        <v>2024</v>
      </c>
      <c r="D8" s="2">
        <v>2025</v>
      </c>
      <c r="E8" s="2">
        <v>2026</v>
      </c>
      <c r="F8" s="2">
        <v>2027</v>
      </c>
      <c r="G8" s="2">
        <v>2028</v>
      </c>
      <c r="H8" s="2">
        <v>2029</v>
      </c>
      <c r="I8" s="2">
        <v>2030</v>
      </c>
      <c r="J8" s="2">
        <v>2031</v>
      </c>
      <c r="K8" s="2">
        <v>2032</v>
      </c>
      <c r="L8" s="2">
        <v>2033</v>
      </c>
      <c r="M8" s="2">
        <v>2034</v>
      </c>
      <c r="N8" s="2">
        <v>2035</v>
      </c>
      <c r="O8" s="2">
        <v>2036</v>
      </c>
      <c r="P8" s="2">
        <v>2037</v>
      </c>
      <c r="Q8" s="2">
        <v>2038</v>
      </c>
      <c r="R8" s="2">
        <v>2039</v>
      </c>
      <c r="S8" s="2">
        <v>2040</v>
      </c>
      <c r="T8" s="2">
        <v>2041</v>
      </c>
      <c r="U8" s="2">
        <v>2042</v>
      </c>
      <c r="V8" s="2">
        <v>2043</v>
      </c>
      <c r="W8" s="2">
        <v>2044</v>
      </c>
      <c r="X8" s="2">
        <v>2045</v>
      </c>
      <c r="Y8" s="2">
        <v>2046</v>
      </c>
      <c r="Z8" s="2">
        <v>2047</v>
      </c>
      <c r="AA8" s="2">
        <v>2048</v>
      </c>
      <c r="AB8" s="2">
        <v>2049</v>
      </c>
      <c r="AC8" s="2">
        <v>2050</v>
      </c>
    </row>
    <row r="9" spans="1:29" x14ac:dyDescent="0.45">
      <c r="A9" s="2" t="s">
        <v>139</v>
      </c>
      <c r="C9" s="6"/>
      <c r="D9" s="6"/>
      <c r="E9" s="6"/>
      <c r="F9" s="6"/>
      <c r="G9" s="6"/>
      <c r="H9" s="6"/>
      <c r="I9" s="6"/>
      <c r="J9" s="6">
        <f>'US-values'!J3/'US-values'!$I3</f>
        <v>1.0391184595959595</v>
      </c>
      <c r="K9" s="6">
        <f>'US-values'!K3/'US-values'!$I3</f>
        <v>1.0789879166666665</v>
      </c>
      <c r="L9" s="6">
        <f>'US-values'!L3/'US-values'!$I3</f>
        <v>1.1195883939393938</v>
      </c>
      <c r="M9" s="6">
        <f>'US-values'!M3/'US-values'!$I3</f>
        <v>1.1607807904040404</v>
      </c>
      <c r="N9" s="6">
        <f>'US-values'!N3/'US-values'!$I3</f>
        <v>1.2024452424242422</v>
      </c>
      <c r="O9" s="6">
        <f>'US-values'!O3/'US-values'!$I3</f>
        <v>1.2443738383838383</v>
      </c>
      <c r="P9" s="6">
        <f>'US-values'!P3/'US-values'!$I3</f>
        <v>1.2863727247474745</v>
      </c>
      <c r="Q9" s="6">
        <f>'US-values'!Q3/'US-values'!$I3</f>
        <v>1.3279224924242421</v>
      </c>
      <c r="R9" s="6">
        <f>'US-values'!R3/'US-values'!$I3</f>
        <v>1.3686568914141415</v>
      </c>
      <c r="S9" s="6">
        <f>'US-values'!S3/'US-values'!$I3</f>
        <v>1.4081985732323232</v>
      </c>
      <c r="T9" s="6">
        <f>'US-values'!T3/'US-values'!$I3</f>
        <v>1.4463973383838384</v>
      </c>
      <c r="U9" s="6">
        <f>'US-values'!U3/'US-values'!$I3</f>
        <v>1.4826479494949492</v>
      </c>
      <c r="V9" s="6">
        <f>'US-values'!V3/'US-values'!$I3</f>
        <v>1.5169851818181814</v>
      </c>
      <c r="W9" s="6">
        <f>'US-values'!W3/'US-values'!$I3</f>
        <v>1.5488163762626259</v>
      </c>
      <c r="X9" s="6">
        <f>'US-values'!X3/'US-values'!$I3</f>
        <v>1.5781518914141415</v>
      </c>
      <c r="Y9" s="6">
        <f>'US-values'!Y3/'US-values'!$I3</f>
        <v>1.6042880833333331</v>
      </c>
      <c r="Z9" s="6">
        <f>'US-values'!Z3/'US-values'!$I3</f>
        <v>1.6269985429292926</v>
      </c>
      <c r="AA9" s="6">
        <f>'US-values'!AA3/'US-values'!$I3</f>
        <v>1.6460346641414139</v>
      </c>
      <c r="AB9" s="6">
        <f>'US-values'!AB3/'US-values'!$I3</f>
        <v>1.6612551262626263</v>
      </c>
      <c r="AC9" s="6">
        <f>'US-values'!AC3/'US-values'!$I3</f>
        <v>1.6747723409090909</v>
      </c>
    </row>
    <row r="10" spans="1:29" x14ac:dyDescent="0.45">
      <c r="A10" s="2" t="s">
        <v>140</v>
      </c>
      <c r="C10" s="6"/>
      <c r="D10" s="6"/>
      <c r="E10" s="6"/>
      <c r="F10" s="6"/>
      <c r="G10" s="6"/>
      <c r="H10" s="6"/>
      <c r="I10" s="6"/>
      <c r="J10" s="6">
        <f>'US-values'!J4/'US-values'!$I4</f>
        <v>1.051965811965802</v>
      </c>
      <c r="K10" s="6">
        <f>'US-values'!K4/'US-values'!$I4</f>
        <v>1.1039316239316164</v>
      </c>
      <c r="L10" s="6">
        <f>'US-values'!L4/'US-values'!$I4</f>
        <v>1.155897435897431</v>
      </c>
      <c r="M10" s="6">
        <f>'US-values'!M4/'US-values'!$I4</f>
        <v>1.2078632478632454</v>
      </c>
      <c r="N10" s="6">
        <f>'US-values'!N4/'US-values'!$I4</f>
        <v>1.2598290598290598</v>
      </c>
      <c r="O10" s="6">
        <f>'US-values'!O4/'US-values'!$I4</f>
        <v>1.2882051282051381</v>
      </c>
      <c r="P10" s="6">
        <f>'US-values'!P4/'US-values'!$I4</f>
        <v>1.3165811965812042</v>
      </c>
      <c r="Q10" s="6">
        <f>'US-values'!Q4/'US-values'!$I4</f>
        <v>1.3449572649572699</v>
      </c>
      <c r="R10" s="6">
        <f>'US-values'!R4/'US-values'!$I4</f>
        <v>1.3733333333333357</v>
      </c>
      <c r="S10" s="6">
        <f>'US-values'!S4/'US-values'!$I4</f>
        <v>1.4017094017094016</v>
      </c>
      <c r="T10" s="6">
        <f>'US-values'!T4/'US-values'!$I4</f>
        <v>1.4177777777777802</v>
      </c>
      <c r="U10" s="6">
        <f>'US-values'!U4/'US-values'!$I4</f>
        <v>1.4338461538461527</v>
      </c>
      <c r="V10" s="6">
        <f>'US-values'!V4/'US-values'!$I4</f>
        <v>1.4499145299145311</v>
      </c>
      <c r="W10" s="6">
        <f>'US-values'!W4/'US-values'!$I4</f>
        <v>1.4659829059829097</v>
      </c>
      <c r="X10" s="6">
        <f>'US-values'!X4/'US-values'!$I4</f>
        <v>1.4820512820512821</v>
      </c>
      <c r="Y10" s="6">
        <f>'US-values'!Y4/'US-values'!$I4</f>
        <v>1.4981196581196605</v>
      </c>
      <c r="Z10" s="6">
        <f>'US-values'!Z4/'US-values'!$I4</f>
        <v>1.5141880341880329</v>
      </c>
      <c r="AA10" s="6">
        <f>'US-values'!AA4/'US-values'!$I4</f>
        <v>1.5302564102564116</v>
      </c>
      <c r="AB10" s="6">
        <f>'US-values'!AB4/'US-values'!$I4</f>
        <v>1.54632478632479</v>
      </c>
      <c r="AC10" s="6">
        <f>'US-values'!AC4/'US-values'!$I4</f>
        <v>1.5623931623931624</v>
      </c>
    </row>
    <row r="11" spans="1:29" x14ac:dyDescent="0.45">
      <c r="A11" s="2" t="s">
        <v>141</v>
      </c>
      <c r="C11" s="6"/>
      <c r="D11" s="6"/>
      <c r="E11" s="6"/>
      <c r="F11" s="6"/>
      <c r="G11" s="6"/>
      <c r="H11" s="6"/>
      <c r="I11" s="6"/>
      <c r="J11" s="6">
        <f>'US-values'!J5/'US-values'!$I5</f>
        <v>1.0855263157894737</v>
      </c>
      <c r="K11" s="6">
        <f>'US-values'!K5/'US-values'!$I5</f>
        <v>1.1710526315789473</v>
      </c>
      <c r="L11" s="6">
        <f>'US-values'!L5/'US-values'!$I5</f>
        <v>1.256578947368421</v>
      </c>
      <c r="M11" s="6">
        <f>'US-values'!M5/'US-values'!$I5</f>
        <v>1.3421052631578947</v>
      </c>
      <c r="N11" s="6">
        <f>'US-values'!N5/'US-values'!$I5</f>
        <v>1.4276315789473684</v>
      </c>
      <c r="O11" s="6">
        <f>'US-values'!O5/'US-values'!$I5</f>
        <v>1.4747368421052478</v>
      </c>
      <c r="P11" s="6">
        <f>'US-values'!P5/'US-values'!$I5</f>
        <v>1.5218421052631463</v>
      </c>
      <c r="Q11" s="6">
        <f>'US-values'!Q5/'US-values'!$I5</f>
        <v>1.5689473684210451</v>
      </c>
      <c r="R11" s="6">
        <f>'US-values'!R5/'US-values'!$I5</f>
        <v>1.6160526315789436</v>
      </c>
      <c r="S11" s="6">
        <f>'US-values'!S5/'US-values'!$I5</f>
        <v>1.6631578947368422</v>
      </c>
      <c r="T11" s="6">
        <f>'US-values'!T5/'US-values'!$I5</f>
        <v>1.7232894736842259</v>
      </c>
      <c r="U11" s="6">
        <f>'US-values'!U5/'US-values'!$I5</f>
        <v>1.7834210526315906</v>
      </c>
      <c r="V11" s="6">
        <f>'US-values'!V5/'US-values'!$I5</f>
        <v>1.843552631578955</v>
      </c>
      <c r="W11" s="6">
        <f>'US-values'!W5/'US-values'!$I5</f>
        <v>1.9036842105263196</v>
      </c>
      <c r="X11" s="6">
        <f>'US-values'!X5/'US-values'!$I5</f>
        <v>1.9638157894736843</v>
      </c>
      <c r="Y11" s="6">
        <f>'US-values'!Y5/'US-values'!$I5</f>
        <v>2.023947368421068</v>
      </c>
      <c r="Z11" s="6">
        <f>'US-values'!Z5/'US-values'!$I5</f>
        <v>2.0840789473684325</v>
      </c>
      <c r="AA11" s="6">
        <f>'US-values'!AA5/'US-values'!$I5</f>
        <v>2.1442105263157969</v>
      </c>
      <c r="AB11" s="6">
        <f>'US-values'!AB5/'US-values'!$I5</f>
        <v>2.2043421052631618</v>
      </c>
      <c r="AC11" s="6">
        <f>'US-values'!AC5/'US-values'!$I5</f>
        <v>2.2644736842105262</v>
      </c>
    </row>
    <row r="12" spans="1:29" x14ac:dyDescent="0.45">
      <c r="A12" s="2"/>
    </row>
    <row r="14" spans="1:29" x14ac:dyDescent="0.45">
      <c r="A14" s="2" t="s">
        <v>145</v>
      </c>
      <c r="B14" s="17" t="s">
        <v>81</v>
      </c>
      <c r="C14" s="12"/>
      <c r="D14" s="12"/>
      <c r="E14" s="12"/>
      <c r="F14" s="12"/>
      <c r="G14" s="12"/>
      <c r="H14" s="12"/>
      <c r="I14" s="12"/>
      <c r="J14" s="18" t="s">
        <v>146</v>
      </c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</row>
    <row r="15" spans="1:29" x14ac:dyDescent="0.45">
      <c r="B15" s="2">
        <v>2023</v>
      </c>
      <c r="C15" s="2">
        <v>2024</v>
      </c>
      <c r="D15" s="2">
        <v>2025</v>
      </c>
      <c r="E15" s="2">
        <v>2026</v>
      </c>
      <c r="F15" s="2">
        <v>2027</v>
      </c>
      <c r="G15" s="2">
        <v>2028</v>
      </c>
      <c r="H15" s="2">
        <v>2029</v>
      </c>
      <c r="I15" s="2">
        <v>2030</v>
      </c>
      <c r="J15" s="2">
        <v>2031</v>
      </c>
      <c r="K15" s="2">
        <v>2032</v>
      </c>
      <c r="L15" s="2">
        <v>2033</v>
      </c>
      <c r="M15" s="2">
        <v>2034</v>
      </c>
      <c r="N15" s="2">
        <v>2035</v>
      </c>
      <c r="O15" s="2">
        <v>2036</v>
      </c>
      <c r="P15" s="2">
        <v>2037</v>
      </c>
      <c r="Q15" s="2">
        <v>2038</v>
      </c>
      <c r="R15" s="2">
        <v>2039</v>
      </c>
      <c r="S15" s="2">
        <v>2040</v>
      </c>
      <c r="T15" s="2">
        <v>2041</v>
      </c>
      <c r="U15" s="2">
        <v>2042</v>
      </c>
      <c r="V15" s="2">
        <v>2043</v>
      </c>
      <c r="W15" s="2">
        <v>2044</v>
      </c>
      <c r="X15" s="2">
        <v>2045</v>
      </c>
      <c r="Y15" s="2">
        <v>2046</v>
      </c>
      <c r="Z15" s="2">
        <v>2047</v>
      </c>
      <c r="AA15" s="2">
        <v>2048</v>
      </c>
      <c r="AB15" s="2">
        <v>2049</v>
      </c>
      <c r="AC15" s="2">
        <v>2050</v>
      </c>
    </row>
    <row r="16" spans="1:29" x14ac:dyDescent="0.45">
      <c r="A16" s="2" t="s">
        <v>139</v>
      </c>
      <c r="B16" s="16">
        <f>_xlfn.FORECAST.LINEAR(B$15,$B$4:$C$4,$B$3:$C$3)</f>
        <v>3915720</v>
      </c>
      <c r="C16" s="16">
        <f>B16</f>
        <v>3915720</v>
      </c>
      <c r="D16" s="16">
        <f t="shared" ref="D16:I16" si="0">_xlfn.FORECAST.LINEAR(D$15,$B$4:$C$4,$B$3:$C$3)</f>
        <v>4256295.7142856717</v>
      </c>
      <c r="E16" s="16">
        <f t="shared" si="0"/>
        <v>4426583.5714285374</v>
      </c>
      <c r="F16" s="16">
        <f t="shared" si="0"/>
        <v>4596871.428571403</v>
      </c>
      <c r="G16" s="16">
        <f t="shared" si="0"/>
        <v>4767159.2857142687</v>
      </c>
      <c r="H16" s="16">
        <f t="shared" si="0"/>
        <v>4937447.1428571343</v>
      </c>
      <c r="I16" s="16">
        <f t="shared" si="0"/>
        <v>5107735</v>
      </c>
      <c r="J16" s="11">
        <f>J9*$I16</f>
        <v>5307541.7252243683</v>
      </c>
      <c r="K16" s="11">
        <f t="shared" ref="K16:AC18" si="1">K9*$I16</f>
        <v>5511184.3465354154</v>
      </c>
      <c r="L16" s="11">
        <f t="shared" si="1"/>
        <v>5718560.8253180292</v>
      </c>
      <c r="M16" s="11">
        <f t="shared" si="1"/>
        <v>5928960.6704743812</v>
      </c>
      <c r="N16" s="11">
        <f t="shared" si="1"/>
        <v>6141771.6503137872</v>
      </c>
      <c r="O16" s="11">
        <f t="shared" si="1"/>
        <v>6355931.8073974745</v>
      </c>
      <c r="P16" s="11">
        <f t="shared" si="1"/>
        <v>6570450.9892380424</v>
      </c>
      <c r="Q16" s="11">
        <f t="shared" si="1"/>
        <v>6782676.1918425364</v>
      </c>
      <c r="R16" s="11">
        <f t="shared" si="1"/>
        <v>6990736.7072672099</v>
      </c>
      <c r="S16" s="11">
        <f t="shared" si="1"/>
        <v>7192705.1394488001</v>
      </c>
      <c r="T16" s="11">
        <f t="shared" si="1"/>
        <v>7387814.3091699751</v>
      </c>
      <c r="U16" s="11">
        <f t="shared" si="1"/>
        <v>7572972.8243135838</v>
      </c>
      <c r="V16" s="11">
        <f t="shared" si="1"/>
        <v>7748358.3076540893</v>
      </c>
      <c r="W16" s="11">
        <f t="shared" si="1"/>
        <v>7910943.6136097834</v>
      </c>
      <c r="X16" s="11">
        <f t="shared" si="1"/>
        <v>8060781.6510922099</v>
      </c>
      <c r="Y16" s="11">
        <f t="shared" si="1"/>
        <v>8194278.3933245819</v>
      </c>
      <c r="Z16" s="11">
        <f t="shared" si="1"/>
        <v>8310277.4026689501</v>
      </c>
      <c r="AA16" s="11">
        <f t="shared" si="1"/>
        <v>8407508.8652483448</v>
      </c>
      <c r="AB16" s="11">
        <f t="shared" si="1"/>
        <v>8485250.952341035</v>
      </c>
      <c r="AC16" s="11">
        <f t="shared" si="1"/>
        <v>8554293.3026932962</v>
      </c>
    </row>
    <row r="17" spans="1:29" x14ac:dyDescent="0.45">
      <c r="A17" s="2" t="s">
        <v>140</v>
      </c>
      <c r="B17" s="16">
        <f>_xlfn.FORECAST.LINEAR(B$15,$B$5:$C$5,$B$3:$C$3)</f>
        <v>3915720</v>
      </c>
      <c r="C17" s="16">
        <f t="shared" ref="C17:C18" si="2">B17</f>
        <v>3915720</v>
      </c>
      <c r="D17" s="16">
        <f t="shared" ref="D17:I17" si="3">_xlfn.FORECAST.LINEAR(D$15,$B$5:$C$5,$B$3:$C$3)</f>
        <v>4370937.4285714626</v>
      </c>
      <c r="E17" s="16">
        <f t="shared" si="3"/>
        <v>4598546.1428571343</v>
      </c>
      <c r="F17" s="16">
        <f t="shared" si="3"/>
        <v>4826154.8571428657</v>
      </c>
      <c r="G17" s="16">
        <f t="shared" si="3"/>
        <v>5053763.571428597</v>
      </c>
      <c r="H17" s="16">
        <f t="shared" si="3"/>
        <v>5281372.2857142687</v>
      </c>
      <c r="I17" s="16">
        <f t="shared" si="3"/>
        <v>5508981</v>
      </c>
      <c r="J17" s="11">
        <f t="shared" ref="J17:Y18" si="4">J10*$I17</f>
        <v>5795259.6707691755</v>
      </c>
      <c r="K17" s="11">
        <f t="shared" si="4"/>
        <v>6081538.3415384199</v>
      </c>
      <c r="L17" s="11">
        <f t="shared" si="4"/>
        <v>6367817.0123076653</v>
      </c>
      <c r="M17" s="11">
        <f t="shared" si="4"/>
        <v>6654095.6830769097</v>
      </c>
      <c r="N17" s="11">
        <f t="shared" si="4"/>
        <v>6940374.3538461532</v>
      </c>
      <c r="O17" s="11">
        <f t="shared" si="4"/>
        <v>7096697.5753846699</v>
      </c>
      <c r="P17" s="11">
        <f t="shared" si="4"/>
        <v>7253020.7969231186</v>
      </c>
      <c r="Q17" s="11">
        <f t="shared" si="4"/>
        <v>7409344.0184615655</v>
      </c>
      <c r="R17" s="11">
        <f t="shared" si="4"/>
        <v>7565667.2400000133</v>
      </c>
      <c r="S17" s="11">
        <f t="shared" si="4"/>
        <v>7721990.461538461</v>
      </c>
      <c r="T17" s="11">
        <f t="shared" si="4"/>
        <v>7810510.8400000138</v>
      </c>
      <c r="U17" s="11">
        <f t="shared" si="4"/>
        <v>7899031.2184615321</v>
      </c>
      <c r="V17" s="11">
        <f t="shared" si="4"/>
        <v>7987551.5969230831</v>
      </c>
      <c r="W17" s="11">
        <f t="shared" si="4"/>
        <v>8076071.9753846359</v>
      </c>
      <c r="X17" s="11">
        <f t="shared" si="4"/>
        <v>8164592.3538461542</v>
      </c>
      <c r="Y17" s="11">
        <f t="shared" si="4"/>
        <v>8253112.7323077051</v>
      </c>
      <c r="Z17" s="11">
        <f t="shared" si="1"/>
        <v>8341633.1107692234</v>
      </c>
      <c r="AA17" s="11">
        <f t="shared" si="1"/>
        <v>8430153.4892307762</v>
      </c>
      <c r="AB17" s="11">
        <f t="shared" si="1"/>
        <v>8518673.8676923271</v>
      </c>
      <c r="AC17" s="11">
        <f t="shared" si="1"/>
        <v>8607194.2461538464</v>
      </c>
    </row>
    <row r="18" spans="1:29" x14ac:dyDescent="0.45">
      <c r="A18" s="2" t="s">
        <v>141</v>
      </c>
      <c r="B18" s="16">
        <f>_xlfn.FORECAST.LINEAR(B$15,$B$6:$C$6,$B$3:$C$3)</f>
        <v>3915720</v>
      </c>
      <c r="C18" s="16">
        <f t="shared" si="2"/>
        <v>3915720</v>
      </c>
      <c r="D18" s="16">
        <f t="shared" ref="D18:I18" si="5">_xlfn.FORECAST.LINEAR(D$15,$B$6:$C$6,$B$3:$C$3)</f>
        <v>5767468</v>
      </c>
      <c r="E18" s="16">
        <f t="shared" si="5"/>
        <v>6693342</v>
      </c>
      <c r="F18" s="16">
        <f t="shared" si="5"/>
        <v>7619216</v>
      </c>
      <c r="G18" s="16">
        <f t="shared" si="5"/>
        <v>8545090</v>
      </c>
      <c r="H18" s="16">
        <f t="shared" si="5"/>
        <v>9470964</v>
      </c>
      <c r="I18" s="16">
        <f t="shared" si="5"/>
        <v>10396838</v>
      </c>
      <c r="J18" s="11">
        <f t="shared" si="4"/>
        <v>11286041.25</v>
      </c>
      <c r="K18" s="11">
        <f t="shared" si="1"/>
        <v>12175244.5</v>
      </c>
      <c r="L18" s="11">
        <f t="shared" si="1"/>
        <v>13064447.75</v>
      </c>
      <c r="M18" s="11">
        <f t="shared" si="1"/>
        <v>13953651</v>
      </c>
      <c r="N18" s="11">
        <f t="shared" si="1"/>
        <v>14842854.25</v>
      </c>
      <c r="O18" s="11">
        <f t="shared" si="1"/>
        <v>15332600.039999841</v>
      </c>
      <c r="P18" s="11">
        <f t="shared" si="1"/>
        <v>15822345.829999879</v>
      </c>
      <c r="Q18" s="11">
        <f t="shared" si="1"/>
        <v>16312091.619999921</v>
      </c>
      <c r="R18" s="11">
        <f t="shared" si="1"/>
        <v>16801837.409999963</v>
      </c>
      <c r="S18" s="11">
        <f t="shared" si="1"/>
        <v>17291583.199999999</v>
      </c>
      <c r="T18" s="11">
        <f t="shared" si="1"/>
        <v>17916761.48500016</v>
      </c>
      <c r="U18" s="11">
        <f t="shared" si="1"/>
        <v>18541939.770000122</v>
      </c>
      <c r="V18" s="11">
        <f t="shared" si="1"/>
        <v>19167118.055000078</v>
      </c>
      <c r="W18" s="11">
        <f t="shared" si="1"/>
        <v>19792296.340000041</v>
      </c>
      <c r="X18" s="11">
        <f t="shared" si="1"/>
        <v>20417474.625</v>
      </c>
      <c r="Y18" s="11">
        <f t="shared" si="1"/>
        <v>21042652.91000016</v>
      </c>
      <c r="Z18" s="11">
        <f t="shared" si="1"/>
        <v>21667831.19500012</v>
      </c>
      <c r="AA18" s="11">
        <f t="shared" si="1"/>
        <v>22293009.480000079</v>
      </c>
      <c r="AB18" s="11">
        <f t="shared" si="1"/>
        <v>22918187.765000042</v>
      </c>
      <c r="AC18" s="11">
        <f t="shared" si="1"/>
        <v>23543366.049999997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6C7AF-6089-471C-9D72-4369B72568F5}">
  <sheetPr>
    <tabColor rgb="FF002060"/>
  </sheetPr>
  <dimension ref="A1:AB2"/>
  <sheetViews>
    <sheetView tabSelected="1" workbookViewId="0"/>
  </sheetViews>
  <sheetFormatPr defaultRowHeight="14.25" x14ac:dyDescent="0.45"/>
  <cols>
    <col min="1" max="1" width="15.53125" customWidth="1"/>
  </cols>
  <sheetData>
    <row r="1" spans="1:28" x14ac:dyDescent="0.45">
      <c r="A1" t="s">
        <v>0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s="8" t="s">
        <v>1</v>
      </c>
      <c r="B2" s="4">
        <f>calcs!C16</f>
        <v>3915720</v>
      </c>
      <c r="C2" s="4">
        <f>calcs!D16</f>
        <v>4256295.7142856717</v>
      </c>
      <c r="D2" s="4">
        <f>calcs!E16</f>
        <v>4426583.5714285374</v>
      </c>
      <c r="E2" s="4">
        <f>calcs!F16</f>
        <v>4596871.428571403</v>
      </c>
      <c r="F2" s="4">
        <f>calcs!G16</f>
        <v>4767159.2857142687</v>
      </c>
      <c r="G2" s="4">
        <f>calcs!H16</f>
        <v>4937447.1428571343</v>
      </c>
      <c r="H2" s="4">
        <f>calcs!I16</f>
        <v>5107735</v>
      </c>
      <c r="I2" s="4">
        <f>calcs!J16</f>
        <v>5307541.7252243683</v>
      </c>
      <c r="J2" s="4">
        <f>calcs!K16</f>
        <v>5511184.3465354154</v>
      </c>
      <c r="K2" s="4">
        <f>calcs!L16</f>
        <v>5718560.8253180292</v>
      </c>
      <c r="L2" s="4">
        <f>calcs!M16</f>
        <v>5928960.6704743812</v>
      </c>
      <c r="M2" s="4">
        <f>calcs!N16</f>
        <v>6141771.6503137872</v>
      </c>
      <c r="N2" s="4">
        <f>calcs!O16</f>
        <v>6355931.8073974745</v>
      </c>
      <c r="O2" s="4">
        <f>calcs!P16</f>
        <v>6570450.9892380424</v>
      </c>
      <c r="P2" s="4">
        <f>calcs!Q16</f>
        <v>6782676.1918425364</v>
      </c>
      <c r="Q2" s="4">
        <f>calcs!R16</f>
        <v>6990736.7072672099</v>
      </c>
      <c r="R2" s="4">
        <f>calcs!S16</f>
        <v>7192705.1394488001</v>
      </c>
      <c r="S2" s="4">
        <f>calcs!T16</f>
        <v>7387814.3091699751</v>
      </c>
      <c r="T2" s="4">
        <f>calcs!U16</f>
        <v>7572972.8243135838</v>
      </c>
      <c r="U2" s="4">
        <f>calcs!V16</f>
        <v>7748358.3076540893</v>
      </c>
      <c r="V2" s="4">
        <f>calcs!W16</f>
        <v>7910943.6136097834</v>
      </c>
      <c r="W2" s="4">
        <f>calcs!X16</f>
        <v>8060781.6510922099</v>
      </c>
      <c r="X2" s="4">
        <f>calcs!Y16</f>
        <v>8194278.3933245819</v>
      </c>
      <c r="Y2" s="4">
        <f>calcs!Z16</f>
        <v>8310277.4026689501</v>
      </c>
      <c r="Z2" s="4">
        <f>calcs!AA16</f>
        <v>8407508.8652483448</v>
      </c>
      <c r="AA2" s="4">
        <f>calcs!AB16</f>
        <v>8485250.952341035</v>
      </c>
      <c r="AB2" s="4">
        <f>calcs!AC16</f>
        <v>8554293.3026932962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57CC6-6156-4D64-A44E-01D101893DEE}">
  <sheetPr>
    <tabColor rgb="FF002060"/>
  </sheetPr>
  <dimension ref="A1:AB2"/>
  <sheetViews>
    <sheetView workbookViewId="0">
      <selection activeCell="A2" sqref="A2"/>
    </sheetView>
  </sheetViews>
  <sheetFormatPr defaultRowHeight="14.25" x14ac:dyDescent="0.45"/>
  <cols>
    <col min="1" max="1" width="15.53125" customWidth="1"/>
    <col min="2" max="4" width="8.796875" bestFit="1" customWidth="1"/>
    <col min="5" max="28" width="9.6640625" bestFit="1" customWidth="1"/>
  </cols>
  <sheetData>
    <row r="1" spans="1:28" x14ac:dyDescent="0.45">
      <c r="A1" t="s">
        <v>0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s="8" t="s">
        <v>1</v>
      </c>
      <c r="B2" s="4">
        <f>calcs!C17</f>
        <v>3915720</v>
      </c>
      <c r="C2" s="4">
        <f>calcs!D17</f>
        <v>4370937.4285714626</v>
      </c>
      <c r="D2" s="4">
        <f>calcs!E17</f>
        <v>4598546.1428571343</v>
      </c>
      <c r="E2" s="4">
        <f>calcs!F17</f>
        <v>4826154.8571428657</v>
      </c>
      <c r="F2" s="4">
        <f>calcs!G17</f>
        <v>5053763.571428597</v>
      </c>
      <c r="G2" s="4">
        <f>calcs!H17</f>
        <v>5281372.2857142687</v>
      </c>
      <c r="H2" s="4">
        <f>calcs!I17</f>
        <v>5508981</v>
      </c>
      <c r="I2" s="4">
        <f>calcs!J17</f>
        <v>5795259.6707691755</v>
      </c>
      <c r="J2" s="4">
        <f>calcs!K17</f>
        <v>6081538.3415384199</v>
      </c>
      <c r="K2" s="4">
        <f>calcs!L17</f>
        <v>6367817.0123076653</v>
      </c>
      <c r="L2" s="4">
        <f>calcs!M17</f>
        <v>6654095.6830769097</v>
      </c>
      <c r="M2" s="4">
        <f>calcs!N17</f>
        <v>6940374.3538461532</v>
      </c>
      <c r="N2" s="4">
        <f>calcs!O17</f>
        <v>7096697.5753846699</v>
      </c>
      <c r="O2" s="4">
        <f>calcs!P17</f>
        <v>7253020.7969231186</v>
      </c>
      <c r="P2" s="4">
        <f>calcs!Q17</f>
        <v>7409344.0184615655</v>
      </c>
      <c r="Q2" s="4">
        <f>calcs!R17</f>
        <v>7565667.2400000133</v>
      </c>
      <c r="R2" s="4">
        <f>calcs!S17</f>
        <v>7721990.461538461</v>
      </c>
      <c r="S2" s="4">
        <f>calcs!T17</f>
        <v>7810510.8400000138</v>
      </c>
      <c r="T2" s="4">
        <f>calcs!U17</f>
        <v>7899031.2184615321</v>
      </c>
      <c r="U2" s="4">
        <f>calcs!V17</f>
        <v>7987551.5969230831</v>
      </c>
      <c r="V2" s="4">
        <f>calcs!W17</f>
        <v>8076071.9753846359</v>
      </c>
      <c r="W2" s="4">
        <f>calcs!X17</f>
        <v>8164592.3538461542</v>
      </c>
      <c r="X2" s="4">
        <f>calcs!Y17</f>
        <v>8253112.7323077051</v>
      </c>
      <c r="Y2" s="4">
        <f>calcs!Z17</f>
        <v>8341633.1107692234</v>
      </c>
      <c r="Z2" s="4">
        <f>calcs!AA17</f>
        <v>8430153.4892307762</v>
      </c>
      <c r="AA2" s="4">
        <f>calcs!AB17</f>
        <v>8518673.8676923271</v>
      </c>
      <c r="AB2" s="4">
        <f>calcs!AC17</f>
        <v>8607194.2461538464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B2C6F-1FBE-4489-B976-BAC29E9763D4}">
  <sheetPr>
    <tabColor rgb="FF002060"/>
  </sheetPr>
  <dimension ref="A1:AB2"/>
  <sheetViews>
    <sheetView workbookViewId="0">
      <selection activeCell="A2" sqref="A2"/>
    </sheetView>
  </sheetViews>
  <sheetFormatPr defaultRowHeight="14.25" x14ac:dyDescent="0.45"/>
  <cols>
    <col min="1" max="1" width="15.53125" customWidth="1"/>
    <col min="2" max="3" width="8.796875" bestFit="1" customWidth="1"/>
    <col min="4" max="28" width="9.6640625" bestFit="1" customWidth="1"/>
  </cols>
  <sheetData>
    <row r="1" spans="1:28" x14ac:dyDescent="0.45">
      <c r="A1" t="s">
        <v>0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s="8" t="s">
        <v>1</v>
      </c>
      <c r="B2" s="4">
        <f>calcs!C18</f>
        <v>3915720</v>
      </c>
      <c r="C2" s="4">
        <f>calcs!D18</f>
        <v>5767468</v>
      </c>
      <c r="D2" s="4">
        <f>calcs!E18</f>
        <v>6693342</v>
      </c>
      <c r="E2" s="4">
        <f>calcs!F18</f>
        <v>7619216</v>
      </c>
      <c r="F2" s="4">
        <f>calcs!G18</f>
        <v>8545090</v>
      </c>
      <c r="G2" s="4">
        <f>calcs!H18</f>
        <v>9470964</v>
      </c>
      <c r="H2" s="4">
        <f>calcs!I18</f>
        <v>10396838</v>
      </c>
      <c r="I2" s="4">
        <f>calcs!J18</f>
        <v>11286041.25</v>
      </c>
      <c r="J2" s="4">
        <f>calcs!K18</f>
        <v>12175244.5</v>
      </c>
      <c r="K2" s="4">
        <f>calcs!L18</f>
        <v>13064447.75</v>
      </c>
      <c r="L2" s="4">
        <f>calcs!M18</f>
        <v>13953651</v>
      </c>
      <c r="M2" s="4">
        <f>calcs!N18</f>
        <v>14842854.25</v>
      </c>
      <c r="N2" s="4">
        <f>calcs!O18</f>
        <v>15332600.039999841</v>
      </c>
      <c r="O2" s="4">
        <f>calcs!P18</f>
        <v>15822345.829999879</v>
      </c>
      <c r="P2" s="4">
        <f>calcs!Q18</f>
        <v>16312091.619999921</v>
      </c>
      <c r="Q2" s="4">
        <f>calcs!R18</f>
        <v>16801837.409999963</v>
      </c>
      <c r="R2" s="4">
        <f>calcs!S18</f>
        <v>17291583.199999999</v>
      </c>
      <c r="S2" s="4">
        <f>calcs!T18</f>
        <v>17916761.48500016</v>
      </c>
      <c r="T2" s="4">
        <f>calcs!U18</f>
        <v>18541939.770000122</v>
      </c>
      <c r="U2" s="4">
        <f>calcs!V18</f>
        <v>19167118.055000078</v>
      </c>
      <c r="V2" s="4">
        <f>calcs!W18</f>
        <v>19792296.340000041</v>
      </c>
      <c r="W2" s="4">
        <f>calcs!X18</f>
        <v>20417474.625</v>
      </c>
      <c r="X2" s="4">
        <f>calcs!Y18</f>
        <v>21042652.91000016</v>
      </c>
      <c r="Y2" s="4">
        <f>calcs!Z18</f>
        <v>21667831.19500012</v>
      </c>
      <c r="Z2" s="4">
        <f>calcs!AA18</f>
        <v>22293009.480000079</v>
      </c>
      <c r="AA2" s="4">
        <f>calcs!AB18</f>
        <v>22918187.765000042</v>
      </c>
      <c r="AB2" s="4">
        <f>calcs!AC18</f>
        <v>23543366.049999997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US-values</vt:lpstr>
      <vt:lpstr>EPRI regional</vt:lpstr>
      <vt:lpstr>calcs</vt:lpstr>
      <vt:lpstr>BDCL-low</vt:lpstr>
      <vt:lpstr>BDCL-mid</vt:lpstr>
      <vt:lpstr>BDCL-high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Trevisan</dc:creator>
  <cp:lastModifiedBy>Olivia Ashmoore</cp:lastModifiedBy>
  <dcterms:created xsi:type="dcterms:W3CDTF">2015-06-05T18:17:20Z</dcterms:created>
  <dcterms:modified xsi:type="dcterms:W3CDTF">2026-06-12T00:12:18Z</dcterms:modified>
</cp:coreProperties>
</file>