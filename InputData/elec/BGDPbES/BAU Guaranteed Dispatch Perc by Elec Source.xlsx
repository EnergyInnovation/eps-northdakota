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GDPbES\"/>
    </mc:Choice>
  </mc:AlternateContent>
  <xr:revisionPtr revIDLastSave="0" documentId="8_{5E1FEEF6-A355-43EF-905A-4A5B61E8D2F8}" xr6:coauthVersionLast="47" xr6:coauthVersionMax="47" xr10:uidLastSave="{00000000-0000-0000-0000-000000000000}"/>
  <bookViews>
    <workbookView xWindow="0" yWindow="195" windowWidth="21600" windowHeight="12405" activeTab="1" xr2:uid="{00000000-000D-0000-FFFF-FFFF00000000}"/>
  </bookViews>
  <sheets>
    <sheet name="About" sheetId="1" r:id="rId1"/>
    <sheet name="Keys" sheetId="2" r:id="rId2"/>
    <sheet name="Current_BGDPbES" sheetId="3" r:id="rId3"/>
    <sheet name="Tuned" sheetId="4" r:id="rId4"/>
    <sheet name="BGDPb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2" i="5" s="1"/>
  <c r="AA22" i="5" s="1"/>
  <c r="X22" i="5" l="1"/>
  <c r="Y22" i="5"/>
  <c r="B14" i="5"/>
  <c r="T14" i="5" s="1"/>
  <c r="B15" i="5"/>
  <c r="J15" i="5" s="1"/>
  <c r="B21" i="5"/>
  <c r="M21" i="5" s="1"/>
  <c r="T22" i="5"/>
  <c r="U22" i="5"/>
  <c r="V22" i="5"/>
  <c r="W22" i="5"/>
  <c r="Z22" i="5"/>
  <c r="AD22" i="5"/>
  <c r="H22" i="5"/>
  <c r="AC22" i="5"/>
  <c r="G22" i="5"/>
  <c r="AB22" i="5"/>
  <c r="F22" i="5"/>
  <c r="O22" i="5"/>
  <c r="N22" i="5"/>
  <c r="M22" i="5"/>
  <c r="L22" i="5"/>
  <c r="K22" i="5"/>
  <c r="J22" i="5"/>
  <c r="D22" i="5"/>
  <c r="AE22" i="5"/>
  <c r="C22" i="5"/>
  <c r="I22" i="5"/>
  <c r="E22" i="5"/>
  <c r="S22" i="5"/>
  <c r="R22" i="5"/>
  <c r="Q22" i="5"/>
  <c r="P22" i="5"/>
  <c r="B25" i="5"/>
  <c r="B11" i="5"/>
  <c r="B7" i="5"/>
  <c r="B10" i="5"/>
  <c r="B3" i="5"/>
  <c r="B20" i="5"/>
  <c r="B9" i="5"/>
  <c r="B17" i="5"/>
  <c r="B19" i="5"/>
  <c r="B13" i="5"/>
  <c r="B24" i="5"/>
  <c r="B8" i="5"/>
  <c r="B4" i="5"/>
  <c r="B18" i="5"/>
  <c r="B12" i="5"/>
  <c r="B23" i="5"/>
  <c r="B6" i="5"/>
  <c r="B2" i="5"/>
  <c r="B16" i="5"/>
  <c r="B5" i="5"/>
  <c r="U14" i="5" l="1"/>
  <c r="H14" i="5"/>
  <c r="I14" i="5"/>
  <c r="O14" i="5"/>
  <c r="S14" i="5"/>
  <c r="AA14" i="5"/>
  <c r="V14" i="5"/>
  <c r="W14" i="5"/>
  <c r="D14" i="5"/>
  <c r="U15" i="5"/>
  <c r="AB14" i="5"/>
  <c r="F14" i="5"/>
  <c r="V15" i="5"/>
  <c r="X14" i="5"/>
  <c r="E15" i="5"/>
  <c r="AB15" i="5"/>
  <c r="X15" i="5"/>
  <c r="S15" i="5"/>
  <c r="R15" i="5"/>
  <c r="AE14" i="5"/>
  <c r="G14" i="5"/>
  <c r="AB21" i="5"/>
  <c r="AA21" i="5"/>
  <c r="AE21" i="5"/>
  <c r="Z14" i="5"/>
  <c r="F15" i="5"/>
  <c r="Z21" i="5"/>
  <c r="E14" i="5"/>
  <c r="E21" i="5"/>
  <c r="S21" i="5"/>
  <c r="C15" i="5"/>
  <c r="T21" i="5"/>
  <c r="D21" i="5"/>
  <c r="N21" i="5"/>
  <c r="G21" i="5"/>
  <c r="Y15" i="5"/>
  <c r="O21" i="5"/>
  <c r="Z15" i="5"/>
  <c r="P21" i="5"/>
  <c r="AA15" i="5"/>
  <c r="AD14" i="5"/>
  <c r="C14" i="5"/>
  <c r="Q21" i="5"/>
  <c r="R21" i="5"/>
  <c r="P15" i="5"/>
  <c r="J14" i="5"/>
  <c r="N15" i="5"/>
  <c r="Q15" i="5"/>
  <c r="AC14" i="5"/>
  <c r="K14" i="5"/>
  <c r="T15" i="5"/>
  <c r="L14" i="5"/>
  <c r="U21" i="5"/>
  <c r="C21" i="5"/>
  <c r="M14" i="5"/>
  <c r="N14" i="5"/>
  <c r="Y14" i="5"/>
  <c r="F21" i="5"/>
  <c r="AC21" i="5"/>
  <c r="P14" i="5"/>
  <c r="D15" i="5"/>
  <c r="AD21" i="5"/>
  <c r="Q14" i="5"/>
  <c r="AC15" i="5"/>
  <c r="J21" i="5"/>
  <c r="W15" i="5"/>
  <c r="I15" i="5"/>
  <c r="H15" i="5"/>
  <c r="AE15" i="5"/>
  <c r="H21" i="5"/>
  <c r="O15" i="5"/>
  <c r="AD15" i="5"/>
  <c r="Y21" i="5"/>
  <c r="X21" i="5"/>
  <c r="W21" i="5"/>
  <c r="L21" i="5"/>
  <c r="K15" i="5"/>
  <c r="V21" i="5"/>
  <c r="L15" i="5"/>
  <c r="I21" i="5"/>
  <c r="R14" i="5"/>
  <c r="G15" i="5"/>
  <c r="M15" i="5"/>
  <c r="K21" i="5"/>
  <c r="T4" i="5"/>
  <c r="S4" i="5"/>
  <c r="AE4" i="5"/>
  <c r="G4" i="5"/>
  <c r="AD4" i="5"/>
  <c r="F4" i="5"/>
  <c r="AC4" i="5"/>
  <c r="E4" i="5"/>
  <c r="AB4" i="5"/>
  <c r="C4" i="5"/>
  <c r="Z4" i="5"/>
  <c r="Y4" i="5"/>
  <c r="D4" i="5"/>
  <c r="AA4" i="5"/>
  <c r="X4" i="5"/>
  <c r="W4" i="5"/>
  <c r="U4" i="5"/>
  <c r="R4" i="5"/>
  <c r="Q4" i="5"/>
  <c r="P4" i="5"/>
  <c r="O4" i="5"/>
  <c r="N4" i="5"/>
  <c r="M4" i="5"/>
  <c r="L4" i="5"/>
  <c r="J4" i="5"/>
  <c r="I4" i="5"/>
  <c r="H4" i="5"/>
  <c r="V4" i="5"/>
  <c r="K4" i="5"/>
  <c r="X9" i="5"/>
  <c r="W9" i="5"/>
  <c r="AA9" i="5"/>
  <c r="C9" i="5"/>
  <c r="Z9" i="5"/>
  <c r="Y9" i="5"/>
  <c r="V9" i="5"/>
  <c r="U9" i="5"/>
  <c r="S9" i="5"/>
  <c r="T9" i="5"/>
  <c r="R9" i="5"/>
  <c r="Q9" i="5"/>
  <c r="E9" i="5"/>
  <c r="D9" i="5"/>
  <c r="AB9" i="5"/>
  <c r="AE9" i="5"/>
  <c r="AD9" i="5"/>
  <c r="AC9" i="5"/>
  <c r="M9" i="5"/>
  <c r="L9" i="5"/>
  <c r="K9" i="5"/>
  <c r="J9" i="5"/>
  <c r="I9" i="5"/>
  <c r="P9" i="5"/>
  <c r="G9" i="5"/>
  <c r="F9" i="5"/>
  <c r="O9" i="5"/>
  <c r="N9" i="5"/>
  <c r="H9" i="5"/>
  <c r="R7" i="5"/>
  <c r="Q7" i="5"/>
  <c r="M7" i="5"/>
  <c r="L7" i="5"/>
  <c r="K7" i="5"/>
  <c r="I7" i="5"/>
  <c r="H7" i="5"/>
  <c r="G7" i="5"/>
  <c r="AD7" i="5"/>
  <c r="E7" i="5"/>
  <c r="AE7" i="5"/>
  <c r="F7" i="5"/>
  <c r="J7" i="5"/>
  <c r="AC7" i="5"/>
  <c r="U7" i="5"/>
  <c r="T7" i="5"/>
  <c r="S7" i="5"/>
  <c r="P7" i="5"/>
  <c r="O7" i="5"/>
  <c r="N7" i="5"/>
  <c r="D7" i="5"/>
  <c r="C7" i="5"/>
  <c r="Y7" i="5"/>
  <c r="W7" i="5"/>
  <c r="AA7" i="5"/>
  <c r="Z7" i="5"/>
  <c r="V7" i="5"/>
  <c r="AB7" i="5"/>
  <c r="X7" i="5"/>
  <c r="AD11" i="5"/>
  <c r="H11" i="5"/>
  <c r="AC11" i="5"/>
  <c r="G11" i="5"/>
  <c r="O11" i="5"/>
  <c r="N11" i="5"/>
  <c r="M11" i="5"/>
  <c r="L11" i="5"/>
  <c r="J11" i="5"/>
  <c r="I11" i="5"/>
  <c r="F11" i="5"/>
  <c r="E11" i="5"/>
  <c r="D11" i="5"/>
  <c r="K11" i="5"/>
  <c r="AE11" i="5"/>
  <c r="W11" i="5"/>
  <c r="V11" i="5"/>
  <c r="U11" i="5"/>
  <c r="T11" i="5"/>
  <c r="S11" i="5"/>
  <c r="R11" i="5"/>
  <c r="Q11" i="5"/>
  <c r="P11" i="5"/>
  <c r="C11" i="5"/>
  <c r="AB11" i="5"/>
  <c r="AA11" i="5"/>
  <c r="Y11" i="5"/>
  <c r="Z11" i="5"/>
  <c r="X11" i="5"/>
  <c r="AB25" i="5"/>
  <c r="F25" i="5"/>
  <c r="AA25" i="5"/>
  <c r="E25" i="5"/>
  <c r="Z25" i="5"/>
  <c r="D25" i="5"/>
  <c r="Y25" i="5"/>
  <c r="X25" i="5"/>
  <c r="V25" i="5"/>
  <c r="P25" i="5"/>
  <c r="T25" i="5"/>
  <c r="W25" i="5"/>
  <c r="U25" i="5"/>
  <c r="S25" i="5"/>
  <c r="R25" i="5"/>
  <c r="Q25" i="5"/>
  <c r="AE25" i="5"/>
  <c r="AD25" i="5"/>
  <c r="AC25" i="5"/>
  <c r="O25" i="5"/>
  <c r="N25" i="5"/>
  <c r="M25" i="5"/>
  <c r="L25" i="5"/>
  <c r="K25" i="5"/>
  <c r="J25" i="5"/>
  <c r="I25" i="5"/>
  <c r="H25" i="5"/>
  <c r="G25" i="5"/>
  <c r="C25" i="5"/>
  <c r="Z6" i="5"/>
  <c r="D6" i="5"/>
  <c r="Y6" i="5"/>
  <c r="C6" i="5"/>
  <c r="S6" i="5"/>
  <c r="R6" i="5"/>
  <c r="Q6" i="5"/>
  <c r="P6" i="5"/>
  <c r="N6" i="5"/>
  <c r="K6" i="5"/>
  <c r="O6" i="5"/>
  <c r="M6" i="5"/>
  <c r="L6" i="5"/>
  <c r="G6" i="5"/>
  <c r="F6" i="5"/>
  <c r="E6" i="5"/>
  <c r="AD6" i="5"/>
  <c r="AE6" i="5"/>
  <c r="X6" i="5"/>
  <c r="W6" i="5"/>
  <c r="V6" i="5"/>
  <c r="U6" i="5"/>
  <c r="T6" i="5"/>
  <c r="AC6" i="5"/>
  <c r="AA6" i="5"/>
  <c r="I6" i="5"/>
  <c r="H6" i="5"/>
  <c r="J6" i="5"/>
  <c r="AB6" i="5"/>
  <c r="Z17" i="5"/>
  <c r="D17" i="5"/>
  <c r="Y17" i="5"/>
  <c r="C17" i="5"/>
  <c r="X17" i="5"/>
  <c r="L17" i="5"/>
  <c r="K17" i="5"/>
  <c r="J17" i="5"/>
  <c r="I17" i="5"/>
  <c r="H17" i="5"/>
  <c r="G17" i="5"/>
  <c r="AE17" i="5"/>
  <c r="AC17" i="5"/>
  <c r="AD17" i="5"/>
  <c r="AB17" i="5"/>
  <c r="F17" i="5"/>
  <c r="E17" i="5"/>
  <c r="V17" i="5"/>
  <c r="U17" i="5"/>
  <c r="T17" i="5"/>
  <c r="S17" i="5"/>
  <c r="R17" i="5"/>
  <c r="Q17" i="5"/>
  <c r="P17" i="5"/>
  <c r="O17" i="5"/>
  <c r="N17" i="5"/>
  <c r="M17" i="5"/>
  <c r="AA17" i="5"/>
  <c r="W17" i="5"/>
  <c r="P10" i="5"/>
  <c r="O10" i="5"/>
  <c r="U10" i="5"/>
  <c r="T10" i="5"/>
  <c r="S10" i="5"/>
  <c r="R10" i="5"/>
  <c r="N10" i="5"/>
  <c r="K10" i="5"/>
  <c r="L10" i="5"/>
  <c r="Q10" i="5"/>
  <c r="M10" i="5"/>
  <c r="H10" i="5"/>
  <c r="G10" i="5"/>
  <c r="F10" i="5"/>
  <c r="E10" i="5"/>
  <c r="D10" i="5"/>
  <c r="C10" i="5"/>
  <c r="AE10" i="5"/>
  <c r="AD10" i="5"/>
  <c r="AB10" i="5"/>
  <c r="Z10" i="5"/>
  <c r="Y10" i="5"/>
  <c r="V10" i="5"/>
  <c r="AC10" i="5"/>
  <c r="AA10" i="5"/>
  <c r="X10" i="5"/>
  <c r="W10" i="5"/>
  <c r="J10" i="5"/>
  <c r="I10" i="5"/>
  <c r="V23" i="5"/>
  <c r="U23" i="5"/>
  <c r="T23" i="5"/>
  <c r="J23" i="5"/>
  <c r="I23" i="5"/>
  <c r="H23" i="5"/>
  <c r="G23" i="5"/>
  <c r="AB23" i="5"/>
  <c r="AA23" i="5"/>
  <c r="Z23" i="5"/>
  <c r="AE23" i="5"/>
  <c r="F23" i="5"/>
  <c r="AD23" i="5"/>
  <c r="E23" i="5"/>
  <c r="AC23" i="5"/>
  <c r="D23" i="5"/>
  <c r="C23" i="5"/>
  <c r="Y23" i="5"/>
  <c r="X23" i="5"/>
  <c r="W23" i="5"/>
  <c r="N23" i="5"/>
  <c r="S23" i="5"/>
  <c r="R23" i="5"/>
  <c r="Q23" i="5"/>
  <c r="P23" i="5"/>
  <c r="O23" i="5"/>
  <c r="L23" i="5"/>
  <c r="M23" i="5"/>
  <c r="K23" i="5"/>
  <c r="J19" i="5"/>
  <c r="AE19" i="5"/>
  <c r="I19" i="5"/>
  <c r="AD19" i="5"/>
  <c r="H19" i="5"/>
  <c r="AA19" i="5"/>
  <c r="Z19" i="5"/>
  <c r="Y19" i="5"/>
  <c r="X19" i="5"/>
  <c r="W19" i="5"/>
  <c r="T19" i="5"/>
  <c r="U19" i="5"/>
  <c r="R19" i="5"/>
  <c r="V19" i="5"/>
  <c r="S19" i="5"/>
  <c r="M19" i="5"/>
  <c r="L19" i="5"/>
  <c r="K19" i="5"/>
  <c r="G19" i="5"/>
  <c r="F19" i="5"/>
  <c r="E19" i="5"/>
  <c r="D19" i="5"/>
  <c r="C19" i="5"/>
  <c r="AC19" i="5"/>
  <c r="AB19" i="5"/>
  <c r="Q19" i="5"/>
  <c r="P19" i="5"/>
  <c r="O19" i="5"/>
  <c r="N19" i="5"/>
  <c r="X20" i="5"/>
  <c r="W20" i="5"/>
  <c r="V20" i="5"/>
  <c r="Y20" i="5"/>
  <c r="U20" i="5"/>
  <c r="T20" i="5"/>
  <c r="S20" i="5"/>
  <c r="Q20" i="5"/>
  <c r="N20" i="5"/>
  <c r="M20" i="5"/>
  <c r="R20" i="5"/>
  <c r="P20" i="5"/>
  <c r="O20" i="5"/>
  <c r="AE20" i="5"/>
  <c r="AD20" i="5"/>
  <c r="AC20" i="5"/>
  <c r="AB20" i="5"/>
  <c r="AA20" i="5"/>
  <c r="H20" i="5"/>
  <c r="Z20" i="5"/>
  <c r="L20" i="5"/>
  <c r="K20" i="5"/>
  <c r="J20" i="5"/>
  <c r="I20" i="5"/>
  <c r="G20" i="5"/>
  <c r="E20" i="5"/>
  <c r="F20" i="5"/>
  <c r="D20" i="5"/>
  <c r="C20" i="5"/>
  <c r="AB3" i="5"/>
  <c r="F3" i="5"/>
  <c r="AA3" i="5"/>
  <c r="E3" i="5"/>
  <c r="M3" i="5"/>
  <c r="L3" i="5"/>
  <c r="K3" i="5"/>
  <c r="J3" i="5"/>
  <c r="G3" i="5"/>
  <c r="D3" i="5"/>
  <c r="C3" i="5"/>
  <c r="AD3" i="5"/>
  <c r="AC3" i="5"/>
  <c r="I3" i="5"/>
  <c r="H3" i="5"/>
  <c r="AE3" i="5"/>
  <c r="P3" i="5"/>
  <c r="O3" i="5"/>
  <c r="N3" i="5"/>
  <c r="Z3" i="5"/>
  <c r="Y3" i="5"/>
  <c r="U3" i="5"/>
  <c r="T3" i="5"/>
  <c r="Q3" i="5"/>
  <c r="W3" i="5"/>
  <c r="V3" i="5"/>
  <c r="S3" i="5"/>
  <c r="R3" i="5"/>
  <c r="X3" i="5"/>
  <c r="L5" i="5"/>
  <c r="K5" i="5"/>
  <c r="Y5" i="5"/>
  <c r="X5" i="5"/>
  <c r="W5" i="5"/>
  <c r="U5" i="5"/>
  <c r="S5" i="5"/>
  <c r="R5" i="5"/>
  <c r="Q5" i="5"/>
  <c r="V5" i="5"/>
  <c r="T5" i="5"/>
  <c r="AE5" i="5"/>
  <c r="AD5" i="5"/>
  <c r="AC5" i="5"/>
  <c r="AB5" i="5"/>
  <c r="AA5" i="5"/>
  <c r="Z5" i="5"/>
  <c r="P5" i="5"/>
  <c r="N5" i="5"/>
  <c r="I5" i="5"/>
  <c r="E5" i="5"/>
  <c r="O5" i="5"/>
  <c r="M5" i="5"/>
  <c r="J5" i="5"/>
  <c r="G5" i="5"/>
  <c r="F5" i="5"/>
  <c r="C5" i="5"/>
  <c r="H5" i="5"/>
  <c r="D5" i="5"/>
  <c r="L16" i="5"/>
  <c r="K16" i="5"/>
  <c r="J16" i="5"/>
  <c r="Q16" i="5"/>
  <c r="P16" i="5"/>
  <c r="O16" i="5"/>
  <c r="N16" i="5"/>
  <c r="I16" i="5"/>
  <c r="AD16" i="5"/>
  <c r="F16" i="5"/>
  <c r="E16" i="5"/>
  <c r="M16" i="5"/>
  <c r="H16" i="5"/>
  <c r="G16" i="5"/>
  <c r="AE16" i="5"/>
  <c r="D16" i="5"/>
  <c r="C16" i="5"/>
  <c r="AC16" i="5"/>
  <c r="X16" i="5"/>
  <c r="U16" i="5"/>
  <c r="T16" i="5"/>
  <c r="S16" i="5"/>
  <c r="AA16" i="5"/>
  <c r="Z16" i="5"/>
  <c r="Y16" i="5"/>
  <c r="W16" i="5"/>
  <c r="AB16" i="5"/>
  <c r="V16" i="5"/>
  <c r="R16" i="5"/>
  <c r="N2" i="5"/>
  <c r="M2" i="5"/>
  <c r="S2" i="5"/>
  <c r="R2" i="5"/>
  <c r="Q2" i="5"/>
  <c r="O2" i="5"/>
  <c r="L2" i="5"/>
  <c r="K2" i="5"/>
  <c r="P2" i="5"/>
  <c r="J2" i="5"/>
  <c r="I2" i="5"/>
  <c r="AE2" i="5"/>
  <c r="AD2" i="5"/>
  <c r="AC2" i="5"/>
  <c r="AB2" i="5"/>
  <c r="G2" i="5"/>
  <c r="F2" i="5"/>
  <c r="E2" i="5"/>
  <c r="D2" i="5"/>
  <c r="C2" i="5"/>
  <c r="Y2" i="5"/>
  <c r="X2" i="5"/>
  <c r="AA2" i="5"/>
  <c r="V2" i="5"/>
  <c r="T2" i="5"/>
  <c r="Z2" i="5"/>
  <c r="W2" i="5"/>
  <c r="U2" i="5"/>
  <c r="H2" i="5"/>
  <c r="V12" i="5"/>
  <c r="U12" i="5"/>
  <c r="T12" i="5"/>
  <c r="I12" i="5"/>
  <c r="H12" i="5"/>
  <c r="G12" i="5"/>
  <c r="AE12" i="5"/>
  <c r="F12" i="5"/>
  <c r="AD12" i="5"/>
  <c r="AC12" i="5"/>
  <c r="D12" i="5"/>
  <c r="Z12" i="5"/>
  <c r="C12" i="5"/>
  <c r="Y12" i="5"/>
  <c r="E12" i="5"/>
  <c r="AB12" i="5"/>
  <c r="AA12" i="5"/>
  <c r="P12" i="5"/>
  <c r="X12" i="5"/>
  <c r="W12" i="5"/>
  <c r="S12" i="5"/>
  <c r="R12" i="5"/>
  <c r="Q12" i="5"/>
  <c r="L12" i="5"/>
  <c r="K12" i="5"/>
  <c r="J12" i="5"/>
  <c r="O12" i="5"/>
  <c r="N12" i="5"/>
  <c r="M12" i="5"/>
  <c r="R18" i="5"/>
  <c r="Q18" i="5"/>
  <c r="P18" i="5"/>
  <c r="G18" i="5"/>
  <c r="AE18" i="5"/>
  <c r="F18" i="5"/>
  <c r="AD18" i="5"/>
  <c r="E18" i="5"/>
  <c r="AC18" i="5"/>
  <c r="D18" i="5"/>
  <c r="AA18" i="5"/>
  <c r="X18" i="5"/>
  <c r="AB18" i="5"/>
  <c r="C18" i="5"/>
  <c r="Z18" i="5"/>
  <c r="Y18" i="5"/>
  <c r="W18" i="5"/>
  <c r="T18" i="5"/>
  <c r="V18" i="5"/>
  <c r="U18" i="5"/>
  <c r="M18" i="5"/>
  <c r="L18" i="5"/>
  <c r="K18" i="5"/>
  <c r="J18" i="5"/>
  <c r="I18" i="5"/>
  <c r="H18" i="5"/>
  <c r="S18" i="5"/>
  <c r="N18" i="5"/>
  <c r="O18" i="5"/>
  <c r="J8" i="5"/>
  <c r="AE8" i="5"/>
  <c r="I8" i="5"/>
  <c r="G8" i="5"/>
  <c r="AD8" i="5"/>
  <c r="F8" i="5"/>
  <c r="AC8" i="5"/>
  <c r="E8" i="5"/>
  <c r="D8" i="5"/>
  <c r="Z8" i="5"/>
  <c r="W8" i="5"/>
  <c r="AB8" i="5"/>
  <c r="AA8" i="5"/>
  <c r="C8" i="5"/>
  <c r="Y8" i="5"/>
  <c r="X8" i="5"/>
  <c r="V8" i="5"/>
  <c r="U8" i="5"/>
  <c r="T8" i="5"/>
  <c r="S8" i="5"/>
  <c r="R8" i="5"/>
  <c r="Q8" i="5"/>
  <c r="P8" i="5"/>
  <c r="O8" i="5"/>
  <c r="N8" i="5"/>
  <c r="M8" i="5"/>
  <c r="L8" i="5"/>
  <c r="K8" i="5"/>
  <c r="H8" i="5"/>
  <c r="N24" i="5"/>
  <c r="M24" i="5"/>
  <c r="L24" i="5"/>
  <c r="AD24" i="5"/>
  <c r="E24" i="5"/>
  <c r="AC24" i="5"/>
  <c r="D24" i="5"/>
  <c r="AB24" i="5"/>
  <c r="C24" i="5"/>
  <c r="AA24" i="5"/>
  <c r="Z24" i="5"/>
  <c r="Y24" i="5"/>
  <c r="X24" i="5"/>
  <c r="W24" i="5"/>
  <c r="V24" i="5"/>
  <c r="U24" i="5"/>
  <c r="G24" i="5"/>
  <c r="F24" i="5"/>
  <c r="R24" i="5"/>
  <c r="Q24" i="5"/>
  <c r="P24" i="5"/>
  <c r="O24" i="5"/>
  <c r="K24" i="5"/>
  <c r="J24" i="5"/>
  <c r="T24" i="5"/>
  <c r="I24" i="5"/>
  <c r="H24" i="5"/>
  <c r="AE24" i="5"/>
  <c r="S24" i="5"/>
  <c r="N13" i="5"/>
  <c r="M13" i="5"/>
  <c r="L13" i="5"/>
  <c r="AC13" i="5"/>
  <c r="D13" i="5"/>
  <c r="AB13" i="5"/>
  <c r="C13" i="5"/>
  <c r="AA13" i="5"/>
  <c r="X13" i="5"/>
  <c r="W13" i="5"/>
  <c r="V13" i="5"/>
  <c r="U13" i="5"/>
  <c r="Z13" i="5"/>
  <c r="Y13" i="5"/>
  <c r="I13" i="5"/>
  <c r="H13" i="5"/>
  <c r="G13" i="5"/>
  <c r="F13" i="5"/>
  <c r="E13" i="5"/>
  <c r="K13" i="5"/>
  <c r="AE13" i="5"/>
  <c r="AD13" i="5"/>
  <c r="T13" i="5"/>
  <c r="R13" i="5"/>
  <c r="P13" i="5"/>
  <c r="O13" i="5"/>
  <c r="S13" i="5"/>
  <c r="Q13" i="5"/>
  <c r="J13" i="5"/>
</calcChain>
</file>

<file path=xl/sharedStrings.xml><?xml version="1.0" encoding="utf-8"?>
<sst xmlns="http://schemas.openxmlformats.org/spreadsheetml/2006/main" count="3723" uniqueCount="1321">
  <si>
    <t>BGDPbES BAU Guaranteed Dispatch Percentage by Electricity Source</t>
  </si>
  <si>
    <t>New York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</si>
  <si>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</si>
  <si>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</si>
  <si>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</si>
  <si>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</si>
  <si>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</si>
  <si>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</si>
  <si>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</si>
  <si>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Purpose:</t>
  </si>
  <si>
    <t>Guarantee a portion of coal dispatch. EPS under-dispatches coal ~-27% nationally vs EIA-923 2025 (gas +3.4%) because annual-average least-cost dispatch cannot represent the non-price factors that kept the real coal fleet at ~50% CF (seasonal gas price spikes hidden by the annual average, utility self-scheduling, coal supply contracts, minimum-run and pipeline constraints). The BFPaT electricity-sector fuel prices were audited 2026-07-22 and are correct (EIA EPA 7.17/7.20 2024 anchors x CPI-U 2012$ deflator, STEO Jun-2026 2025 step of gas x1.41 / coal x0.98), so the calibration lever is guaranteed dispatch, not prices.</t>
  </si>
  <si>
    <t>California</t>
  </si>
  <si>
    <t>CA</t>
  </si>
  <si>
    <t>Mechanism:</t>
  </si>
  <si>
    <t>Guaranteed dispatch = capacity x expected hourly CF x BGDPbES, per hour (proportionally scaled back only if hourly demand is exceeded); the remaining capacity still bids into RPS and least-cost dispatch, up to the full expected CF. Because HYECFCA anchors start-year expected CFs to 2025 observed CFs, BGDPbES[coal]=X floors start-year coal generation at X x (2025 observed generation) while leaving (1-X) to economics.</t>
  </si>
  <si>
    <t>Colorado</t>
  </si>
  <si>
    <t>CO</t>
  </si>
  <si>
    <t>Values:</t>
  </si>
  <si>
    <t>hard coal + lignite and NGCC + gas steam rows take the PER-STATE tuned guarantees on the Tuned tab (2026-07-22 calibration fleet: secant search per state so 2025 coal AND gas generation land within 3% of proportional targets r x observed, r = achievable coal+gas residual; the tuned coal guarantee varies ~0.58-0.85 inversely with coal's economic share, and g_gas is usually 0 because conservation lands gas once coal is on target). Keys coal_guarantee is only a fallback for states missing a Tuned row. ALL other techs keep their current per-state values (Current_BGDPbES tab), except WA hydro = 0 (Keys hydro_zero_state): WA is at the $80 HOC cap and still over-dispatches, so its hydro guarantee is removed and hydro becomes the least-cost residual behind the tuned coal/gas floors.</t>
  </si>
  <si>
    <t>Connecticut</t>
  </si>
  <si>
    <t>CT</t>
  </si>
  <si>
    <t>Expected impact:</t>
  </si>
  <si>
    <t>At 0.90 with the current -2.8% demand anchor: national coal rises from ~531 to a &gt;=657 TWh floor (-10% vs 923ER instead of -27%); displaced generation comes mostly out of gas (~+3.4% -&gt; ~-4%). After the November SEDS 2025 demand re-anchor restores ~119 TWh of demand, least-cost refills gas toward actuals.</t>
  </si>
  <si>
    <t>Delaware</t>
  </si>
  <si>
    <t>DE</t>
  </si>
  <si>
    <t>CAVEAT - policy runs:</t>
  </si>
  <si>
    <t>BGDPbES applies in ALL scenarios, not just BAU. A coal floor mutes price-driven coal redispatch (e.g. carbon tax) until capacity actually retires: policy can still retire coal (guaranteed MWh fall with capacity) but cannot dispatch surviving coal below the floor. Same trade-off already accepted for nuclear (1.0), hydro (0.9), peakers (1.0) and documented for HYECFCA. Staff decision on the fraction; set Keys coal_guarantee to taste (0 restores pure least-cost).</t>
  </si>
  <si>
    <t>Florida</t>
  </si>
  <si>
    <t>FL</t>
  </si>
  <si>
    <t>Caveats - data:</t>
  </si>
  <si>
    <t>Floor quality inherits HYECFCA/SYSHECF quality: 2025 observed coal CFs include 2025-specific outages and the thin-demand year. States where coal is already economic in EPS (MO, KY, WY: coal beats gas on fuel cost) are unaffected in practice -- least-cost already dispatches above the floor there. Verify against primary sources (EIA-923/860, EPA 7.17/7.20) before adopting; draft for staff review.</t>
  </si>
  <si>
    <t>Georgia</t>
  </si>
  <si>
    <t>GA</t>
  </si>
  <si>
    <t>Rebuild:</t>
  </si>
  <si>
    <t>python outputs/BGDPbES/_build_bgdpbes_workbook.py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</si>
  <si>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</si>
  <si>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</si>
  <si>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</si>
  <si>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</si>
  <si>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</si>
  <si>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</si>
  <si>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</si>
  <si>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</si>
  <si>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</si>
  <si>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</si>
  <si>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</si>
  <si>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</si>
  <si>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</si>
  <si>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</si>
  <si>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</si>
  <si>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</si>
  <si>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</si>
  <si>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</si>
  <si>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</si>
  <si>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</si>
  <si>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</si>
  <si>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</si>
  <si>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</si>
  <si>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</si>
  <si>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</si>
  <si>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</si>
  <si>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</si>
  <si>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</si>
  <si>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</si>
  <si>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</si>
  <si>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</si>
  <si>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</si>
  <si>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</si>
  <si>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</si>
  <si>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</si>
  <si>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</si>
  <si>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</si>
  <si>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</si>
  <si>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</si>
  <si>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</si>
  <si>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</si>
  <si>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</si>
  <si>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</si>
  <si>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</si>
  <si>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</si>
  <si>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</si>
  <si>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</si>
  <si>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</si>
  <si>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</si>
  <si>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</si>
  <si>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</si>
  <si>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</si>
  <si>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</si>
  <si>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</si>
  <si>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</si>
  <si>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</si>
  <si>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</si>
  <si>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</si>
  <si>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</si>
  <si>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</si>
  <si>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</si>
  <si>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</si>
  <si>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</si>
  <si>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</si>
  <si>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</si>
  <si>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</si>
  <si>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</si>
  <si>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</si>
  <si>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</si>
  <si>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</si>
  <si>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</si>
  <si>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</si>
  <si>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</si>
  <si>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</si>
  <si>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</si>
  <si>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</si>
  <si>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</si>
  <si>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</si>
  <si>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</si>
  <si>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</si>
  <si>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</si>
  <si>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</si>
  <si>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coal_guarantee</t>
  </si>
  <si>
    <t>FALLBACK guaranteed-dispatch fraction for coal techs, used only if the active state has no row on the Tuned tab. Tuned per-state values take precedence.</t>
  </si>
  <si>
    <t>tech</t>
  </si>
  <si>
    <t>coal_tech_1</t>
  </si>
  <si>
    <t>hard coal</t>
  </si>
  <si>
    <t>First tech row driven by the tuned coal guarantee</t>
  </si>
  <si>
    <t>coal_tech_2</t>
  </si>
  <si>
    <t>lignite</t>
  </si>
  <si>
    <t>Second tech row driven by the tuned coal guarantee</t>
  </si>
  <si>
    <t>hydro_zero_state</t>
  </si>
  <si>
    <t>State whose hydro guarantee is removed entirely (staff 2026-07-22): WA hydro is at the $80 HOC cap and still over-dispatching, so hydro becomes the pure least-cost residual while tuned coal/gas floors reclaim their share.</t>
  </si>
  <si>
    <t>hydro_zero_value</t>
  </si>
  <si>
    <t>Hydro guarantee applied when the active state equals hydro_zero_state</t>
  </si>
  <si>
    <t>state</t>
  </si>
  <si>
    <t>current_value</t>
  </si>
  <si>
    <t>key (state|tech)</t>
  </si>
  <si>
    <t>AL|hard coal</t>
  </si>
  <si>
    <t>natural gas steam turbine</t>
  </si>
  <si>
    <t>AL|natural gas steam turbine</t>
  </si>
  <si>
    <t>natural gas combined cycle</t>
  </si>
  <si>
    <t>AL|natural gas combined cycle</t>
  </si>
  <si>
    <t>nuclear</t>
  </si>
  <si>
    <t>AL|nuclear</t>
  </si>
  <si>
    <t>hydro</t>
  </si>
  <si>
    <t>AL|hydro</t>
  </si>
  <si>
    <t>onshore wind</t>
  </si>
  <si>
    <t>AL|onshore wind</t>
  </si>
  <si>
    <t>solar PV</t>
  </si>
  <si>
    <t>AL|solar PV</t>
  </si>
  <si>
    <t>solar thermal</t>
  </si>
  <si>
    <t>AL|solar thermal</t>
  </si>
  <si>
    <t>biomass</t>
  </si>
  <si>
    <t>AL|biomass</t>
  </si>
  <si>
    <t>geothermal</t>
  </si>
  <si>
    <t>AL|geothermal</t>
  </si>
  <si>
    <t>petroleum</t>
  </si>
  <si>
    <t>AL|petroleum</t>
  </si>
  <si>
    <t>natural gas peaker</t>
  </si>
  <si>
    <t>AL|natural gas peaker</t>
  </si>
  <si>
    <t>AL|lignite</t>
  </si>
  <si>
    <t>offshore wind</t>
  </si>
  <si>
    <t>AL|offshore wind</t>
  </si>
  <si>
    <t>crude oil</t>
  </si>
  <si>
    <t>AL|crude oil</t>
  </si>
  <si>
    <t>heavy or residual fuel oil</t>
  </si>
  <si>
    <t>AL|heavy or residual fuel oil</t>
  </si>
  <si>
    <t>municipal solid waste</t>
  </si>
  <si>
    <t>AL|municipal solid waste</t>
  </si>
  <si>
    <t>hard coal w CCS</t>
  </si>
  <si>
    <t>AL|hard coal w CCS</t>
  </si>
  <si>
    <t>natural gas combined cycle w CCS</t>
  </si>
  <si>
    <t>AL|natural gas combined cycle w CCS</t>
  </si>
  <si>
    <t>biomass w CCS</t>
  </si>
  <si>
    <t>AL|biomass w CCS</t>
  </si>
  <si>
    <t>lignite w CCS</t>
  </si>
  <si>
    <t>AL|lignite w CCS</t>
  </si>
  <si>
    <t>small modular reactor</t>
  </si>
  <si>
    <t>AL|small modular reactor</t>
  </si>
  <si>
    <t>hydrogen combustion turbine</t>
  </si>
  <si>
    <t>AL|hydrogen combustion turbine</t>
  </si>
  <si>
    <t>hydrogen combined cycle</t>
  </si>
  <si>
    <t>AL|hydrogen combined cycle</t>
  </si>
  <si>
    <t>AR|hard coal</t>
  </si>
  <si>
    <t>AR|natural gas steam turbine</t>
  </si>
  <si>
    <t>AR|natural gas combined cycle</t>
  </si>
  <si>
    <t>AR|nuclear</t>
  </si>
  <si>
    <t>AR|hydro</t>
  </si>
  <si>
    <t>AR|onshore wind</t>
  </si>
  <si>
    <t>AR|solar PV</t>
  </si>
  <si>
    <t>AR|solar thermal</t>
  </si>
  <si>
    <t>AR|biomass</t>
  </si>
  <si>
    <t>AR|geothermal</t>
  </si>
  <si>
    <t>AR|petroleum</t>
  </si>
  <si>
    <t>AR|natural gas peaker</t>
  </si>
  <si>
    <t>AR|lignite</t>
  </si>
  <si>
    <t>AR|offshore wind</t>
  </si>
  <si>
    <t>AR|crude oil</t>
  </si>
  <si>
    <t>AR|heavy or residual fuel oil</t>
  </si>
  <si>
    <t>AR|municipal solid waste</t>
  </si>
  <si>
    <t>AR|hard coal w CCS</t>
  </si>
  <si>
    <t>AR|natural gas combined cycle w CCS</t>
  </si>
  <si>
    <t>AR|biomass w CCS</t>
  </si>
  <si>
    <t>AR|lignite w CCS</t>
  </si>
  <si>
    <t>AR|small modular reactor</t>
  </si>
  <si>
    <t>AR|hydrogen combustion turbine</t>
  </si>
  <si>
    <t>AR|hydrogen combined cycle</t>
  </si>
  <si>
    <t>AZ|hard coal</t>
  </si>
  <si>
    <t>AZ|natural gas steam turbine</t>
  </si>
  <si>
    <t>AZ|natural gas combined cycle</t>
  </si>
  <si>
    <t>AZ|nuclear</t>
  </si>
  <si>
    <t>AZ|hydro</t>
  </si>
  <si>
    <t>AZ|onshore wind</t>
  </si>
  <si>
    <t>AZ|solar PV</t>
  </si>
  <si>
    <t>AZ|solar thermal</t>
  </si>
  <si>
    <t>AZ|biomass</t>
  </si>
  <si>
    <t>AZ|geothermal</t>
  </si>
  <si>
    <t>AZ|petroleum</t>
  </si>
  <si>
    <t>AZ|natural gas peaker</t>
  </si>
  <si>
    <t>AZ|lignite</t>
  </si>
  <si>
    <t>AZ|offshore wind</t>
  </si>
  <si>
    <t>AZ|crude oil</t>
  </si>
  <si>
    <t>AZ|heavy or residual fuel oil</t>
  </si>
  <si>
    <t>AZ|municipal solid waste</t>
  </si>
  <si>
    <t>AZ|hard coal w CCS</t>
  </si>
  <si>
    <t>AZ|natural gas combined cycle w CCS</t>
  </si>
  <si>
    <t>AZ|biomass w CCS</t>
  </si>
  <si>
    <t>AZ|lignite w CCS</t>
  </si>
  <si>
    <t>AZ|small modular reactor</t>
  </si>
  <si>
    <t>AZ|hydrogen combustion turbine</t>
  </si>
  <si>
    <t>AZ|hydrogen combined cycle</t>
  </si>
  <si>
    <t>CA|hard coal</t>
  </si>
  <si>
    <t>CA|natural gas steam turbine</t>
  </si>
  <si>
    <t>CA|natural gas combined cycle</t>
  </si>
  <si>
    <t>CA|nuclear</t>
  </si>
  <si>
    <t>CA|hydro</t>
  </si>
  <si>
    <t>CA|onshore wind</t>
  </si>
  <si>
    <t>CA|solar PV</t>
  </si>
  <si>
    <t>CA|solar thermal</t>
  </si>
  <si>
    <t>CA|biomass</t>
  </si>
  <si>
    <t>CA|geothermal</t>
  </si>
  <si>
    <t>CA|petroleum</t>
  </si>
  <si>
    <t>CA|natural gas peaker</t>
  </si>
  <si>
    <t>CA|lignite</t>
  </si>
  <si>
    <t>CA|offshore wind</t>
  </si>
  <si>
    <t>CA|crude oil</t>
  </si>
  <si>
    <t>CA|heavy or residual fuel oil</t>
  </si>
  <si>
    <t>CA|municipal solid waste</t>
  </si>
  <si>
    <t>CA|hard coal w CCS</t>
  </si>
  <si>
    <t>CA|natural gas combined cycle w CCS</t>
  </si>
  <si>
    <t>CA|biomass w CCS</t>
  </si>
  <si>
    <t>CA|lignite w CCS</t>
  </si>
  <si>
    <t>CA|small modular reactor</t>
  </si>
  <si>
    <t>CA|hydrogen combustion turbine</t>
  </si>
  <si>
    <t>CA|hydrogen combined cycle</t>
  </si>
  <si>
    <t>CO|hard coal</t>
  </si>
  <si>
    <t>CO|natural gas steam turbine</t>
  </si>
  <si>
    <t>CO|natural gas combined cycle</t>
  </si>
  <si>
    <t>CO|nuclear</t>
  </si>
  <si>
    <t>CO|hydro</t>
  </si>
  <si>
    <t>CO|onshore wind</t>
  </si>
  <si>
    <t>CO|solar PV</t>
  </si>
  <si>
    <t>CO|solar thermal</t>
  </si>
  <si>
    <t>CO|biomass</t>
  </si>
  <si>
    <t>CO|geothermal</t>
  </si>
  <si>
    <t>CO|petroleum</t>
  </si>
  <si>
    <t>CO|natural gas peaker</t>
  </si>
  <si>
    <t>CO|lignite</t>
  </si>
  <si>
    <t>CO|offshore wind</t>
  </si>
  <si>
    <t>CO|crude oil</t>
  </si>
  <si>
    <t>CO|heavy or residual fuel oil</t>
  </si>
  <si>
    <t>CO|municipal solid waste</t>
  </si>
  <si>
    <t>CO|hard coal w CCS</t>
  </si>
  <si>
    <t>CO|natural gas combined cycle w CCS</t>
  </si>
  <si>
    <t>CO|biomass w CCS</t>
  </si>
  <si>
    <t>CO|lignite w CCS</t>
  </si>
  <si>
    <t>CO|small modular reactor</t>
  </si>
  <si>
    <t>CO|hydrogen combustion turbine</t>
  </si>
  <si>
    <t>CO|hydrogen combined cycle</t>
  </si>
  <si>
    <t>CT|hard coal</t>
  </si>
  <si>
    <t>CT|natural gas steam turbine</t>
  </si>
  <si>
    <t>CT|natural gas combined cycle</t>
  </si>
  <si>
    <t>CT|nuclear</t>
  </si>
  <si>
    <t>CT|hydro</t>
  </si>
  <si>
    <t>CT|onshore wind</t>
  </si>
  <si>
    <t>CT|solar PV</t>
  </si>
  <si>
    <t>CT|solar thermal</t>
  </si>
  <si>
    <t>CT|biomass</t>
  </si>
  <si>
    <t>CT|geothermal</t>
  </si>
  <si>
    <t>CT|petroleum</t>
  </si>
  <si>
    <t>CT|natural gas peaker</t>
  </si>
  <si>
    <t>CT|lignite</t>
  </si>
  <si>
    <t>CT|offshore wind</t>
  </si>
  <si>
    <t>CT|crude oil</t>
  </si>
  <si>
    <t>CT|heavy or residual fuel oil</t>
  </si>
  <si>
    <t>CT|municipal solid waste</t>
  </si>
  <si>
    <t>CT|hard coal w CCS</t>
  </si>
  <si>
    <t>CT|natural gas combined cycle w CCS</t>
  </si>
  <si>
    <t>CT|biomass w CCS</t>
  </si>
  <si>
    <t>CT|lignite w CCS</t>
  </si>
  <si>
    <t>CT|small modular reactor</t>
  </si>
  <si>
    <t>CT|hydrogen combustion turbine</t>
  </si>
  <si>
    <t>CT|hydrogen combined cycle</t>
  </si>
  <si>
    <t>DE|hard coal</t>
  </si>
  <si>
    <t>DE|natural gas steam turbine</t>
  </si>
  <si>
    <t>DE|natural gas combined cycle</t>
  </si>
  <si>
    <t>DE|nuclear</t>
  </si>
  <si>
    <t>DE|hydro</t>
  </si>
  <si>
    <t>DE|onshore wind</t>
  </si>
  <si>
    <t>DE|solar PV</t>
  </si>
  <si>
    <t>DE|solar thermal</t>
  </si>
  <si>
    <t>DE|biomass</t>
  </si>
  <si>
    <t>DE|geothermal</t>
  </si>
  <si>
    <t>DE|petroleum</t>
  </si>
  <si>
    <t>DE|natural gas peaker</t>
  </si>
  <si>
    <t>DE|lignite</t>
  </si>
  <si>
    <t>DE|offshore wind</t>
  </si>
  <si>
    <t>DE|crude oil</t>
  </si>
  <si>
    <t>DE|heavy or residual fuel oil</t>
  </si>
  <si>
    <t>DE|municipal solid waste</t>
  </si>
  <si>
    <t>DE|hard coal w CCS</t>
  </si>
  <si>
    <t>DE|natural gas combined cycle w CCS</t>
  </si>
  <si>
    <t>DE|biomass w CCS</t>
  </si>
  <si>
    <t>DE|lignite w CCS</t>
  </si>
  <si>
    <t>DE|small modular reactor</t>
  </si>
  <si>
    <t>DE|hydrogen combustion turbine</t>
  </si>
  <si>
    <t>DE|hydrogen combined cycle</t>
  </si>
  <si>
    <t>FL|hard coal</t>
  </si>
  <si>
    <t>FL|natural gas steam turbine</t>
  </si>
  <si>
    <t>FL|natural gas combined cycle</t>
  </si>
  <si>
    <t>FL|nuclear</t>
  </si>
  <si>
    <t>FL|hydro</t>
  </si>
  <si>
    <t>FL|onshore wind</t>
  </si>
  <si>
    <t>FL|solar PV</t>
  </si>
  <si>
    <t>FL|solar thermal</t>
  </si>
  <si>
    <t>FL|biomass</t>
  </si>
  <si>
    <t>FL|geothermal</t>
  </si>
  <si>
    <t>FL|petroleum</t>
  </si>
  <si>
    <t>FL|natural gas peaker</t>
  </si>
  <si>
    <t>FL|lignite</t>
  </si>
  <si>
    <t>FL|offshore wind</t>
  </si>
  <si>
    <t>FL|crude oil</t>
  </si>
  <si>
    <t>FL|heavy or residual fuel oil</t>
  </si>
  <si>
    <t>FL|municipal solid waste</t>
  </si>
  <si>
    <t>FL|hard coal w CCS</t>
  </si>
  <si>
    <t>FL|natural gas combined cycle w CCS</t>
  </si>
  <si>
    <t>FL|biomass w CCS</t>
  </si>
  <si>
    <t>FL|lignite w CCS</t>
  </si>
  <si>
    <t>FL|small modular reactor</t>
  </si>
  <si>
    <t>FL|hydrogen combustion turbine</t>
  </si>
  <si>
    <t>FL|hydrogen combined cycle</t>
  </si>
  <si>
    <t>GA|hard coal</t>
  </si>
  <si>
    <t>GA|natural gas steam turbine</t>
  </si>
  <si>
    <t>GA|natural gas combined cycle</t>
  </si>
  <si>
    <t>GA|nuclear</t>
  </si>
  <si>
    <t>GA|hydro</t>
  </si>
  <si>
    <t>GA|onshore wind</t>
  </si>
  <si>
    <t>GA|solar PV</t>
  </si>
  <si>
    <t>GA|solar thermal</t>
  </si>
  <si>
    <t>GA|biomass</t>
  </si>
  <si>
    <t>GA|geothermal</t>
  </si>
  <si>
    <t>GA|petroleum</t>
  </si>
  <si>
    <t>GA|natural gas peaker</t>
  </si>
  <si>
    <t>GA|lignite</t>
  </si>
  <si>
    <t>GA|offshore wind</t>
  </si>
  <si>
    <t>GA|crude oil</t>
  </si>
  <si>
    <t>GA|heavy or residual fuel oil</t>
  </si>
  <si>
    <t>GA|municipal solid waste</t>
  </si>
  <si>
    <t>GA|hard coal w CCS</t>
  </si>
  <si>
    <t>GA|natural gas combined cycle w CCS</t>
  </si>
  <si>
    <t>GA|biomass w CCS</t>
  </si>
  <si>
    <t>GA|lignite w CCS</t>
  </si>
  <si>
    <t>GA|small modular reactor</t>
  </si>
  <si>
    <t>GA|hydrogen combustion turbine</t>
  </si>
  <si>
    <t>GA|hydrogen combined cycle</t>
  </si>
  <si>
    <t>IA|hard coal</t>
  </si>
  <si>
    <t>IA|natural gas steam turbine</t>
  </si>
  <si>
    <t>IA|natural gas combined cycle</t>
  </si>
  <si>
    <t>IA|nuclear</t>
  </si>
  <si>
    <t>IA|hydro</t>
  </si>
  <si>
    <t>IA|onshore wind</t>
  </si>
  <si>
    <t>IA|solar PV</t>
  </si>
  <si>
    <t>IA|solar thermal</t>
  </si>
  <si>
    <t>IA|biomass</t>
  </si>
  <si>
    <t>IA|geothermal</t>
  </si>
  <si>
    <t>IA|petroleum</t>
  </si>
  <si>
    <t>IA|natural gas peaker</t>
  </si>
  <si>
    <t>IA|lignite</t>
  </si>
  <si>
    <t>IA|offshore wind</t>
  </si>
  <si>
    <t>IA|crude oil</t>
  </si>
  <si>
    <t>IA|heavy or residual fuel oil</t>
  </si>
  <si>
    <t>IA|municipal solid waste</t>
  </si>
  <si>
    <t>IA|hard coal w CCS</t>
  </si>
  <si>
    <t>IA|natural gas combined cycle w CCS</t>
  </si>
  <si>
    <t>IA|biomass w CCS</t>
  </si>
  <si>
    <t>IA|lignite w CCS</t>
  </si>
  <si>
    <t>IA|small modular reactor</t>
  </si>
  <si>
    <t>IA|hydrogen combustion turbine</t>
  </si>
  <si>
    <t>IA|hydrogen combined cycle</t>
  </si>
  <si>
    <t>ID|hard coal</t>
  </si>
  <si>
    <t>ID|natural gas steam turbine</t>
  </si>
  <si>
    <t>ID|natural gas combined cycle</t>
  </si>
  <si>
    <t>ID|nuclear</t>
  </si>
  <si>
    <t>ID|hydro</t>
  </si>
  <si>
    <t>ID|onshore wind</t>
  </si>
  <si>
    <t>ID|solar PV</t>
  </si>
  <si>
    <t>ID|solar thermal</t>
  </si>
  <si>
    <t>ID|biomass</t>
  </si>
  <si>
    <t>ID|geothermal</t>
  </si>
  <si>
    <t>ID|petroleum</t>
  </si>
  <si>
    <t>ID|natural gas peaker</t>
  </si>
  <si>
    <t>ID|lignite</t>
  </si>
  <si>
    <t>ID|offshore wind</t>
  </si>
  <si>
    <t>ID|crude oil</t>
  </si>
  <si>
    <t>ID|heavy or residual fuel oil</t>
  </si>
  <si>
    <t>ID|municipal solid waste</t>
  </si>
  <si>
    <t>ID|hard coal w CCS</t>
  </si>
  <si>
    <t>ID|natural gas combined cycle w CCS</t>
  </si>
  <si>
    <t>ID|biomass w CCS</t>
  </si>
  <si>
    <t>ID|lignite w CCS</t>
  </si>
  <si>
    <t>ID|small modular reactor</t>
  </si>
  <si>
    <t>ID|hydrogen combustion turbine</t>
  </si>
  <si>
    <t>ID|hydrogen combined cycle</t>
  </si>
  <si>
    <t>IL|hard coal</t>
  </si>
  <si>
    <t>IL|natural gas steam turbine</t>
  </si>
  <si>
    <t>IL|natural gas combined cycle</t>
  </si>
  <si>
    <t>IL|nuclear</t>
  </si>
  <si>
    <t>IL|hydro</t>
  </si>
  <si>
    <t>IL|onshore wind</t>
  </si>
  <si>
    <t>IL|solar PV</t>
  </si>
  <si>
    <t>IL|solar thermal</t>
  </si>
  <si>
    <t>IL|biomass</t>
  </si>
  <si>
    <t>IL|geothermal</t>
  </si>
  <si>
    <t>IL|petroleum</t>
  </si>
  <si>
    <t>IL|natural gas peaker</t>
  </si>
  <si>
    <t>IL|lignite</t>
  </si>
  <si>
    <t>IL|offshore wind</t>
  </si>
  <si>
    <t>IL|crude oil</t>
  </si>
  <si>
    <t>IL|heavy or residual fuel oil</t>
  </si>
  <si>
    <t>IL|municipal solid waste</t>
  </si>
  <si>
    <t>IL|hard coal w CCS</t>
  </si>
  <si>
    <t>IL|natural gas combined cycle w CCS</t>
  </si>
  <si>
    <t>IL|biomass w CCS</t>
  </si>
  <si>
    <t>IL|lignite w CCS</t>
  </si>
  <si>
    <t>IL|small modular reactor</t>
  </si>
  <si>
    <t>IL|hydrogen combustion turbine</t>
  </si>
  <si>
    <t>IL|hydrogen combined cycle</t>
  </si>
  <si>
    <t>IN|hard coal</t>
  </si>
  <si>
    <t>IN|natural gas steam turbine</t>
  </si>
  <si>
    <t>IN|natural gas combined cycle</t>
  </si>
  <si>
    <t>IN|nuclear</t>
  </si>
  <si>
    <t>IN|hydro</t>
  </si>
  <si>
    <t>IN|onshore wind</t>
  </si>
  <si>
    <t>IN|solar PV</t>
  </si>
  <si>
    <t>IN|solar thermal</t>
  </si>
  <si>
    <t>IN|biomass</t>
  </si>
  <si>
    <t>IN|geothermal</t>
  </si>
  <si>
    <t>IN|petroleum</t>
  </si>
  <si>
    <t>IN|natural gas peaker</t>
  </si>
  <si>
    <t>IN|lignite</t>
  </si>
  <si>
    <t>IN|offshore wind</t>
  </si>
  <si>
    <t>IN|crude oil</t>
  </si>
  <si>
    <t>IN|heavy or residual fuel oil</t>
  </si>
  <si>
    <t>IN|municipal solid waste</t>
  </si>
  <si>
    <t>IN|hard coal w CCS</t>
  </si>
  <si>
    <t>IN|natural gas combined cycle w CCS</t>
  </si>
  <si>
    <t>IN|biomass w CCS</t>
  </si>
  <si>
    <t>IN|lignite w CCS</t>
  </si>
  <si>
    <t>IN|small modular reactor</t>
  </si>
  <si>
    <t>IN|hydrogen combustion turbine</t>
  </si>
  <si>
    <t>IN|hydrogen combined cycle</t>
  </si>
  <si>
    <t>KS|hard coal</t>
  </si>
  <si>
    <t>KS|natural gas steam turbine</t>
  </si>
  <si>
    <t>KS|natural gas combined cycle</t>
  </si>
  <si>
    <t>KS|nuclear</t>
  </si>
  <si>
    <t>KS|hydro</t>
  </si>
  <si>
    <t>KS|onshore wind</t>
  </si>
  <si>
    <t>KS|solar PV</t>
  </si>
  <si>
    <t>KS|solar thermal</t>
  </si>
  <si>
    <t>KS|biomass</t>
  </si>
  <si>
    <t>KS|geothermal</t>
  </si>
  <si>
    <t>KS|petroleum</t>
  </si>
  <si>
    <t>KS|natural gas peaker</t>
  </si>
  <si>
    <t>KS|lignite</t>
  </si>
  <si>
    <t>KS|offshore wind</t>
  </si>
  <si>
    <t>KS|crude oil</t>
  </si>
  <si>
    <t>KS|heavy or residual fuel oil</t>
  </si>
  <si>
    <t>KS|municipal solid waste</t>
  </si>
  <si>
    <t>KS|hard coal w CCS</t>
  </si>
  <si>
    <t>KS|natural gas combined cycle w CCS</t>
  </si>
  <si>
    <t>KS|biomass w CCS</t>
  </si>
  <si>
    <t>KS|lignite w CCS</t>
  </si>
  <si>
    <t>KS|small modular reactor</t>
  </si>
  <si>
    <t>KS|hydrogen combustion turbine</t>
  </si>
  <si>
    <t>KS|hydrogen combined cycle</t>
  </si>
  <si>
    <t>KY|hard coal</t>
  </si>
  <si>
    <t>KY|natural gas steam turbine</t>
  </si>
  <si>
    <t>KY|natural gas combined cycle</t>
  </si>
  <si>
    <t>KY|nuclear</t>
  </si>
  <si>
    <t>KY|hydro</t>
  </si>
  <si>
    <t>KY|onshore wind</t>
  </si>
  <si>
    <t>KY|solar PV</t>
  </si>
  <si>
    <t>KY|solar thermal</t>
  </si>
  <si>
    <t>KY|biomass</t>
  </si>
  <si>
    <t>KY|geothermal</t>
  </si>
  <si>
    <t>KY|petroleum</t>
  </si>
  <si>
    <t>KY|natural gas peaker</t>
  </si>
  <si>
    <t>KY|lignite</t>
  </si>
  <si>
    <t>KY|offshore wind</t>
  </si>
  <si>
    <t>KY|crude oil</t>
  </si>
  <si>
    <t>KY|heavy or residual fuel oil</t>
  </si>
  <si>
    <t>KY|municipal solid waste</t>
  </si>
  <si>
    <t>KY|hard coal w CCS</t>
  </si>
  <si>
    <t>KY|natural gas combined cycle w CCS</t>
  </si>
  <si>
    <t>KY|biomass w CCS</t>
  </si>
  <si>
    <t>KY|lignite w CCS</t>
  </si>
  <si>
    <t>KY|small modular reactor</t>
  </si>
  <si>
    <t>KY|hydrogen combustion turbine</t>
  </si>
  <si>
    <t>KY|hydrogen combined cycle</t>
  </si>
  <si>
    <t>LA|hard coal</t>
  </si>
  <si>
    <t>LA|natural gas steam turbine</t>
  </si>
  <si>
    <t>LA|natural gas combined cycle</t>
  </si>
  <si>
    <t>LA|nuclear</t>
  </si>
  <si>
    <t>LA|hydro</t>
  </si>
  <si>
    <t>LA|onshore wind</t>
  </si>
  <si>
    <t>LA|solar PV</t>
  </si>
  <si>
    <t>LA|solar thermal</t>
  </si>
  <si>
    <t>LA|biomass</t>
  </si>
  <si>
    <t>LA|geothermal</t>
  </si>
  <si>
    <t>LA|petroleum</t>
  </si>
  <si>
    <t>LA|natural gas peaker</t>
  </si>
  <si>
    <t>LA|lignite</t>
  </si>
  <si>
    <t>LA|offshore wind</t>
  </si>
  <si>
    <t>LA|crude oil</t>
  </si>
  <si>
    <t>LA|heavy or residual fuel oil</t>
  </si>
  <si>
    <t>LA|municipal solid waste</t>
  </si>
  <si>
    <t>LA|hard coal w CCS</t>
  </si>
  <si>
    <t>LA|natural gas combined cycle w CCS</t>
  </si>
  <si>
    <t>LA|biomass w CCS</t>
  </si>
  <si>
    <t>LA|lignite w CCS</t>
  </si>
  <si>
    <t>LA|small modular reactor</t>
  </si>
  <si>
    <t>LA|hydrogen combustion turbine</t>
  </si>
  <si>
    <t>LA|hydrogen combined cycle</t>
  </si>
  <si>
    <t>MA|hard coal</t>
  </si>
  <si>
    <t>MA|natural gas steam turbine</t>
  </si>
  <si>
    <t>MA|natural gas combined cycle</t>
  </si>
  <si>
    <t>MA|nuclear</t>
  </si>
  <si>
    <t>MA|hydro</t>
  </si>
  <si>
    <t>MA|onshore wind</t>
  </si>
  <si>
    <t>MA|solar PV</t>
  </si>
  <si>
    <t>MA|solar thermal</t>
  </si>
  <si>
    <t>MA|biomass</t>
  </si>
  <si>
    <t>MA|geothermal</t>
  </si>
  <si>
    <t>MA|petroleum</t>
  </si>
  <si>
    <t>MA|natural gas peaker</t>
  </si>
  <si>
    <t>MA|lignite</t>
  </si>
  <si>
    <t>MA|offshore wind</t>
  </si>
  <si>
    <t>MA|crude oil</t>
  </si>
  <si>
    <t>MA|heavy or residual fuel oil</t>
  </si>
  <si>
    <t>MA|municipal solid waste</t>
  </si>
  <si>
    <t>MA|hard coal w CCS</t>
  </si>
  <si>
    <t>MA|natural gas combined cycle w CCS</t>
  </si>
  <si>
    <t>MA|biomass w CCS</t>
  </si>
  <si>
    <t>MA|lignite w CCS</t>
  </si>
  <si>
    <t>MA|small modular reactor</t>
  </si>
  <si>
    <t>MA|hydrogen combustion turbine</t>
  </si>
  <si>
    <t>MA|hydrogen combined cycle</t>
  </si>
  <si>
    <t>MD|hard coal</t>
  </si>
  <si>
    <t>MD|natural gas steam turbine</t>
  </si>
  <si>
    <t>MD|natural gas combined cycle</t>
  </si>
  <si>
    <t>MD|nuclear</t>
  </si>
  <si>
    <t>MD|hydro</t>
  </si>
  <si>
    <t>MD|onshore wind</t>
  </si>
  <si>
    <t>MD|solar PV</t>
  </si>
  <si>
    <t>MD|solar thermal</t>
  </si>
  <si>
    <t>MD|biomass</t>
  </si>
  <si>
    <t>MD|geothermal</t>
  </si>
  <si>
    <t>MD|petroleum</t>
  </si>
  <si>
    <t>MD|natural gas peaker</t>
  </si>
  <si>
    <t>MD|lignite</t>
  </si>
  <si>
    <t>MD|offshore wind</t>
  </si>
  <si>
    <t>MD|crude oil</t>
  </si>
  <si>
    <t>MD|heavy or residual fuel oil</t>
  </si>
  <si>
    <t>MD|municipal solid waste</t>
  </si>
  <si>
    <t>MD|hard coal w CCS</t>
  </si>
  <si>
    <t>MD|natural gas combined cycle w CCS</t>
  </si>
  <si>
    <t>MD|biomass w CCS</t>
  </si>
  <si>
    <t>MD|lignite w CCS</t>
  </si>
  <si>
    <t>MD|small modular reactor</t>
  </si>
  <si>
    <t>MD|hydrogen combustion turbine</t>
  </si>
  <si>
    <t>MD|hydrogen combined cycle</t>
  </si>
  <si>
    <t>ME|hard coal</t>
  </si>
  <si>
    <t>ME|natural gas steam turbine</t>
  </si>
  <si>
    <t>ME|natural gas combined cycle</t>
  </si>
  <si>
    <t>ME|nuclear</t>
  </si>
  <si>
    <t>ME|hydro</t>
  </si>
  <si>
    <t>ME|onshore wind</t>
  </si>
  <si>
    <t>ME|solar PV</t>
  </si>
  <si>
    <t>ME|solar thermal</t>
  </si>
  <si>
    <t>ME|biomass</t>
  </si>
  <si>
    <t>ME|geothermal</t>
  </si>
  <si>
    <t>ME|petroleum</t>
  </si>
  <si>
    <t>ME|natural gas peaker</t>
  </si>
  <si>
    <t>ME|lignite</t>
  </si>
  <si>
    <t>ME|offshore wind</t>
  </si>
  <si>
    <t>ME|crude oil</t>
  </si>
  <si>
    <t>ME|heavy or residual fuel oil</t>
  </si>
  <si>
    <t>ME|municipal solid waste</t>
  </si>
  <si>
    <t>ME|hard coal w CCS</t>
  </si>
  <si>
    <t>ME|natural gas combined cycle w CCS</t>
  </si>
  <si>
    <t>ME|biomass w CCS</t>
  </si>
  <si>
    <t>ME|lignite w CCS</t>
  </si>
  <si>
    <t>ME|small modular reactor</t>
  </si>
  <si>
    <t>ME|hydrogen combustion turbine</t>
  </si>
  <si>
    <t>ME|hydrogen combined cycle</t>
  </si>
  <si>
    <t>MI|hard coal</t>
  </si>
  <si>
    <t>MI|natural gas steam turbine</t>
  </si>
  <si>
    <t>MI|natural gas combined cycle</t>
  </si>
  <si>
    <t>MI|nuclear</t>
  </si>
  <si>
    <t>MI|hydro</t>
  </si>
  <si>
    <t>MI|onshore wind</t>
  </si>
  <si>
    <t>MI|solar PV</t>
  </si>
  <si>
    <t>MI|solar thermal</t>
  </si>
  <si>
    <t>MI|biomass</t>
  </si>
  <si>
    <t>MI|geothermal</t>
  </si>
  <si>
    <t>MI|petroleum</t>
  </si>
  <si>
    <t>MI|natural gas peaker</t>
  </si>
  <si>
    <t>MI|lignite</t>
  </si>
  <si>
    <t>MI|offshore wind</t>
  </si>
  <si>
    <t>MI|crude oil</t>
  </si>
  <si>
    <t>MI|heavy or residual fuel oil</t>
  </si>
  <si>
    <t>MI|municipal solid waste</t>
  </si>
  <si>
    <t>MI|hard coal w CCS</t>
  </si>
  <si>
    <t>MI|natural gas combined cycle w CCS</t>
  </si>
  <si>
    <t>MI|biomass w CCS</t>
  </si>
  <si>
    <t>MI|lignite w CCS</t>
  </si>
  <si>
    <t>MI|small modular reactor</t>
  </si>
  <si>
    <t>MI|hydrogen combustion turbine</t>
  </si>
  <si>
    <t>MI|hydrogen combined cycle</t>
  </si>
  <si>
    <t>MN|hard coal</t>
  </si>
  <si>
    <t>MN|natural gas steam turbine</t>
  </si>
  <si>
    <t>MN|natural gas combined cycle</t>
  </si>
  <si>
    <t>MN|nuclear</t>
  </si>
  <si>
    <t>MN|hydro</t>
  </si>
  <si>
    <t>MN|onshore wind</t>
  </si>
  <si>
    <t>MN|solar PV</t>
  </si>
  <si>
    <t>MN|solar thermal</t>
  </si>
  <si>
    <t>MN|biomass</t>
  </si>
  <si>
    <t>MN|geothermal</t>
  </si>
  <si>
    <t>MN|petroleum</t>
  </si>
  <si>
    <t>MN|natural gas peaker</t>
  </si>
  <si>
    <t>MN|lignite</t>
  </si>
  <si>
    <t>MN|offshore wind</t>
  </si>
  <si>
    <t>MN|crude oil</t>
  </si>
  <si>
    <t>MN|heavy or residual fuel oil</t>
  </si>
  <si>
    <t>MN|municipal solid waste</t>
  </si>
  <si>
    <t>MN|hard coal w CCS</t>
  </si>
  <si>
    <t>MN|natural gas combined cycle w CCS</t>
  </si>
  <si>
    <t>MN|biomass w CCS</t>
  </si>
  <si>
    <t>MN|lignite w CCS</t>
  </si>
  <si>
    <t>MN|small modular reactor</t>
  </si>
  <si>
    <t>MN|hydrogen combustion turbine</t>
  </si>
  <si>
    <t>MN|hydrogen combined cycle</t>
  </si>
  <si>
    <t>MO|hard coal</t>
  </si>
  <si>
    <t>MO|natural gas steam turbine</t>
  </si>
  <si>
    <t>MO|natural gas combined cycle</t>
  </si>
  <si>
    <t>MO|nuclear</t>
  </si>
  <si>
    <t>MO|hydro</t>
  </si>
  <si>
    <t>MO|onshore wind</t>
  </si>
  <si>
    <t>MO|solar PV</t>
  </si>
  <si>
    <t>MO|solar thermal</t>
  </si>
  <si>
    <t>MO|biomass</t>
  </si>
  <si>
    <t>MO|geothermal</t>
  </si>
  <si>
    <t>MO|petroleum</t>
  </si>
  <si>
    <t>MO|natural gas peaker</t>
  </si>
  <si>
    <t>MO|lignite</t>
  </si>
  <si>
    <t>MO|offshore wind</t>
  </si>
  <si>
    <t>MO|crude oil</t>
  </si>
  <si>
    <t>MO|heavy or residual fuel oil</t>
  </si>
  <si>
    <t>MO|municipal solid waste</t>
  </si>
  <si>
    <t>MO|hard coal w CCS</t>
  </si>
  <si>
    <t>MO|natural gas combined cycle w CCS</t>
  </si>
  <si>
    <t>MO|biomass w CCS</t>
  </si>
  <si>
    <t>MO|lignite w CCS</t>
  </si>
  <si>
    <t>MO|small modular reactor</t>
  </si>
  <si>
    <t>MO|hydrogen combustion turbine</t>
  </si>
  <si>
    <t>MO|hydrogen combined cycle</t>
  </si>
  <si>
    <t>MS|hard coal</t>
  </si>
  <si>
    <t>MS|natural gas steam turbine</t>
  </si>
  <si>
    <t>MS|natural gas combined cycle</t>
  </si>
  <si>
    <t>MS|nuclear</t>
  </si>
  <si>
    <t>MS|hydro</t>
  </si>
  <si>
    <t>MS|onshore wind</t>
  </si>
  <si>
    <t>MS|solar PV</t>
  </si>
  <si>
    <t>MS|solar thermal</t>
  </si>
  <si>
    <t>MS|biomass</t>
  </si>
  <si>
    <t>MS|geothermal</t>
  </si>
  <si>
    <t>MS|petroleum</t>
  </si>
  <si>
    <t>MS|natural gas peaker</t>
  </si>
  <si>
    <t>MS|lignite</t>
  </si>
  <si>
    <t>MS|offshore wind</t>
  </si>
  <si>
    <t>MS|crude oil</t>
  </si>
  <si>
    <t>MS|heavy or residual fuel oil</t>
  </si>
  <si>
    <t>MS|municipal solid waste</t>
  </si>
  <si>
    <t>MS|hard coal w CCS</t>
  </si>
  <si>
    <t>MS|natural gas combined cycle w CCS</t>
  </si>
  <si>
    <t>MS|biomass w CCS</t>
  </si>
  <si>
    <t>MS|lignite w CCS</t>
  </si>
  <si>
    <t>MS|small modular reactor</t>
  </si>
  <si>
    <t>MS|hydrogen combustion turbine</t>
  </si>
  <si>
    <t>MS|hydrogen combined cycle</t>
  </si>
  <si>
    <t>MT|hard coal</t>
  </si>
  <si>
    <t>MT|natural gas steam turbine</t>
  </si>
  <si>
    <t>MT|natural gas combined cycle</t>
  </si>
  <si>
    <t>MT|nuclear</t>
  </si>
  <si>
    <t>MT|hydro</t>
  </si>
  <si>
    <t>MT|onshore wind</t>
  </si>
  <si>
    <t>MT|solar PV</t>
  </si>
  <si>
    <t>MT|solar thermal</t>
  </si>
  <si>
    <t>MT|biomass</t>
  </si>
  <si>
    <t>MT|geothermal</t>
  </si>
  <si>
    <t>MT|petroleum</t>
  </si>
  <si>
    <t>MT|natural gas peaker</t>
  </si>
  <si>
    <t>MT|lignite</t>
  </si>
  <si>
    <t>MT|offshore wind</t>
  </si>
  <si>
    <t>MT|crude oil</t>
  </si>
  <si>
    <t>MT|heavy or residual fuel oil</t>
  </si>
  <si>
    <t>MT|municipal solid waste</t>
  </si>
  <si>
    <t>MT|hard coal w CCS</t>
  </si>
  <si>
    <t>MT|natural gas combined cycle w CCS</t>
  </si>
  <si>
    <t>MT|biomass w CCS</t>
  </si>
  <si>
    <t>MT|lignite w CCS</t>
  </si>
  <si>
    <t>MT|small modular reactor</t>
  </si>
  <si>
    <t>MT|hydrogen combustion turbine</t>
  </si>
  <si>
    <t>MT|hydrogen combined cycle</t>
  </si>
  <si>
    <t>NC|hard coal</t>
  </si>
  <si>
    <t>NC|natural gas steam turbine</t>
  </si>
  <si>
    <t>NC|natural gas combined cycle</t>
  </si>
  <si>
    <t>NC|nuclear</t>
  </si>
  <si>
    <t>NC|hydro</t>
  </si>
  <si>
    <t>NC|onshore wind</t>
  </si>
  <si>
    <t>NC|solar PV</t>
  </si>
  <si>
    <t>NC|solar thermal</t>
  </si>
  <si>
    <t>NC|biomass</t>
  </si>
  <si>
    <t>NC|geothermal</t>
  </si>
  <si>
    <t>NC|petroleum</t>
  </si>
  <si>
    <t>NC|natural gas peaker</t>
  </si>
  <si>
    <t>NC|lignite</t>
  </si>
  <si>
    <t>NC|offshore wind</t>
  </si>
  <si>
    <t>NC|crude oil</t>
  </si>
  <si>
    <t>NC|heavy or residual fuel oil</t>
  </si>
  <si>
    <t>NC|municipal solid waste</t>
  </si>
  <si>
    <t>NC|hard coal w CCS</t>
  </si>
  <si>
    <t>NC|natural gas combined cycle w CCS</t>
  </si>
  <si>
    <t>NC|biomass w CCS</t>
  </si>
  <si>
    <t>NC|lignite w CCS</t>
  </si>
  <si>
    <t>NC|small modular reactor</t>
  </si>
  <si>
    <t>NC|hydrogen combustion turbine</t>
  </si>
  <si>
    <t>NC|hydrogen combined cycle</t>
  </si>
  <si>
    <t>ND|hard coal</t>
  </si>
  <si>
    <t>ND|natural gas steam turbine</t>
  </si>
  <si>
    <t>ND|natural gas combined cycle</t>
  </si>
  <si>
    <t>ND|nuclear</t>
  </si>
  <si>
    <t>ND|hydro</t>
  </si>
  <si>
    <t>ND|onshore wind</t>
  </si>
  <si>
    <t>ND|solar PV</t>
  </si>
  <si>
    <t>ND|solar thermal</t>
  </si>
  <si>
    <t>ND|biomass</t>
  </si>
  <si>
    <t>ND|geothermal</t>
  </si>
  <si>
    <t>ND|petroleum</t>
  </si>
  <si>
    <t>ND|natural gas peaker</t>
  </si>
  <si>
    <t>ND|lignite</t>
  </si>
  <si>
    <t>ND|offshore wind</t>
  </si>
  <si>
    <t>ND|crude oil</t>
  </si>
  <si>
    <t>ND|heavy or residual fuel oil</t>
  </si>
  <si>
    <t>ND|municipal solid waste</t>
  </si>
  <si>
    <t>ND|hard coal w CCS</t>
  </si>
  <si>
    <t>ND|natural gas combined cycle w CCS</t>
  </si>
  <si>
    <t>ND|biomass w CCS</t>
  </si>
  <si>
    <t>ND|lignite w CCS</t>
  </si>
  <si>
    <t>ND|small modular reactor</t>
  </si>
  <si>
    <t>ND|hydrogen combustion turbine</t>
  </si>
  <si>
    <t>ND|hydrogen combined cycle</t>
  </si>
  <si>
    <t>NE|hard coal</t>
  </si>
  <si>
    <t>NE|natural gas steam turbine</t>
  </si>
  <si>
    <t>NE|natural gas combined cycle</t>
  </si>
  <si>
    <t>NE|nuclear</t>
  </si>
  <si>
    <t>NE|hydro</t>
  </si>
  <si>
    <t>NE|onshore wind</t>
  </si>
  <si>
    <t>NE|solar PV</t>
  </si>
  <si>
    <t>NE|solar thermal</t>
  </si>
  <si>
    <t>NE|biomass</t>
  </si>
  <si>
    <t>NE|geothermal</t>
  </si>
  <si>
    <t>NE|petroleum</t>
  </si>
  <si>
    <t>NE|natural gas peaker</t>
  </si>
  <si>
    <t>NE|lignite</t>
  </si>
  <si>
    <t>NE|offshore wind</t>
  </si>
  <si>
    <t>NE|crude oil</t>
  </si>
  <si>
    <t>NE|heavy or residual fuel oil</t>
  </si>
  <si>
    <t>NE|municipal solid waste</t>
  </si>
  <si>
    <t>NE|hard coal w CCS</t>
  </si>
  <si>
    <t>NE|natural gas combined cycle w CCS</t>
  </si>
  <si>
    <t>NE|biomass w CCS</t>
  </si>
  <si>
    <t>NE|lignite w CCS</t>
  </si>
  <si>
    <t>NE|small modular reactor</t>
  </si>
  <si>
    <t>NE|hydrogen combustion turbine</t>
  </si>
  <si>
    <t>NE|hydrogen combined cycle</t>
  </si>
  <si>
    <t>NH|hard coal</t>
  </si>
  <si>
    <t>NH|natural gas steam turbine</t>
  </si>
  <si>
    <t>NH|natural gas combined cycle</t>
  </si>
  <si>
    <t>NH|nuclear</t>
  </si>
  <si>
    <t>NH|hydro</t>
  </si>
  <si>
    <t>NH|onshore wind</t>
  </si>
  <si>
    <t>NH|solar PV</t>
  </si>
  <si>
    <t>NH|solar thermal</t>
  </si>
  <si>
    <t>NH|biomass</t>
  </si>
  <si>
    <t>NH|geothermal</t>
  </si>
  <si>
    <t>NH|petroleum</t>
  </si>
  <si>
    <t>NH|natural gas peaker</t>
  </si>
  <si>
    <t>NH|lignite</t>
  </si>
  <si>
    <t>NH|offshore wind</t>
  </si>
  <si>
    <t>NH|crude oil</t>
  </si>
  <si>
    <t>NH|heavy or residual fuel oil</t>
  </si>
  <si>
    <t>NH|municipal solid waste</t>
  </si>
  <si>
    <t>NH|hard coal w CCS</t>
  </si>
  <si>
    <t>NH|natural gas combined cycle w CCS</t>
  </si>
  <si>
    <t>NH|biomass w CCS</t>
  </si>
  <si>
    <t>NH|lignite w CCS</t>
  </si>
  <si>
    <t>NH|small modular reactor</t>
  </si>
  <si>
    <t>NH|hydrogen combustion turbine</t>
  </si>
  <si>
    <t>NH|hydrogen combined cycle</t>
  </si>
  <si>
    <t>NJ|hard coal</t>
  </si>
  <si>
    <t>NJ|natural gas steam turbine</t>
  </si>
  <si>
    <t>NJ|natural gas combined cycle</t>
  </si>
  <si>
    <t>NJ|nuclear</t>
  </si>
  <si>
    <t>NJ|hydro</t>
  </si>
  <si>
    <t>NJ|onshore wind</t>
  </si>
  <si>
    <t>NJ|solar PV</t>
  </si>
  <si>
    <t>NJ|solar thermal</t>
  </si>
  <si>
    <t>NJ|biomass</t>
  </si>
  <si>
    <t>NJ|geothermal</t>
  </si>
  <si>
    <t>NJ|petroleum</t>
  </si>
  <si>
    <t>NJ|natural gas peaker</t>
  </si>
  <si>
    <t>NJ|lignite</t>
  </si>
  <si>
    <t>NJ|offshore wind</t>
  </si>
  <si>
    <t>NJ|crude oil</t>
  </si>
  <si>
    <t>NJ|heavy or residual fuel oil</t>
  </si>
  <si>
    <t>NJ|municipal solid waste</t>
  </si>
  <si>
    <t>NJ|hard coal w CCS</t>
  </si>
  <si>
    <t>NJ|natural gas combined cycle w CCS</t>
  </si>
  <si>
    <t>NJ|biomass w CCS</t>
  </si>
  <si>
    <t>NJ|lignite w CCS</t>
  </si>
  <si>
    <t>NJ|small modular reactor</t>
  </si>
  <si>
    <t>NJ|hydrogen combustion turbine</t>
  </si>
  <si>
    <t>NJ|hydrogen combined cycle</t>
  </si>
  <si>
    <t>NM|hard coal</t>
  </si>
  <si>
    <t>NM|natural gas steam turbine</t>
  </si>
  <si>
    <t>NM|natural gas combined cycle</t>
  </si>
  <si>
    <t>NM|nuclear</t>
  </si>
  <si>
    <t>NM|hydro</t>
  </si>
  <si>
    <t>NM|onshore wind</t>
  </si>
  <si>
    <t>NM|solar PV</t>
  </si>
  <si>
    <t>NM|solar thermal</t>
  </si>
  <si>
    <t>NM|biomass</t>
  </si>
  <si>
    <t>NM|geothermal</t>
  </si>
  <si>
    <t>NM|petroleum</t>
  </si>
  <si>
    <t>NM|natural gas peaker</t>
  </si>
  <si>
    <t>NM|lignite</t>
  </si>
  <si>
    <t>NM|offshore wind</t>
  </si>
  <si>
    <t>NM|crude oil</t>
  </si>
  <si>
    <t>NM|heavy or residual fuel oil</t>
  </si>
  <si>
    <t>NM|municipal solid waste</t>
  </si>
  <si>
    <t>NM|hard coal w CCS</t>
  </si>
  <si>
    <t>NM|natural gas combined cycle w CCS</t>
  </si>
  <si>
    <t>NM|biomass w CCS</t>
  </si>
  <si>
    <t>NM|lignite w CCS</t>
  </si>
  <si>
    <t>NM|small modular reactor</t>
  </si>
  <si>
    <t>NM|hydrogen combustion turbine</t>
  </si>
  <si>
    <t>NM|hydrogen combined cycle</t>
  </si>
  <si>
    <t>NV|hard coal</t>
  </si>
  <si>
    <t>NV|natural gas steam turbine</t>
  </si>
  <si>
    <t>NV|natural gas combined cycle</t>
  </si>
  <si>
    <t>NV|nuclear</t>
  </si>
  <si>
    <t>NV|hydro</t>
  </si>
  <si>
    <t>NV|onshore wind</t>
  </si>
  <si>
    <t>NV|solar PV</t>
  </si>
  <si>
    <t>NV|solar thermal</t>
  </si>
  <si>
    <t>NV|biomass</t>
  </si>
  <si>
    <t>NV|geothermal</t>
  </si>
  <si>
    <t>NV|petroleum</t>
  </si>
  <si>
    <t>NV|natural gas peaker</t>
  </si>
  <si>
    <t>NV|lignite</t>
  </si>
  <si>
    <t>NV|offshore wind</t>
  </si>
  <si>
    <t>NV|crude oil</t>
  </si>
  <si>
    <t>NV|heavy or residual fuel oil</t>
  </si>
  <si>
    <t>NV|municipal solid waste</t>
  </si>
  <si>
    <t>NV|hard coal w CCS</t>
  </si>
  <si>
    <t>NV|natural gas combined cycle w CCS</t>
  </si>
  <si>
    <t>NV|biomass w CCS</t>
  </si>
  <si>
    <t>NV|lignite w CCS</t>
  </si>
  <si>
    <t>NV|small modular reactor</t>
  </si>
  <si>
    <t>NV|hydrogen combustion turbine</t>
  </si>
  <si>
    <t>NV|hydrogen combined cycle</t>
  </si>
  <si>
    <t>NY|hard coal</t>
  </si>
  <si>
    <t>NY|natural gas steam turbine</t>
  </si>
  <si>
    <t>NY|natural gas combined cycle</t>
  </si>
  <si>
    <t>NY|nuclear</t>
  </si>
  <si>
    <t>NY|hydro</t>
  </si>
  <si>
    <t>NY|onshore wind</t>
  </si>
  <si>
    <t>NY|solar PV</t>
  </si>
  <si>
    <t>NY|solar thermal</t>
  </si>
  <si>
    <t>NY|biomass</t>
  </si>
  <si>
    <t>NY|geothermal</t>
  </si>
  <si>
    <t>NY|petroleum</t>
  </si>
  <si>
    <t>NY|natural gas peaker</t>
  </si>
  <si>
    <t>NY|lignite</t>
  </si>
  <si>
    <t>NY|offshore wind</t>
  </si>
  <si>
    <t>NY|crude oil</t>
  </si>
  <si>
    <t>NY|heavy or residual fuel oil</t>
  </si>
  <si>
    <t>NY|municipal solid waste</t>
  </si>
  <si>
    <t>NY|hard coal w CCS</t>
  </si>
  <si>
    <t>NY|natural gas combined cycle w CCS</t>
  </si>
  <si>
    <t>NY|biomass w CCS</t>
  </si>
  <si>
    <t>NY|lignite w CCS</t>
  </si>
  <si>
    <t>NY|small modular reactor</t>
  </si>
  <si>
    <t>NY|hydrogen combustion turbine</t>
  </si>
  <si>
    <t>NY|hydrogen combined cycle</t>
  </si>
  <si>
    <t>OH|hard coal</t>
  </si>
  <si>
    <t>OH|natural gas steam turbine</t>
  </si>
  <si>
    <t>OH|natural gas combined cycle</t>
  </si>
  <si>
    <t>OH|nuclear</t>
  </si>
  <si>
    <t>OH|hydro</t>
  </si>
  <si>
    <t>OH|onshore wind</t>
  </si>
  <si>
    <t>OH|solar PV</t>
  </si>
  <si>
    <t>OH|solar thermal</t>
  </si>
  <si>
    <t>OH|biomass</t>
  </si>
  <si>
    <t>OH|geothermal</t>
  </si>
  <si>
    <t>OH|petroleum</t>
  </si>
  <si>
    <t>OH|natural gas peaker</t>
  </si>
  <si>
    <t>OH|lignite</t>
  </si>
  <si>
    <t>OH|offshore wind</t>
  </si>
  <si>
    <t>OH|crude oil</t>
  </si>
  <si>
    <t>OH|heavy or residual fuel oil</t>
  </si>
  <si>
    <t>OH|municipal solid waste</t>
  </si>
  <si>
    <t>OH|hard coal w CCS</t>
  </si>
  <si>
    <t>OH|natural gas combined cycle w CCS</t>
  </si>
  <si>
    <t>OH|biomass w CCS</t>
  </si>
  <si>
    <t>OH|lignite w CCS</t>
  </si>
  <si>
    <t>OH|small modular reactor</t>
  </si>
  <si>
    <t>OH|hydrogen combustion turbine</t>
  </si>
  <si>
    <t>OH|hydrogen combined cycle</t>
  </si>
  <si>
    <t>OK|hard coal</t>
  </si>
  <si>
    <t>OK|natural gas steam turbine</t>
  </si>
  <si>
    <t>OK|natural gas combined cycle</t>
  </si>
  <si>
    <t>OK|nuclear</t>
  </si>
  <si>
    <t>OK|hydro</t>
  </si>
  <si>
    <t>OK|onshore wind</t>
  </si>
  <si>
    <t>OK|solar PV</t>
  </si>
  <si>
    <t>OK|solar thermal</t>
  </si>
  <si>
    <t>OK|biomass</t>
  </si>
  <si>
    <t>OK|geothermal</t>
  </si>
  <si>
    <t>OK|petroleum</t>
  </si>
  <si>
    <t>OK|natural gas peaker</t>
  </si>
  <si>
    <t>OK|lignite</t>
  </si>
  <si>
    <t>OK|offshore wind</t>
  </si>
  <si>
    <t>OK|crude oil</t>
  </si>
  <si>
    <t>OK|heavy or residual fuel oil</t>
  </si>
  <si>
    <t>OK|municipal solid waste</t>
  </si>
  <si>
    <t>OK|hard coal w CCS</t>
  </si>
  <si>
    <t>OK|natural gas combined cycle w CCS</t>
  </si>
  <si>
    <t>OK|biomass w CCS</t>
  </si>
  <si>
    <t>OK|lignite w CCS</t>
  </si>
  <si>
    <t>OK|small modular reactor</t>
  </si>
  <si>
    <t>OK|hydrogen combustion turbine</t>
  </si>
  <si>
    <t>OK|hydrogen combined cycle</t>
  </si>
  <si>
    <t>OR|hard coal</t>
  </si>
  <si>
    <t>OR|natural gas steam turbine</t>
  </si>
  <si>
    <t>OR|natural gas combined cycle</t>
  </si>
  <si>
    <t>OR|nuclear</t>
  </si>
  <si>
    <t>OR|hydro</t>
  </si>
  <si>
    <t>OR|onshore wind</t>
  </si>
  <si>
    <t>OR|solar PV</t>
  </si>
  <si>
    <t>OR|solar thermal</t>
  </si>
  <si>
    <t>OR|biomass</t>
  </si>
  <si>
    <t>OR|geothermal</t>
  </si>
  <si>
    <t>OR|petroleum</t>
  </si>
  <si>
    <t>OR|natural gas peaker</t>
  </si>
  <si>
    <t>OR|lignite</t>
  </si>
  <si>
    <t>OR|offshore wind</t>
  </si>
  <si>
    <t>OR|crude oil</t>
  </si>
  <si>
    <t>OR|heavy or residual fuel oil</t>
  </si>
  <si>
    <t>OR|municipal solid waste</t>
  </si>
  <si>
    <t>OR|hard coal w CCS</t>
  </si>
  <si>
    <t>OR|natural gas combined cycle w CCS</t>
  </si>
  <si>
    <t>OR|biomass w CCS</t>
  </si>
  <si>
    <t>OR|lignite w CCS</t>
  </si>
  <si>
    <t>OR|small modular reactor</t>
  </si>
  <si>
    <t>OR|hydrogen combustion turbine</t>
  </si>
  <si>
    <t>OR|hydrogen combined cycle</t>
  </si>
  <si>
    <t>PA|hard coal</t>
  </si>
  <si>
    <t>PA|natural gas steam turbine</t>
  </si>
  <si>
    <t>PA|natural gas combined cycle</t>
  </si>
  <si>
    <t>PA|nuclear</t>
  </si>
  <si>
    <t>PA|hydro</t>
  </si>
  <si>
    <t>PA|onshore wind</t>
  </si>
  <si>
    <t>PA|solar PV</t>
  </si>
  <si>
    <t>PA|solar thermal</t>
  </si>
  <si>
    <t>PA|biomass</t>
  </si>
  <si>
    <t>PA|geothermal</t>
  </si>
  <si>
    <t>PA|petroleum</t>
  </si>
  <si>
    <t>PA|natural gas peaker</t>
  </si>
  <si>
    <t>PA|lignite</t>
  </si>
  <si>
    <t>PA|offshore wind</t>
  </si>
  <si>
    <t>PA|crude oil</t>
  </si>
  <si>
    <t>PA|heavy or residual fuel oil</t>
  </si>
  <si>
    <t>PA|municipal solid waste</t>
  </si>
  <si>
    <t>PA|hard coal w CCS</t>
  </si>
  <si>
    <t>PA|natural gas combined cycle w CCS</t>
  </si>
  <si>
    <t>PA|biomass w CCS</t>
  </si>
  <si>
    <t>PA|lignite w CCS</t>
  </si>
  <si>
    <t>PA|small modular reactor</t>
  </si>
  <si>
    <t>PA|hydrogen combustion turbine</t>
  </si>
  <si>
    <t>PA|hydrogen combined cycle</t>
  </si>
  <si>
    <t>RI|hard coal</t>
  </si>
  <si>
    <t>RI|natural gas steam turbine</t>
  </si>
  <si>
    <t>RI|natural gas combined cycle</t>
  </si>
  <si>
    <t>RI|nuclear</t>
  </si>
  <si>
    <t>RI|hydro</t>
  </si>
  <si>
    <t>RI|onshore wind</t>
  </si>
  <si>
    <t>RI|solar PV</t>
  </si>
  <si>
    <t>RI|solar thermal</t>
  </si>
  <si>
    <t>RI|biomass</t>
  </si>
  <si>
    <t>RI|geothermal</t>
  </si>
  <si>
    <t>RI|petroleum</t>
  </si>
  <si>
    <t>RI|natural gas peaker</t>
  </si>
  <si>
    <t>RI|lignite</t>
  </si>
  <si>
    <t>RI|offshore wind</t>
  </si>
  <si>
    <t>RI|crude oil</t>
  </si>
  <si>
    <t>RI|heavy or residual fuel oil</t>
  </si>
  <si>
    <t>RI|municipal solid waste</t>
  </si>
  <si>
    <t>RI|hard coal w CCS</t>
  </si>
  <si>
    <t>RI|natural gas combined cycle w CCS</t>
  </si>
  <si>
    <t>RI|biomass w CCS</t>
  </si>
  <si>
    <t>RI|lignite w CCS</t>
  </si>
  <si>
    <t>RI|small modular reactor</t>
  </si>
  <si>
    <t>RI|hydrogen combustion turbine</t>
  </si>
  <si>
    <t>RI|hydrogen combined cycle</t>
  </si>
  <si>
    <t>SC|hard coal</t>
  </si>
  <si>
    <t>SC|natural gas steam turbine</t>
  </si>
  <si>
    <t>SC|natural gas combined cycle</t>
  </si>
  <si>
    <t>SC|nuclear</t>
  </si>
  <si>
    <t>SC|hydro</t>
  </si>
  <si>
    <t>SC|onshore wind</t>
  </si>
  <si>
    <t>SC|solar PV</t>
  </si>
  <si>
    <t>SC|solar thermal</t>
  </si>
  <si>
    <t>SC|biomass</t>
  </si>
  <si>
    <t>SC|geothermal</t>
  </si>
  <si>
    <t>SC|petroleum</t>
  </si>
  <si>
    <t>SC|natural gas peaker</t>
  </si>
  <si>
    <t>SC|lignite</t>
  </si>
  <si>
    <t>SC|offshore wind</t>
  </si>
  <si>
    <t>SC|crude oil</t>
  </si>
  <si>
    <t>SC|heavy or residual fuel oil</t>
  </si>
  <si>
    <t>SC|municipal solid waste</t>
  </si>
  <si>
    <t>SC|hard coal w CCS</t>
  </si>
  <si>
    <t>SC|natural gas combined cycle w CCS</t>
  </si>
  <si>
    <t>SC|biomass w CCS</t>
  </si>
  <si>
    <t>SC|lignite w CCS</t>
  </si>
  <si>
    <t>SC|small modular reactor</t>
  </si>
  <si>
    <t>SC|hydrogen combustion turbine</t>
  </si>
  <si>
    <t>SC|hydrogen combined cycle</t>
  </si>
  <si>
    <t>SD|hard coal</t>
  </si>
  <si>
    <t>SD|natural gas steam turbine</t>
  </si>
  <si>
    <t>SD|natural gas combined cycle</t>
  </si>
  <si>
    <t>SD|nuclear</t>
  </si>
  <si>
    <t>SD|hydro</t>
  </si>
  <si>
    <t>SD|onshore wind</t>
  </si>
  <si>
    <t>SD|solar PV</t>
  </si>
  <si>
    <t>SD|solar thermal</t>
  </si>
  <si>
    <t>SD|biomass</t>
  </si>
  <si>
    <t>SD|geothermal</t>
  </si>
  <si>
    <t>SD|petroleum</t>
  </si>
  <si>
    <t>SD|natural gas peaker</t>
  </si>
  <si>
    <t>SD|lignite</t>
  </si>
  <si>
    <t>SD|offshore wind</t>
  </si>
  <si>
    <t>SD|crude oil</t>
  </si>
  <si>
    <t>SD|heavy or residual fuel oil</t>
  </si>
  <si>
    <t>SD|municipal solid waste</t>
  </si>
  <si>
    <t>SD|hard coal w CCS</t>
  </si>
  <si>
    <t>SD|natural gas combined cycle w CCS</t>
  </si>
  <si>
    <t>SD|biomass w CCS</t>
  </si>
  <si>
    <t>SD|lignite w CCS</t>
  </si>
  <si>
    <t>SD|small modular reactor</t>
  </si>
  <si>
    <t>SD|hydrogen combustion turbine</t>
  </si>
  <si>
    <t>SD|hydrogen combined cycle</t>
  </si>
  <si>
    <t>TN|hard coal</t>
  </si>
  <si>
    <t>TN|natural gas steam turbine</t>
  </si>
  <si>
    <t>TN|natural gas combined cycle</t>
  </si>
  <si>
    <t>TN|nuclear</t>
  </si>
  <si>
    <t>TN|hydro</t>
  </si>
  <si>
    <t>TN|onshore wind</t>
  </si>
  <si>
    <t>TN|solar PV</t>
  </si>
  <si>
    <t>TN|solar thermal</t>
  </si>
  <si>
    <t>TN|biomass</t>
  </si>
  <si>
    <t>TN|geothermal</t>
  </si>
  <si>
    <t>TN|petroleum</t>
  </si>
  <si>
    <t>TN|natural gas peaker</t>
  </si>
  <si>
    <t>TN|lignite</t>
  </si>
  <si>
    <t>TN|offshore wind</t>
  </si>
  <si>
    <t>TN|crude oil</t>
  </si>
  <si>
    <t>TN|heavy or residual fuel oil</t>
  </si>
  <si>
    <t>TN|municipal solid waste</t>
  </si>
  <si>
    <t>TN|hard coal w CCS</t>
  </si>
  <si>
    <t>TN|natural gas combined cycle w CCS</t>
  </si>
  <si>
    <t>TN|biomass w CCS</t>
  </si>
  <si>
    <t>TN|lignite w CCS</t>
  </si>
  <si>
    <t>TN|small modular reactor</t>
  </si>
  <si>
    <t>TN|hydrogen combustion turbine</t>
  </si>
  <si>
    <t>TN|hydrogen combined cycle</t>
  </si>
  <si>
    <t>TX|hard coal</t>
  </si>
  <si>
    <t>TX|natural gas steam turbine</t>
  </si>
  <si>
    <t>TX|natural gas combined cycle</t>
  </si>
  <si>
    <t>TX|nuclear</t>
  </si>
  <si>
    <t>TX|hydro</t>
  </si>
  <si>
    <t>TX|onshore wind</t>
  </si>
  <si>
    <t>TX|solar PV</t>
  </si>
  <si>
    <t>TX|solar thermal</t>
  </si>
  <si>
    <t>TX|biomass</t>
  </si>
  <si>
    <t>TX|geothermal</t>
  </si>
  <si>
    <t>TX|petroleum</t>
  </si>
  <si>
    <t>TX|natural gas peaker</t>
  </si>
  <si>
    <t>TX|lignite</t>
  </si>
  <si>
    <t>TX|offshore wind</t>
  </si>
  <si>
    <t>TX|crude oil</t>
  </si>
  <si>
    <t>TX|heavy or residual fuel oil</t>
  </si>
  <si>
    <t>TX|municipal solid waste</t>
  </si>
  <si>
    <t>TX|hard coal w CCS</t>
  </si>
  <si>
    <t>TX|natural gas combined cycle w CCS</t>
  </si>
  <si>
    <t>TX|biomass w CCS</t>
  </si>
  <si>
    <t>TX|lignite w CCS</t>
  </si>
  <si>
    <t>TX|small modular reactor</t>
  </si>
  <si>
    <t>TX|hydrogen combustion turbine</t>
  </si>
  <si>
    <t>TX|hydrogen combined cycle</t>
  </si>
  <si>
    <t>UT|hard coal</t>
  </si>
  <si>
    <t>UT|natural gas steam turbine</t>
  </si>
  <si>
    <t>UT|natural gas combined cycle</t>
  </si>
  <si>
    <t>UT|nuclear</t>
  </si>
  <si>
    <t>UT|hydro</t>
  </si>
  <si>
    <t>UT|onshore wind</t>
  </si>
  <si>
    <t>UT|solar PV</t>
  </si>
  <si>
    <t>UT|solar thermal</t>
  </si>
  <si>
    <t>UT|biomass</t>
  </si>
  <si>
    <t>UT|geothermal</t>
  </si>
  <si>
    <t>UT|petroleum</t>
  </si>
  <si>
    <t>UT|natural gas peaker</t>
  </si>
  <si>
    <t>UT|lignite</t>
  </si>
  <si>
    <t>UT|offshore wind</t>
  </si>
  <si>
    <t>UT|crude oil</t>
  </si>
  <si>
    <t>UT|heavy or residual fuel oil</t>
  </si>
  <si>
    <t>UT|municipal solid waste</t>
  </si>
  <si>
    <t>UT|hard coal w CCS</t>
  </si>
  <si>
    <t>UT|natural gas combined cycle w CCS</t>
  </si>
  <si>
    <t>UT|biomass w CCS</t>
  </si>
  <si>
    <t>UT|lignite w CCS</t>
  </si>
  <si>
    <t>UT|small modular reactor</t>
  </si>
  <si>
    <t>UT|hydrogen combustion turbine</t>
  </si>
  <si>
    <t>UT|hydrogen combined cycle</t>
  </si>
  <si>
    <t>VA|hard coal</t>
  </si>
  <si>
    <t>VA|natural gas steam turbine</t>
  </si>
  <si>
    <t>VA|natural gas combined cycle</t>
  </si>
  <si>
    <t>VA|nuclear</t>
  </si>
  <si>
    <t>VA|hydro</t>
  </si>
  <si>
    <t>VA|onshore wind</t>
  </si>
  <si>
    <t>VA|solar PV</t>
  </si>
  <si>
    <t>VA|solar thermal</t>
  </si>
  <si>
    <t>VA|biomass</t>
  </si>
  <si>
    <t>VA|geothermal</t>
  </si>
  <si>
    <t>VA|petroleum</t>
  </si>
  <si>
    <t>VA|natural gas peaker</t>
  </si>
  <si>
    <t>VA|lignite</t>
  </si>
  <si>
    <t>VA|offshore wind</t>
  </si>
  <si>
    <t>VA|crude oil</t>
  </si>
  <si>
    <t>VA|heavy or residual fuel oil</t>
  </si>
  <si>
    <t>VA|municipal solid waste</t>
  </si>
  <si>
    <t>VA|hard coal w CCS</t>
  </si>
  <si>
    <t>VA|natural gas combined cycle w CCS</t>
  </si>
  <si>
    <t>VA|biomass w CCS</t>
  </si>
  <si>
    <t>VA|lignite w CCS</t>
  </si>
  <si>
    <t>VA|small modular reactor</t>
  </si>
  <si>
    <t>VA|hydrogen combustion turbine</t>
  </si>
  <si>
    <t>VA|hydrogen combined cycle</t>
  </si>
  <si>
    <t>VT|hard coal</t>
  </si>
  <si>
    <t>VT|natural gas steam turbine</t>
  </si>
  <si>
    <t>VT|natural gas combined cycle</t>
  </si>
  <si>
    <t>VT|nuclear</t>
  </si>
  <si>
    <t>VT|hydro</t>
  </si>
  <si>
    <t>VT|onshore wind</t>
  </si>
  <si>
    <t>VT|solar PV</t>
  </si>
  <si>
    <t>VT|solar thermal</t>
  </si>
  <si>
    <t>VT|biomass</t>
  </si>
  <si>
    <t>VT|geothermal</t>
  </si>
  <si>
    <t>VT|petroleum</t>
  </si>
  <si>
    <t>VT|natural gas peaker</t>
  </si>
  <si>
    <t>VT|lignite</t>
  </si>
  <si>
    <t>VT|offshore wind</t>
  </si>
  <si>
    <t>VT|crude oil</t>
  </si>
  <si>
    <t>VT|heavy or residual fuel oil</t>
  </si>
  <si>
    <t>VT|municipal solid waste</t>
  </si>
  <si>
    <t>VT|hard coal w CCS</t>
  </si>
  <si>
    <t>VT|natural gas combined cycle w CCS</t>
  </si>
  <si>
    <t>VT|biomass w CCS</t>
  </si>
  <si>
    <t>VT|lignite w CCS</t>
  </si>
  <si>
    <t>VT|small modular reactor</t>
  </si>
  <si>
    <t>VT|hydrogen combustion turbine</t>
  </si>
  <si>
    <t>VT|hydrogen combined cycle</t>
  </si>
  <si>
    <t>WA|hard coal</t>
  </si>
  <si>
    <t>WA|natural gas steam turbine</t>
  </si>
  <si>
    <t>WA|natural gas combined cycle</t>
  </si>
  <si>
    <t>WA|nuclear</t>
  </si>
  <si>
    <t>WA|hydro</t>
  </si>
  <si>
    <t>WA|onshore wind</t>
  </si>
  <si>
    <t>WA|solar PV</t>
  </si>
  <si>
    <t>WA|solar thermal</t>
  </si>
  <si>
    <t>WA|biomass</t>
  </si>
  <si>
    <t>WA|geothermal</t>
  </si>
  <si>
    <t>WA|petroleum</t>
  </si>
  <si>
    <t>WA|natural gas peaker</t>
  </si>
  <si>
    <t>WA|lignite</t>
  </si>
  <si>
    <t>WA|offshore wind</t>
  </si>
  <si>
    <t>WA|crude oil</t>
  </si>
  <si>
    <t>WA|heavy or residual fuel oil</t>
  </si>
  <si>
    <t>WA|municipal solid waste</t>
  </si>
  <si>
    <t>WA|hard coal w CCS</t>
  </si>
  <si>
    <t>WA|natural gas combined cycle w CCS</t>
  </si>
  <si>
    <t>WA|biomass w CCS</t>
  </si>
  <si>
    <t>WA|lignite w CCS</t>
  </si>
  <si>
    <t>WA|small modular reactor</t>
  </si>
  <si>
    <t>WA|hydrogen combustion turbine</t>
  </si>
  <si>
    <t>WA|hydrogen combined cycle</t>
  </si>
  <si>
    <t>WI|hard coal</t>
  </si>
  <si>
    <t>WI|natural gas steam turbine</t>
  </si>
  <si>
    <t>WI|natural gas combined cycle</t>
  </si>
  <si>
    <t>WI|nuclear</t>
  </si>
  <si>
    <t>WI|hydro</t>
  </si>
  <si>
    <t>WI|onshore wind</t>
  </si>
  <si>
    <t>WI|solar PV</t>
  </si>
  <si>
    <t>WI|solar thermal</t>
  </si>
  <si>
    <t>WI|biomass</t>
  </si>
  <si>
    <t>WI|geothermal</t>
  </si>
  <si>
    <t>WI|petroleum</t>
  </si>
  <si>
    <t>WI|natural gas peaker</t>
  </si>
  <si>
    <t>WI|lignite</t>
  </si>
  <si>
    <t>WI|offshore wind</t>
  </si>
  <si>
    <t>WI|crude oil</t>
  </si>
  <si>
    <t>WI|heavy or residual fuel oil</t>
  </si>
  <si>
    <t>WI|municipal solid waste</t>
  </si>
  <si>
    <t>WI|hard coal w CCS</t>
  </si>
  <si>
    <t>WI|natural gas combined cycle w CCS</t>
  </si>
  <si>
    <t>WI|biomass w CCS</t>
  </si>
  <si>
    <t>WI|lignite w CCS</t>
  </si>
  <si>
    <t>WI|small modular reactor</t>
  </si>
  <si>
    <t>WI|hydrogen combustion turbine</t>
  </si>
  <si>
    <t>WI|hydrogen combined cycle</t>
  </si>
  <si>
    <t>WV|hard coal</t>
  </si>
  <si>
    <t>WV|natural gas steam turbine</t>
  </si>
  <si>
    <t>WV|natural gas combined cycle</t>
  </si>
  <si>
    <t>WV|nuclear</t>
  </si>
  <si>
    <t>WV|hydro</t>
  </si>
  <si>
    <t>WV|onshore wind</t>
  </si>
  <si>
    <t>WV|solar PV</t>
  </si>
  <si>
    <t>WV|solar thermal</t>
  </si>
  <si>
    <t>WV|biomass</t>
  </si>
  <si>
    <t>WV|geothermal</t>
  </si>
  <si>
    <t>WV|petroleum</t>
  </si>
  <si>
    <t>WV|natural gas peaker</t>
  </si>
  <si>
    <t>WV|lignite</t>
  </si>
  <si>
    <t>WV|offshore wind</t>
  </si>
  <si>
    <t>WV|crude oil</t>
  </si>
  <si>
    <t>WV|heavy or residual fuel oil</t>
  </si>
  <si>
    <t>WV|municipal solid waste</t>
  </si>
  <si>
    <t>WV|hard coal w CCS</t>
  </si>
  <si>
    <t>WV|natural gas combined cycle w CCS</t>
  </si>
  <si>
    <t>WV|biomass w CCS</t>
  </si>
  <si>
    <t>WV|lignite w CCS</t>
  </si>
  <si>
    <t>WV|small modular reactor</t>
  </si>
  <si>
    <t>WV|hydrogen combustion turbine</t>
  </si>
  <si>
    <t>WV|hydrogen combined cycle</t>
  </si>
  <si>
    <t>WY|hard coal</t>
  </si>
  <si>
    <t>WY|natural gas steam turbine</t>
  </si>
  <si>
    <t>WY|natural gas combined cycle</t>
  </si>
  <si>
    <t>WY|nuclear</t>
  </si>
  <si>
    <t>WY|hydro</t>
  </si>
  <si>
    <t>WY|onshore wind</t>
  </si>
  <si>
    <t>WY|solar PV</t>
  </si>
  <si>
    <t>WY|solar thermal</t>
  </si>
  <si>
    <t>WY|biomass</t>
  </si>
  <si>
    <t>WY|geothermal</t>
  </si>
  <si>
    <t>WY|petroleum</t>
  </si>
  <si>
    <t>WY|natural gas peaker</t>
  </si>
  <si>
    <t>WY|lignite</t>
  </si>
  <si>
    <t>WY|offshore wind</t>
  </si>
  <si>
    <t>WY|crude oil</t>
  </si>
  <si>
    <t>WY|heavy or residual fuel oil</t>
  </si>
  <si>
    <t>WY|municipal solid waste</t>
  </si>
  <si>
    <t>WY|hard coal w CCS</t>
  </si>
  <si>
    <t>WY|natural gas combined cycle w CCS</t>
  </si>
  <si>
    <t>WY|biomass w CCS</t>
  </si>
  <si>
    <t>WY|lignite w CCS</t>
  </si>
  <si>
    <t>WY|small modular reactor</t>
  </si>
  <si>
    <t>WY|hydrogen combustion turbine</t>
  </si>
  <si>
    <t>WY|hydrogen combined cycle</t>
  </si>
  <si>
    <t>g_coal</t>
  </si>
  <si>
    <t>g_gas</t>
  </si>
  <si>
    <t>runs</t>
  </si>
  <si>
    <t>coal_err_vs_target</t>
  </si>
  <si>
    <t>gas_err_vs_target</t>
  </si>
  <si>
    <t>note</t>
  </si>
  <si>
    <t>tuned</t>
  </si>
  <si>
    <t>no coal fleet</t>
  </si>
  <si>
    <t>coal already &gt;= target at deployed g=0.00; unchanged</t>
  </si>
  <si>
    <t>floor zeroed: EPS carries no DE coal capacity in 2025 (BCRbQ retirement timing; 923ER shows 0.25 TWh actual) -- see capacity review group 1, not a dispatch issue</t>
  </si>
  <si>
    <t>tuned (manual refinement run)</t>
  </si>
  <si>
    <t>no coal/gas fleet</t>
  </si>
  <si>
    <t>tuned (hydro guarantee removed)</t>
  </si>
  <si>
    <t>BAU Guaranteed Dispatch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</si>
</sst>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workbookViewId="0">
      <selection activeCell="B2" sqref="B2"/>
    </sheetView>
  </sheetViews>
  <sheetFormatPr defaultRowHeight="14.25" x14ac:dyDescent="0.45"/>
  <cols>
    <col min="1" max="1" width="18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78</v>
      </c>
      <c r="C1" s="6">
        <v>46226</v>
      </c>
      <c r="K1" t="s">
        <v>2</v>
      </c>
      <c r="L1" t="s">
        <v>3</v>
      </c>
    </row>
    <row r="2" spans="1:12" x14ac:dyDescent="0.45">
      <c r="A2" s="3" t="s">
        <v>4</v>
      </c>
      <c r="B2" s="4" t="str">
        <f>INDEX(L1:L48,MATCH(B1,K1:K48,0))</f>
        <v>ND</v>
      </c>
      <c r="K2" t="s">
        <v>5</v>
      </c>
      <c r="L2" t="s">
        <v>6</v>
      </c>
    </row>
    <row r="3" spans="1:12" x14ac:dyDescent="0.45">
      <c r="K3" t="s">
        <v>7</v>
      </c>
      <c r="L3" t="s">
        <v>8</v>
      </c>
    </row>
    <row r="4" spans="1:12" ht="98" customHeight="1" x14ac:dyDescent="0.45">
      <c r="A4" s="4" t="s">
        <v>9</v>
      </c>
      <c r="B4" s="5" t="s">
        <v>10</v>
      </c>
      <c r="K4" t="s">
        <v>11</v>
      </c>
      <c r="L4" t="s">
        <v>12</v>
      </c>
    </row>
    <row r="5" spans="1:12" ht="70.05" customHeight="1" x14ac:dyDescent="0.45">
      <c r="A5" s="4" t="s">
        <v>13</v>
      </c>
      <c r="B5" s="5" t="s">
        <v>14</v>
      </c>
      <c r="K5" t="s">
        <v>15</v>
      </c>
      <c r="L5" t="s">
        <v>16</v>
      </c>
    </row>
    <row r="6" spans="1:12" ht="126" customHeight="1" x14ac:dyDescent="0.45">
      <c r="A6" s="4" t="s">
        <v>17</v>
      </c>
      <c r="B6" s="5" t="s">
        <v>18</v>
      </c>
      <c r="K6" t="s">
        <v>19</v>
      </c>
      <c r="L6" t="s">
        <v>20</v>
      </c>
    </row>
    <row r="7" spans="1:12" ht="56" customHeight="1" x14ac:dyDescent="0.45">
      <c r="A7" s="4" t="s">
        <v>21</v>
      </c>
      <c r="B7" s="5" t="s">
        <v>22</v>
      </c>
      <c r="K7" t="s">
        <v>23</v>
      </c>
      <c r="L7" t="s">
        <v>24</v>
      </c>
    </row>
    <row r="8" spans="1:12" ht="84" customHeight="1" x14ac:dyDescent="0.45">
      <c r="A8" s="4" t="s">
        <v>25</v>
      </c>
      <c r="B8" s="5" t="s">
        <v>26</v>
      </c>
      <c r="K8" t="s">
        <v>27</v>
      </c>
      <c r="L8" t="s">
        <v>28</v>
      </c>
    </row>
    <row r="9" spans="1:12" ht="70.05" customHeight="1" x14ac:dyDescent="0.45">
      <c r="A9" s="4" t="s">
        <v>29</v>
      </c>
      <c r="B9" s="5" t="s">
        <v>30</v>
      </c>
      <c r="K9" t="s">
        <v>31</v>
      </c>
      <c r="L9" t="s">
        <v>32</v>
      </c>
    </row>
    <row r="10" spans="1:12" ht="15" customHeight="1" x14ac:dyDescent="0.45">
      <c r="A10" s="4" t="s">
        <v>33</v>
      </c>
      <c r="B10" s="5" t="s">
        <v>34</v>
      </c>
      <c r="K10" t="s">
        <v>35</v>
      </c>
      <c r="L10" t="s">
        <v>36</v>
      </c>
    </row>
    <row r="11" spans="1:12" x14ac:dyDescent="0.45">
      <c r="K11" t="s">
        <v>37</v>
      </c>
      <c r="L11" t="s">
        <v>38</v>
      </c>
    </row>
    <row r="12" spans="1:12" x14ac:dyDescent="0.45">
      <c r="K12" t="s">
        <v>39</v>
      </c>
      <c r="L12" t="s">
        <v>40</v>
      </c>
    </row>
    <row r="13" spans="1:12" x14ac:dyDescent="0.45">
      <c r="K13" t="s">
        <v>41</v>
      </c>
      <c r="L13" t="s">
        <v>42</v>
      </c>
    </row>
    <row r="14" spans="1:12" x14ac:dyDescent="0.45">
      <c r="K14" t="s">
        <v>43</v>
      </c>
      <c r="L14" t="s">
        <v>44</v>
      </c>
    </row>
    <row r="15" spans="1:12" x14ac:dyDescent="0.45">
      <c r="K15" t="s">
        <v>45</v>
      </c>
      <c r="L15" t="s">
        <v>46</v>
      </c>
    </row>
    <row r="16" spans="1:12" x14ac:dyDescent="0.45">
      <c r="K16" t="s">
        <v>47</v>
      </c>
      <c r="L16" t="s">
        <v>48</v>
      </c>
    </row>
    <row r="17" spans="11:12" x14ac:dyDescent="0.45">
      <c r="K17" t="s">
        <v>49</v>
      </c>
      <c r="L17" t="s">
        <v>50</v>
      </c>
    </row>
    <row r="18" spans="11:12" x14ac:dyDescent="0.45">
      <c r="K18" t="s">
        <v>51</v>
      </c>
      <c r="L18" t="s">
        <v>52</v>
      </c>
    </row>
    <row r="19" spans="11:12" x14ac:dyDescent="0.45">
      <c r="K19" t="s">
        <v>53</v>
      </c>
      <c r="L19" t="s">
        <v>54</v>
      </c>
    </row>
    <row r="20" spans="11:12" x14ac:dyDescent="0.45">
      <c r="K20" t="s">
        <v>55</v>
      </c>
      <c r="L20" t="s">
        <v>56</v>
      </c>
    </row>
    <row r="21" spans="11:12" x14ac:dyDescent="0.45">
      <c r="K21" t="s">
        <v>57</v>
      </c>
      <c r="L21" t="s">
        <v>58</v>
      </c>
    </row>
    <row r="22" spans="11:12" x14ac:dyDescent="0.45">
      <c r="K22" t="s">
        <v>59</v>
      </c>
      <c r="L22" t="s">
        <v>60</v>
      </c>
    </row>
    <row r="23" spans="11:12" x14ac:dyDescent="0.45">
      <c r="K23" t="s">
        <v>61</v>
      </c>
      <c r="L23" t="s">
        <v>62</v>
      </c>
    </row>
    <row r="24" spans="11:12" x14ac:dyDescent="0.45">
      <c r="K24" t="s">
        <v>63</v>
      </c>
      <c r="L24" t="s">
        <v>64</v>
      </c>
    </row>
    <row r="25" spans="11:12" x14ac:dyDescent="0.45">
      <c r="K25" t="s">
        <v>65</v>
      </c>
      <c r="L25" t="s">
        <v>66</v>
      </c>
    </row>
    <row r="26" spans="11:12" x14ac:dyDescent="0.45">
      <c r="K26" t="s">
        <v>67</v>
      </c>
      <c r="L26" t="s">
        <v>68</v>
      </c>
    </row>
    <row r="27" spans="11:12" x14ac:dyDescent="0.45">
      <c r="K27" t="s">
        <v>69</v>
      </c>
      <c r="L27" t="s">
        <v>70</v>
      </c>
    </row>
    <row r="28" spans="11:12" x14ac:dyDescent="0.45">
      <c r="K28" t="s">
        <v>71</v>
      </c>
      <c r="L28" t="s">
        <v>72</v>
      </c>
    </row>
    <row r="29" spans="11:12" x14ac:dyDescent="0.45">
      <c r="K29" t="s">
        <v>73</v>
      </c>
      <c r="L29" t="s">
        <v>74</v>
      </c>
    </row>
    <row r="30" spans="11:12" x14ac:dyDescent="0.45">
      <c r="K30" t="s">
        <v>1</v>
      </c>
      <c r="L30" t="s">
        <v>75</v>
      </c>
    </row>
    <row r="31" spans="11:12" x14ac:dyDescent="0.45">
      <c r="K31" t="s">
        <v>76</v>
      </c>
      <c r="L31" t="s">
        <v>77</v>
      </c>
    </row>
    <row r="32" spans="11:12" x14ac:dyDescent="0.45">
      <c r="K32" t="s">
        <v>78</v>
      </c>
      <c r="L32" t="s">
        <v>79</v>
      </c>
    </row>
    <row r="33" spans="11:12" x14ac:dyDescent="0.45">
      <c r="K33" t="s">
        <v>80</v>
      </c>
      <c r="L33" t="s">
        <v>81</v>
      </c>
    </row>
    <row r="34" spans="11:12" x14ac:dyDescent="0.45">
      <c r="K34" t="s">
        <v>82</v>
      </c>
      <c r="L34" t="s">
        <v>83</v>
      </c>
    </row>
    <row r="35" spans="11:12" x14ac:dyDescent="0.45">
      <c r="K35" t="s">
        <v>84</v>
      </c>
      <c r="L35" t="s">
        <v>85</v>
      </c>
    </row>
    <row r="36" spans="11:12" x14ac:dyDescent="0.45">
      <c r="K36" t="s">
        <v>86</v>
      </c>
      <c r="L36" t="s">
        <v>87</v>
      </c>
    </row>
    <row r="37" spans="11:12" x14ac:dyDescent="0.45">
      <c r="K37" t="s">
        <v>88</v>
      </c>
      <c r="L37" t="s">
        <v>89</v>
      </c>
    </row>
    <row r="38" spans="11:12" x14ac:dyDescent="0.45">
      <c r="K38" t="s">
        <v>90</v>
      </c>
      <c r="L38" t="s">
        <v>91</v>
      </c>
    </row>
    <row r="39" spans="11:12" x14ac:dyDescent="0.45">
      <c r="K39" t="s">
        <v>92</v>
      </c>
      <c r="L39" t="s">
        <v>93</v>
      </c>
    </row>
    <row r="40" spans="11:12" x14ac:dyDescent="0.45">
      <c r="K40" t="s">
        <v>94</v>
      </c>
      <c r="L40" t="s">
        <v>95</v>
      </c>
    </row>
    <row r="41" spans="11:12" x14ac:dyDescent="0.45">
      <c r="K41" t="s">
        <v>96</v>
      </c>
      <c r="L41" t="s">
        <v>97</v>
      </c>
    </row>
    <row r="42" spans="11:12" x14ac:dyDescent="0.45">
      <c r="K42" t="s">
        <v>98</v>
      </c>
      <c r="L42" t="s">
        <v>99</v>
      </c>
    </row>
    <row r="43" spans="11:12" x14ac:dyDescent="0.45">
      <c r="K43" t="s">
        <v>100</v>
      </c>
      <c r="L43" t="s">
        <v>101</v>
      </c>
    </row>
    <row r="44" spans="11:12" x14ac:dyDescent="0.45">
      <c r="K44" t="s">
        <v>102</v>
      </c>
      <c r="L44" t="s">
        <v>103</v>
      </c>
    </row>
    <row r="45" spans="11:12" x14ac:dyDescent="0.45">
      <c r="K45" t="s">
        <v>104</v>
      </c>
      <c r="L45" t="s">
        <v>105</v>
      </c>
    </row>
    <row r="46" spans="11:12" x14ac:dyDescent="0.45">
      <c r="K46" t="s">
        <v>106</v>
      </c>
      <c r="L46" t="s">
        <v>107</v>
      </c>
    </row>
    <row r="47" spans="11:12" x14ac:dyDescent="0.45">
      <c r="K47" t="s">
        <v>108</v>
      </c>
      <c r="L47" t="s">
        <v>109</v>
      </c>
    </row>
    <row r="48" spans="11:12" x14ac:dyDescent="0.45">
      <c r="K48" t="s">
        <v>110</v>
      </c>
      <c r="L48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A5" sqref="A5"/>
    </sheetView>
  </sheetViews>
  <sheetFormatPr defaultRowHeight="14.25" x14ac:dyDescent="0.45"/>
  <cols>
    <col min="1" max="1" width="10" customWidth="1"/>
    <col min="2" max="2" width="18" customWidth="1"/>
    <col min="3" max="3" width="14" customWidth="1"/>
    <col min="4" max="4" width="100" customWidth="1"/>
  </cols>
  <sheetData>
    <row r="1" spans="1:4" x14ac:dyDescent="0.45">
      <c r="A1" s="4" t="s">
        <v>112</v>
      </c>
      <c r="B1" s="4" t="s">
        <v>113</v>
      </c>
      <c r="C1" s="4" t="s">
        <v>114</v>
      </c>
      <c r="D1" s="4" t="s">
        <v>115</v>
      </c>
    </row>
    <row r="2" spans="1:4" x14ac:dyDescent="0.45">
      <c r="A2" t="s">
        <v>116</v>
      </c>
      <c r="B2" t="s">
        <v>117</v>
      </c>
      <c r="C2">
        <v>0.9</v>
      </c>
      <c r="D2" t="s">
        <v>118</v>
      </c>
    </row>
    <row r="3" spans="1:4" x14ac:dyDescent="0.45">
      <c r="A3" t="s">
        <v>119</v>
      </c>
      <c r="B3" t="s">
        <v>120</v>
      </c>
      <c r="C3" t="s">
        <v>121</v>
      </c>
      <c r="D3" t="s">
        <v>122</v>
      </c>
    </row>
    <row r="4" spans="1:4" x14ac:dyDescent="0.45">
      <c r="A4" t="s">
        <v>119</v>
      </c>
      <c r="B4" t="s">
        <v>123</v>
      </c>
      <c r="C4" t="s">
        <v>124</v>
      </c>
      <c r="D4" t="s">
        <v>125</v>
      </c>
    </row>
    <row r="5" spans="1:4" x14ac:dyDescent="0.45">
      <c r="A5" t="s">
        <v>116</v>
      </c>
      <c r="B5" t="s">
        <v>126</v>
      </c>
      <c r="C5" t="s">
        <v>105</v>
      </c>
      <c r="D5" t="s">
        <v>127</v>
      </c>
    </row>
    <row r="6" spans="1:4" x14ac:dyDescent="0.45">
      <c r="A6" t="s">
        <v>116</v>
      </c>
      <c r="B6" t="s">
        <v>128</v>
      </c>
      <c r="C6">
        <v>0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34" customWidth="1"/>
    <col min="3" max="3" width="14" customWidth="1"/>
    <col min="4" max="4" width="40" customWidth="1"/>
  </cols>
  <sheetData>
    <row r="1" spans="1:4" x14ac:dyDescent="0.45">
      <c r="A1" s="4" t="s">
        <v>130</v>
      </c>
      <c r="B1" s="4" t="s">
        <v>119</v>
      </c>
      <c r="C1" s="4" t="s">
        <v>131</v>
      </c>
      <c r="D1" s="4" t="s">
        <v>132</v>
      </c>
    </row>
    <row r="2" spans="1:4" x14ac:dyDescent="0.45">
      <c r="A2" t="s">
        <v>3</v>
      </c>
      <c r="B2" t="s">
        <v>121</v>
      </c>
      <c r="C2">
        <v>0</v>
      </c>
      <c r="D2" t="s">
        <v>133</v>
      </c>
    </row>
    <row r="3" spans="1:4" x14ac:dyDescent="0.45">
      <c r="A3" t="s">
        <v>3</v>
      </c>
      <c r="B3" t="s">
        <v>134</v>
      </c>
      <c r="C3">
        <v>0</v>
      </c>
      <c r="D3" t="s">
        <v>135</v>
      </c>
    </row>
    <row r="4" spans="1:4" x14ac:dyDescent="0.45">
      <c r="A4" t="s">
        <v>3</v>
      </c>
      <c r="B4" t="s">
        <v>136</v>
      </c>
      <c r="C4">
        <v>0</v>
      </c>
      <c r="D4" t="s">
        <v>137</v>
      </c>
    </row>
    <row r="5" spans="1:4" x14ac:dyDescent="0.45">
      <c r="A5" t="s">
        <v>3</v>
      </c>
      <c r="B5" t="s">
        <v>138</v>
      </c>
      <c r="C5">
        <v>1</v>
      </c>
      <c r="D5" t="s">
        <v>139</v>
      </c>
    </row>
    <row r="6" spans="1:4" x14ac:dyDescent="0.45">
      <c r="A6" t="s">
        <v>3</v>
      </c>
      <c r="B6" t="s">
        <v>140</v>
      </c>
      <c r="C6">
        <v>0.9</v>
      </c>
      <c r="D6" t="s">
        <v>141</v>
      </c>
    </row>
    <row r="7" spans="1:4" x14ac:dyDescent="0.45">
      <c r="A7" t="s">
        <v>3</v>
      </c>
      <c r="B7" t="s">
        <v>142</v>
      </c>
      <c r="C7">
        <v>0</v>
      </c>
      <c r="D7" t="s">
        <v>143</v>
      </c>
    </row>
    <row r="8" spans="1:4" x14ac:dyDescent="0.45">
      <c r="A8" t="s">
        <v>3</v>
      </c>
      <c r="B8" t="s">
        <v>144</v>
      </c>
      <c r="C8">
        <v>0</v>
      </c>
      <c r="D8" t="s">
        <v>145</v>
      </c>
    </row>
    <row r="9" spans="1:4" x14ac:dyDescent="0.45">
      <c r="A9" t="s">
        <v>3</v>
      </c>
      <c r="B9" t="s">
        <v>146</v>
      </c>
      <c r="C9">
        <v>0</v>
      </c>
      <c r="D9" t="s">
        <v>147</v>
      </c>
    </row>
    <row r="10" spans="1:4" x14ac:dyDescent="0.45">
      <c r="A10" t="s">
        <v>3</v>
      </c>
      <c r="B10" t="s">
        <v>148</v>
      </c>
      <c r="C10">
        <v>1</v>
      </c>
      <c r="D10" t="s">
        <v>149</v>
      </c>
    </row>
    <row r="11" spans="1:4" x14ac:dyDescent="0.45">
      <c r="A11" t="s">
        <v>3</v>
      </c>
      <c r="B11" t="s">
        <v>150</v>
      </c>
      <c r="C11">
        <v>1</v>
      </c>
      <c r="D11" t="s">
        <v>151</v>
      </c>
    </row>
    <row r="12" spans="1:4" x14ac:dyDescent="0.45">
      <c r="A12" t="s">
        <v>3</v>
      </c>
      <c r="B12" t="s">
        <v>152</v>
      </c>
      <c r="C12">
        <v>1</v>
      </c>
      <c r="D12" t="s">
        <v>153</v>
      </c>
    </row>
    <row r="13" spans="1:4" x14ac:dyDescent="0.45">
      <c r="A13" t="s">
        <v>3</v>
      </c>
      <c r="B13" t="s">
        <v>154</v>
      </c>
      <c r="C13">
        <v>1</v>
      </c>
      <c r="D13" t="s">
        <v>155</v>
      </c>
    </row>
    <row r="14" spans="1:4" x14ac:dyDescent="0.45">
      <c r="A14" t="s">
        <v>3</v>
      </c>
      <c r="B14" t="s">
        <v>124</v>
      </c>
      <c r="C14">
        <v>0</v>
      </c>
      <c r="D14" t="s">
        <v>156</v>
      </c>
    </row>
    <row r="15" spans="1:4" x14ac:dyDescent="0.45">
      <c r="A15" t="s">
        <v>3</v>
      </c>
      <c r="B15" t="s">
        <v>157</v>
      </c>
      <c r="C15">
        <v>0</v>
      </c>
      <c r="D15" t="s">
        <v>158</v>
      </c>
    </row>
    <row r="16" spans="1:4" x14ac:dyDescent="0.45">
      <c r="A16" t="s">
        <v>3</v>
      </c>
      <c r="B16" t="s">
        <v>159</v>
      </c>
      <c r="C16">
        <v>1</v>
      </c>
      <c r="D16" t="s">
        <v>160</v>
      </c>
    </row>
    <row r="17" spans="1:4" x14ac:dyDescent="0.45">
      <c r="A17" t="s">
        <v>3</v>
      </c>
      <c r="B17" t="s">
        <v>161</v>
      </c>
      <c r="C17">
        <v>0</v>
      </c>
      <c r="D17" t="s">
        <v>162</v>
      </c>
    </row>
    <row r="18" spans="1:4" x14ac:dyDescent="0.45">
      <c r="A18" t="s">
        <v>3</v>
      </c>
      <c r="B18" t="s">
        <v>163</v>
      </c>
      <c r="C18">
        <v>0</v>
      </c>
      <c r="D18" t="s">
        <v>164</v>
      </c>
    </row>
    <row r="19" spans="1:4" x14ac:dyDescent="0.45">
      <c r="A19" t="s">
        <v>3</v>
      </c>
      <c r="B19" t="s">
        <v>165</v>
      </c>
      <c r="C19">
        <v>0.15</v>
      </c>
      <c r="D19" t="s">
        <v>166</v>
      </c>
    </row>
    <row r="20" spans="1:4" x14ac:dyDescent="0.45">
      <c r="A20" t="s">
        <v>3</v>
      </c>
      <c r="B20" t="s">
        <v>167</v>
      </c>
      <c r="C20">
        <v>0.15</v>
      </c>
      <c r="D20" t="s">
        <v>168</v>
      </c>
    </row>
    <row r="21" spans="1:4" x14ac:dyDescent="0.45">
      <c r="A21" t="s">
        <v>3</v>
      </c>
      <c r="B21" t="s">
        <v>169</v>
      </c>
      <c r="C21">
        <v>1</v>
      </c>
      <c r="D21" t="s">
        <v>170</v>
      </c>
    </row>
    <row r="22" spans="1:4" x14ac:dyDescent="0.45">
      <c r="A22" t="s">
        <v>3</v>
      </c>
      <c r="B22" t="s">
        <v>171</v>
      </c>
      <c r="C22">
        <v>1</v>
      </c>
      <c r="D22" t="s">
        <v>172</v>
      </c>
    </row>
    <row r="23" spans="1:4" x14ac:dyDescent="0.45">
      <c r="A23" t="s">
        <v>3</v>
      </c>
      <c r="B23" t="s">
        <v>173</v>
      </c>
      <c r="C23">
        <v>0</v>
      </c>
      <c r="D23" t="s">
        <v>174</v>
      </c>
    </row>
    <row r="24" spans="1:4" x14ac:dyDescent="0.45">
      <c r="A24" t="s">
        <v>3</v>
      </c>
      <c r="B24" t="s">
        <v>175</v>
      </c>
      <c r="C24">
        <v>1</v>
      </c>
      <c r="D24" t="s">
        <v>176</v>
      </c>
    </row>
    <row r="25" spans="1:4" x14ac:dyDescent="0.45">
      <c r="A25" t="s">
        <v>3</v>
      </c>
      <c r="B25" t="s">
        <v>177</v>
      </c>
      <c r="C25">
        <v>1</v>
      </c>
      <c r="D25" t="s">
        <v>178</v>
      </c>
    </row>
    <row r="26" spans="1:4" x14ac:dyDescent="0.45">
      <c r="A26" t="s">
        <v>8</v>
      </c>
      <c r="B26" t="s">
        <v>121</v>
      </c>
      <c r="C26">
        <v>0</v>
      </c>
      <c r="D26" t="s">
        <v>179</v>
      </c>
    </row>
    <row r="27" spans="1:4" x14ac:dyDescent="0.45">
      <c r="A27" t="s">
        <v>8</v>
      </c>
      <c r="B27" t="s">
        <v>134</v>
      </c>
      <c r="C27">
        <v>0</v>
      </c>
      <c r="D27" t="s">
        <v>180</v>
      </c>
    </row>
    <row r="28" spans="1:4" x14ac:dyDescent="0.45">
      <c r="A28" t="s">
        <v>8</v>
      </c>
      <c r="B28" t="s">
        <v>136</v>
      </c>
      <c r="C28">
        <v>0</v>
      </c>
      <c r="D28" t="s">
        <v>181</v>
      </c>
    </row>
    <row r="29" spans="1:4" x14ac:dyDescent="0.45">
      <c r="A29" t="s">
        <v>8</v>
      </c>
      <c r="B29" t="s">
        <v>138</v>
      </c>
      <c r="C29">
        <v>1</v>
      </c>
      <c r="D29" t="s">
        <v>182</v>
      </c>
    </row>
    <row r="30" spans="1:4" x14ac:dyDescent="0.45">
      <c r="A30" t="s">
        <v>8</v>
      </c>
      <c r="B30" t="s">
        <v>140</v>
      </c>
      <c r="C30">
        <v>0.9</v>
      </c>
      <c r="D30" t="s">
        <v>183</v>
      </c>
    </row>
    <row r="31" spans="1:4" x14ac:dyDescent="0.45">
      <c r="A31" t="s">
        <v>8</v>
      </c>
      <c r="B31" t="s">
        <v>142</v>
      </c>
      <c r="C31">
        <v>0</v>
      </c>
      <c r="D31" t="s">
        <v>184</v>
      </c>
    </row>
    <row r="32" spans="1:4" x14ac:dyDescent="0.45">
      <c r="A32" t="s">
        <v>8</v>
      </c>
      <c r="B32" t="s">
        <v>144</v>
      </c>
      <c r="C32">
        <v>0</v>
      </c>
      <c r="D32" t="s">
        <v>185</v>
      </c>
    </row>
    <row r="33" spans="1:4" x14ac:dyDescent="0.45">
      <c r="A33" t="s">
        <v>8</v>
      </c>
      <c r="B33" t="s">
        <v>146</v>
      </c>
      <c r="C33">
        <v>0</v>
      </c>
      <c r="D33" t="s">
        <v>186</v>
      </c>
    </row>
    <row r="34" spans="1:4" x14ac:dyDescent="0.45">
      <c r="A34" t="s">
        <v>8</v>
      </c>
      <c r="B34" t="s">
        <v>148</v>
      </c>
      <c r="C34">
        <v>1</v>
      </c>
      <c r="D34" t="s">
        <v>187</v>
      </c>
    </row>
    <row r="35" spans="1:4" x14ac:dyDescent="0.45">
      <c r="A35" t="s">
        <v>8</v>
      </c>
      <c r="B35" t="s">
        <v>150</v>
      </c>
      <c r="C35">
        <v>1</v>
      </c>
      <c r="D35" t="s">
        <v>188</v>
      </c>
    </row>
    <row r="36" spans="1:4" x14ac:dyDescent="0.45">
      <c r="A36" t="s">
        <v>8</v>
      </c>
      <c r="B36" t="s">
        <v>152</v>
      </c>
      <c r="C36">
        <v>1</v>
      </c>
      <c r="D36" t="s">
        <v>189</v>
      </c>
    </row>
    <row r="37" spans="1:4" x14ac:dyDescent="0.45">
      <c r="A37" t="s">
        <v>8</v>
      </c>
      <c r="B37" t="s">
        <v>154</v>
      </c>
      <c r="C37">
        <v>1</v>
      </c>
      <c r="D37" t="s">
        <v>190</v>
      </c>
    </row>
    <row r="38" spans="1:4" x14ac:dyDescent="0.45">
      <c r="A38" t="s">
        <v>8</v>
      </c>
      <c r="B38" t="s">
        <v>124</v>
      </c>
      <c r="C38">
        <v>0</v>
      </c>
      <c r="D38" t="s">
        <v>191</v>
      </c>
    </row>
    <row r="39" spans="1:4" x14ac:dyDescent="0.45">
      <c r="A39" t="s">
        <v>8</v>
      </c>
      <c r="B39" t="s">
        <v>157</v>
      </c>
      <c r="C39">
        <v>0</v>
      </c>
      <c r="D39" t="s">
        <v>192</v>
      </c>
    </row>
    <row r="40" spans="1:4" x14ac:dyDescent="0.45">
      <c r="A40" t="s">
        <v>8</v>
      </c>
      <c r="B40" t="s">
        <v>159</v>
      </c>
      <c r="C40">
        <v>1</v>
      </c>
      <c r="D40" t="s">
        <v>193</v>
      </c>
    </row>
    <row r="41" spans="1:4" x14ac:dyDescent="0.45">
      <c r="A41" t="s">
        <v>8</v>
      </c>
      <c r="B41" t="s">
        <v>161</v>
      </c>
      <c r="C41">
        <v>0</v>
      </c>
      <c r="D41" t="s">
        <v>194</v>
      </c>
    </row>
    <row r="42" spans="1:4" x14ac:dyDescent="0.45">
      <c r="A42" t="s">
        <v>8</v>
      </c>
      <c r="B42" t="s">
        <v>163</v>
      </c>
      <c r="C42">
        <v>0</v>
      </c>
      <c r="D42" t="s">
        <v>195</v>
      </c>
    </row>
    <row r="43" spans="1:4" x14ac:dyDescent="0.45">
      <c r="A43" t="s">
        <v>8</v>
      </c>
      <c r="B43" t="s">
        <v>165</v>
      </c>
      <c r="C43">
        <v>0.15</v>
      </c>
      <c r="D43" t="s">
        <v>196</v>
      </c>
    </row>
    <row r="44" spans="1:4" x14ac:dyDescent="0.45">
      <c r="A44" t="s">
        <v>8</v>
      </c>
      <c r="B44" t="s">
        <v>167</v>
      </c>
      <c r="C44">
        <v>0.15</v>
      </c>
      <c r="D44" t="s">
        <v>197</v>
      </c>
    </row>
    <row r="45" spans="1:4" x14ac:dyDescent="0.45">
      <c r="A45" t="s">
        <v>8</v>
      </c>
      <c r="B45" t="s">
        <v>169</v>
      </c>
      <c r="C45">
        <v>1</v>
      </c>
      <c r="D45" t="s">
        <v>198</v>
      </c>
    </row>
    <row r="46" spans="1:4" x14ac:dyDescent="0.45">
      <c r="A46" t="s">
        <v>8</v>
      </c>
      <c r="B46" t="s">
        <v>171</v>
      </c>
      <c r="C46">
        <v>1</v>
      </c>
      <c r="D46" t="s">
        <v>199</v>
      </c>
    </row>
    <row r="47" spans="1:4" x14ac:dyDescent="0.45">
      <c r="A47" t="s">
        <v>8</v>
      </c>
      <c r="B47" t="s">
        <v>173</v>
      </c>
      <c r="C47">
        <v>0</v>
      </c>
      <c r="D47" t="s">
        <v>200</v>
      </c>
    </row>
    <row r="48" spans="1:4" x14ac:dyDescent="0.45">
      <c r="A48" t="s">
        <v>8</v>
      </c>
      <c r="B48" t="s">
        <v>175</v>
      </c>
      <c r="C48">
        <v>1</v>
      </c>
      <c r="D48" t="s">
        <v>201</v>
      </c>
    </row>
    <row r="49" spans="1:4" x14ac:dyDescent="0.45">
      <c r="A49" t="s">
        <v>8</v>
      </c>
      <c r="B49" t="s">
        <v>177</v>
      </c>
      <c r="C49">
        <v>1</v>
      </c>
      <c r="D49" t="s">
        <v>202</v>
      </c>
    </row>
    <row r="50" spans="1:4" x14ac:dyDescent="0.45">
      <c r="A50" t="s">
        <v>6</v>
      </c>
      <c r="B50" t="s">
        <v>121</v>
      </c>
      <c r="C50">
        <v>0</v>
      </c>
      <c r="D50" t="s">
        <v>203</v>
      </c>
    </row>
    <row r="51" spans="1:4" x14ac:dyDescent="0.45">
      <c r="A51" t="s">
        <v>6</v>
      </c>
      <c r="B51" t="s">
        <v>134</v>
      </c>
      <c r="C51">
        <v>0</v>
      </c>
      <c r="D51" t="s">
        <v>204</v>
      </c>
    </row>
    <row r="52" spans="1:4" x14ac:dyDescent="0.45">
      <c r="A52" t="s">
        <v>6</v>
      </c>
      <c r="B52" t="s">
        <v>136</v>
      </c>
      <c r="C52">
        <v>0</v>
      </c>
      <c r="D52" t="s">
        <v>205</v>
      </c>
    </row>
    <row r="53" spans="1:4" x14ac:dyDescent="0.45">
      <c r="A53" t="s">
        <v>6</v>
      </c>
      <c r="B53" t="s">
        <v>138</v>
      </c>
      <c r="C53">
        <v>1</v>
      </c>
      <c r="D53" t="s">
        <v>206</v>
      </c>
    </row>
    <row r="54" spans="1:4" x14ac:dyDescent="0.45">
      <c r="A54" t="s">
        <v>6</v>
      </c>
      <c r="B54" t="s">
        <v>140</v>
      </c>
      <c r="C54">
        <v>0.9</v>
      </c>
      <c r="D54" t="s">
        <v>207</v>
      </c>
    </row>
    <row r="55" spans="1:4" x14ac:dyDescent="0.45">
      <c r="A55" t="s">
        <v>6</v>
      </c>
      <c r="B55" t="s">
        <v>142</v>
      </c>
      <c r="C55">
        <v>0</v>
      </c>
      <c r="D55" t="s">
        <v>208</v>
      </c>
    </row>
    <row r="56" spans="1:4" x14ac:dyDescent="0.45">
      <c r="A56" t="s">
        <v>6</v>
      </c>
      <c r="B56" t="s">
        <v>144</v>
      </c>
      <c r="C56">
        <v>0</v>
      </c>
      <c r="D56" t="s">
        <v>209</v>
      </c>
    </row>
    <row r="57" spans="1:4" x14ac:dyDescent="0.45">
      <c r="A57" t="s">
        <v>6</v>
      </c>
      <c r="B57" t="s">
        <v>146</v>
      </c>
      <c r="C57">
        <v>0</v>
      </c>
      <c r="D57" t="s">
        <v>210</v>
      </c>
    </row>
    <row r="58" spans="1:4" x14ac:dyDescent="0.45">
      <c r="A58" t="s">
        <v>6</v>
      </c>
      <c r="B58" t="s">
        <v>148</v>
      </c>
      <c r="C58">
        <v>1</v>
      </c>
      <c r="D58" t="s">
        <v>211</v>
      </c>
    </row>
    <row r="59" spans="1:4" x14ac:dyDescent="0.45">
      <c r="A59" t="s">
        <v>6</v>
      </c>
      <c r="B59" t="s">
        <v>150</v>
      </c>
      <c r="C59">
        <v>1</v>
      </c>
      <c r="D59" t="s">
        <v>212</v>
      </c>
    </row>
    <row r="60" spans="1:4" x14ac:dyDescent="0.45">
      <c r="A60" t="s">
        <v>6</v>
      </c>
      <c r="B60" t="s">
        <v>152</v>
      </c>
      <c r="C60">
        <v>1</v>
      </c>
      <c r="D60" t="s">
        <v>213</v>
      </c>
    </row>
    <row r="61" spans="1:4" x14ac:dyDescent="0.45">
      <c r="A61" t="s">
        <v>6</v>
      </c>
      <c r="B61" t="s">
        <v>154</v>
      </c>
      <c r="C61">
        <v>1</v>
      </c>
      <c r="D61" t="s">
        <v>214</v>
      </c>
    </row>
    <row r="62" spans="1:4" x14ac:dyDescent="0.45">
      <c r="A62" t="s">
        <v>6</v>
      </c>
      <c r="B62" t="s">
        <v>124</v>
      </c>
      <c r="C62">
        <v>0</v>
      </c>
      <c r="D62" t="s">
        <v>215</v>
      </c>
    </row>
    <row r="63" spans="1:4" x14ac:dyDescent="0.45">
      <c r="A63" t="s">
        <v>6</v>
      </c>
      <c r="B63" t="s">
        <v>157</v>
      </c>
      <c r="C63">
        <v>0</v>
      </c>
      <c r="D63" t="s">
        <v>216</v>
      </c>
    </row>
    <row r="64" spans="1:4" x14ac:dyDescent="0.45">
      <c r="A64" t="s">
        <v>6</v>
      </c>
      <c r="B64" t="s">
        <v>159</v>
      </c>
      <c r="C64">
        <v>1</v>
      </c>
      <c r="D64" t="s">
        <v>217</v>
      </c>
    </row>
    <row r="65" spans="1:4" x14ac:dyDescent="0.45">
      <c r="A65" t="s">
        <v>6</v>
      </c>
      <c r="B65" t="s">
        <v>161</v>
      </c>
      <c r="C65">
        <v>0</v>
      </c>
      <c r="D65" t="s">
        <v>218</v>
      </c>
    </row>
    <row r="66" spans="1:4" x14ac:dyDescent="0.45">
      <c r="A66" t="s">
        <v>6</v>
      </c>
      <c r="B66" t="s">
        <v>163</v>
      </c>
      <c r="C66">
        <v>0</v>
      </c>
      <c r="D66" t="s">
        <v>219</v>
      </c>
    </row>
    <row r="67" spans="1:4" x14ac:dyDescent="0.45">
      <c r="A67" t="s">
        <v>6</v>
      </c>
      <c r="B67" t="s">
        <v>165</v>
      </c>
      <c r="C67">
        <v>0.15</v>
      </c>
      <c r="D67" t="s">
        <v>220</v>
      </c>
    </row>
    <row r="68" spans="1:4" x14ac:dyDescent="0.45">
      <c r="A68" t="s">
        <v>6</v>
      </c>
      <c r="B68" t="s">
        <v>167</v>
      </c>
      <c r="C68">
        <v>0.15</v>
      </c>
      <c r="D68" t="s">
        <v>221</v>
      </c>
    </row>
    <row r="69" spans="1:4" x14ac:dyDescent="0.45">
      <c r="A69" t="s">
        <v>6</v>
      </c>
      <c r="B69" t="s">
        <v>169</v>
      </c>
      <c r="C69">
        <v>1</v>
      </c>
      <c r="D69" t="s">
        <v>222</v>
      </c>
    </row>
    <row r="70" spans="1:4" x14ac:dyDescent="0.45">
      <c r="A70" t="s">
        <v>6</v>
      </c>
      <c r="B70" t="s">
        <v>171</v>
      </c>
      <c r="C70">
        <v>1</v>
      </c>
      <c r="D70" t="s">
        <v>223</v>
      </c>
    </row>
    <row r="71" spans="1:4" x14ac:dyDescent="0.45">
      <c r="A71" t="s">
        <v>6</v>
      </c>
      <c r="B71" t="s">
        <v>173</v>
      </c>
      <c r="C71">
        <v>0</v>
      </c>
      <c r="D71" t="s">
        <v>224</v>
      </c>
    </row>
    <row r="72" spans="1:4" x14ac:dyDescent="0.45">
      <c r="A72" t="s">
        <v>6</v>
      </c>
      <c r="B72" t="s">
        <v>175</v>
      </c>
      <c r="C72">
        <v>1</v>
      </c>
      <c r="D72" t="s">
        <v>225</v>
      </c>
    </row>
    <row r="73" spans="1:4" x14ac:dyDescent="0.45">
      <c r="A73" t="s">
        <v>6</v>
      </c>
      <c r="B73" t="s">
        <v>177</v>
      </c>
      <c r="C73">
        <v>1</v>
      </c>
      <c r="D73" t="s">
        <v>226</v>
      </c>
    </row>
    <row r="74" spans="1:4" x14ac:dyDescent="0.45">
      <c r="A74" t="s">
        <v>12</v>
      </c>
      <c r="B74" t="s">
        <v>121</v>
      </c>
      <c r="C74">
        <v>0</v>
      </c>
      <c r="D74" t="s">
        <v>227</v>
      </c>
    </row>
    <row r="75" spans="1:4" x14ac:dyDescent="0.45">
      <c r="A75" t="s">
        <v>12</v>
      </c>
      <c r="B75" t="s">
        <v>134</v>
      </c>
      <c r="C75">
        <v>0</v>
      </c>
      <c r="D75" t="s">
        <v>228</v>
      </c>
    </row>
    <row r="76" spans="1:4" x14ac:dyDescent="0.45">
      <c r="A76" t="s">
        <v>12</v>
      </c>
      <c r="B76" t="s">
        <v>136</v>
      </c>
      <c r="C76">
        <v>0</v>
      </c>
      <c r="D76" t="s">
        <v>229</v>
      </c>
    </row>
    <row r="77" spans="1:4" x14ac:dyDescent="0.45">
      <c r="A77" t="s">
        <v>12</v>
      </c>
      <c r="B77" t="s">
        <v>138</v>
      </c>
      <c r="C77">
        <v>1</v>
      </c>
      <c r="D77" t="s">
        <v>230</v>
      </c>
    </row>
    <row r="78" spans="1:4" x14ac:dyDescent="0.45">
      <c r="A78" t="s">
        <v>12</v>
      </c>
      <c r="B78" t="s">
        <v>140</v>
      </c>
      <c r="C78">
        <v>0.9</v>
      </c>
      <c r="D78" t="s">
        <v>231</v>
      </c>
    </row>
    <row r="79" spans="1:4" x14ac:dyDescent="0.45">
      <c r="A79" t="s">
        <v>12</v>
      </c>
      <c r="B79" t="s">
        <v>142</v>
      </c>
      <c r="C79">
        <v>0</v>
      </c>
      <c r="D79" t="s">
        <v>232</v>
      </c>
    </row>
    <row r="80" spans="1:4" x14ac:dyDescent="0.45">
      <c r="A80" t="s">
        <v>12</v>
      </c>
      <c r="B80" t="s">
        <v>144</v>
      </c>
      <c r="C80">
        <v>0</v>
      </c>
      <c r="D80" t="s">
        <v>233</v>
      </c>
    </row>
    <row r="81" spans="1:4" x14ac:dyDescent="0.45">
      <c r="A81" t="s">
        <v>12</v>
      </c>
      <c r="B81" t="s">
        <v>146</v>
      </c>
      <c r="C81">
        <v>0</v>
      </c>
      <c r="D81" t="s">
        <v>234</v>
      </c>
    </row>
    <row r="82" spans="1:4" x14ac:dyDescent="0.45">
      <c r="A82" t="s">
        <v>12</v>
      </c>
      <c r="B82" t="s">
        <v>148</v>
      </c>
      <c r="C82">
        <v>1</v>
      </c>
      <c r="D82" t="s">
        <v>235</v>
      </c>
    </row>
    <row r="83" spans="1:4" x14ac:dyDescent="0.45">
      <c r="A83" t="s">
        <v>12</v>
      </c>
      <c r="B83" t="s">
        <v>150</v>
      </c>
      <c r="C83">
        <v>1</v>
      </c>
      <c r="D83" t="s">
        <v>236</v>
      </c>
    </row>
    <row r="84" spans="1:4" x14ac:dyDescent="0.45">
      <c r="A84" t="s">
        <v>12</v>
      </c>
      <c r="B84" t="s">
        <v>152</v>
      </c>
      <c r="C84">
        <v>1</v>
      </c>
      <c r="D84" t="s">
        <v>237</v>
      </c>
    </row>
    <row r="85" spans="1:4" x14ac:dyDescent="0.45">
      <c r="A85" t="s">
        <v>12</v>
      </c>
      <c r="B85" t="s">
        <v>154</v>
      </c>
      <c r="C85">
        <v>1</v>
      </c>
      <c r="D85" t="s">
        <v>238</v>
      </c>
    </row>
    <row r="86" spans="1:4" x14ac:dyDescent="0.45">
      <c r="A86" t="s">
        <v>12</v>
      </c>
      <c r="B86" t="s">
        <v>124</v>
      </c>
      <c r="C86">
        <v>0</v>
      </c>
      <c r="D86" t="s">
        <v>239</v>
      </c>
    </row>
    <row r="87" spans="1:4" x14ac:dyDescent="0.45">
      <c r="A87" t="s">
        <v>12</v>
      </c>
      <c r="B87" t="s">
        <v>157</v>
      </c>
      <c r="C87">
        <v>0</v>
      </c>
      <c r="D87" t="s">
        <v>240</v>
      </c>
    </row>
    <row r="88" spans="1:4" x14ac:dyDescent="0.45">
      <c r="A88" t="s">
        <v>12</v>
      </c>
      <c r="B88" t="s">
        <v>159</v>
      </c>
      <c r="C88">
        <v>1</v>
      </c>
      <c r="D88" t="s">
        <v>241</v>
      </c>
    </row>
    <row r="89" spans="1:4" x14ac:dyDescent="0.45">
      <c r="A89" t="s">
        <v>12</v>
      </c>
      <c r="B89" t="s">
        <v>161</v>
      </c>
      <c r="C89">
        <v>0</v>
      </c>
      <c r="D89" t="s">
        <v>242</v>
      </c>
    </row>
    <row r="90" spans="1:4" x14ac:dyDescent="0.45">
      <c r="A90" t="s">
        <v>12</v>
      </c>
      <c r="B90" t="s">
        <v>163</v>
      </c>
      <c r="C90">
        <v>0</v>
      </c>
      <c r="D90" t="s">
        <v>243</v>
      </c>
    </row>
    <row r="91" spans="1:4" x14ac:dyDescent="0.45">
      <c r="A91" t="s">
        <v>12</v>
      </c>
      <c r="B91" t="s">
        <v>165</v>
      </c>
      <c r="C91">
        <v>0.15</v>
      </c>
      <c r="D91" t="s">
        <v>244</v>
      </c>
    </row>
    <row r="92" spans="1:4" x14ac:dyDescent="0.45">
      <c r="A92" t="s">
        <v>12</v>
      </c>
      <c r="B92" t="s">
        <v>167</v>
      </c>
      <c r="C92">
        <v>0.15</v>
      </c>
      <c r="D92" t="s">
        <v>245</v>
      </c>
    </row>
    <row r="93" spans="1:4" x14ac:dyDescent="0.45">
      <c r="A93" t="s">
        <v>12</v>
      </c>
      <c r="B93" t="s">
        <v>169</v>
      </c>
      <c r="C93">
        <v>1</v>
      </c>
      <c r="D93" t="s">
        <v>246</v>
      </c>
    </row>
    <row r="94" spans="1:4" x14ac:dyDescent="0.45">
      <c r="A94" t="s">
        <v>12</v>
      </c>
      <c r="B94" t="s">
        <v>171</v>
      </c>
      <c r="C94">
        <v>1</v>
      </c>
      <c r="D94" t="s">
        <v>247</v>
      </c>
    </row>
    <row r="95" spans="1:4" x14ac:dyDescent="0.45">
      <c r="A95" t="s">
        <v>12</v>
      </c>
      <c r="B95" t="s">
        <v>173</v>
      </c>
      <c r="C95">
        <v>0</v>
      </c>
      <c r="D95" t="s">
        <v>248</v>
      </c>
    </row>
    <row r="96" spans="1:4" x14ac:dyDescent="0.45">
      <c r="A96" t="s">
        <v>12</v>
      </c>
      <c r="B96" t="s">
        <v>175</v>
      </c>
      <c r="C96">
        <v>1</v>
      </c>
      <c r="D96" t="s">
        <v>249</v>
      </c>
    </row>
    <row r="97" spans="1:4" x14ac:dyDescent="0.45">
      <c r="A97" t="s">
        <v>12</v>
      </c>
      <c r="B97" t="s">
        <v>177</v>
      </c>
      <c r="C97">
        <v>1</v>
      </c>
      <c r="D97" t="s">
        <v>250</v>
      </c>
    </row>
    <row r="98" spans="1:4" x14ac:dyDescent="0.45">
      <c r="A98" t="s">
        <v>16</v>
      </c>
      <c r="B98" t="s">
        <v>121</v>
      </c>
      <c r="C98">
        <v>0</v>
      </c>
      <c r="D98" t="s">
        <v>251</v>
      </c>
    </row>
    <row r="99" spans="1:4" x14ac:dyDescent="0.45">
      <c r="A99" t="s">
        <v>16</v>
      </c>
      <c r="B99" t="s">
        <v>134</v>
      </c>
      <c r="C99">
        <v>0</v>
      </c>
      <c r="D99" t="s">
        <v>252</v>
      </c>
    </row>
    <row r="100" spans="1:4" x14ac:dyDescent="0.45">
      <c r="A100" t="s">
        <v>16</v>
      </c>
      <c r="B100" t="s">
        <v>136</v>
      </c>
      <c r="C100">
        <v>0</v>
      </c>
      <c r="D100" t="s">
        <v>253</v>
      </c>
    </row>
    <row r="101" spans="1:4" x14ac:dyDescent="0.45">
      <c r="A101" t="s">
        <v>16</v>
      </c>
      <c r="B101" t="s">
        <v>138</v>
      </c>
      <c r="C101">
        <v>1</v>
      </c>
      <c r="D101" t="s">
        <v>254</v>
      </c>
    </row>
    <row r="102" spans="1:4" x14ac:dyDescent="0.45">
      <c r="A102" t="s">
        <v>16</v>
      </c>
      <c r="B102" t="s">
        <v>140</v>
      </c>
      <c r="C102">
        <v>0.9</v>
      </c>
      <c r="D102" t="s">
        <v>255</v>
      </c>
    </row>
    <row r="103" spans="1:4" x14ac:dyDescent="0.45">
      <c r="A103" t="s">
        <v>16</v>
      </c>
      <c r="B103" t="s">
        <v>142</v>
      </c>
      <c r="C103">
        <v>0</v>
      </c>
      <c r="D103" t="s">
        <v>256</v>
      </c>
    </row>
    <row r="104" spans="1:4" x14ac:dyDescent="0.45">
      <c r="A104" t="s">
        <v>16</v>
      </c>
      <c r="B104" t="s">
        <v>144</v>
      </c>
      <c r="C104">
        <v>0</v>
      </c>
      <c r="D104" t="s">
        <v>257</v>
      </c>
    </row>
    <row r="105" spans="1:4" x14ac:dyDescent="0.45">
      <c r="A105" t="s">
        <v>16</v>
      </c>
      <c r="B105" t="s">
        <v>146</v>
      </c>
      <c r="C105">
        <v>0</v>
      </c>
      <c r="D105" t="s">
        <v>258</v>
      </c>
    </row>
    <row r="106" spans="1:4" x14ac:dyDescent="0.45">
      <c r="A106" t="s">
        <v>16</v>
      </c>
      <c r="B106" t="s">
        <v>148</v>
      </c>
      <c r="C106">
        <v>1</v>
      </c>
      <c r="D106" t="s">
        <v>259</v>
      </c>
    </row>
    <row r="107" spans="1:4" x14ac:dyDescent="0.45">
      <c r="A107" t="s">
        <v>16</v>
      </c>
      <c r="B107" t="s">
        <v>150</v>
      </c>
      <c r="C107">
        <v>1</v>
      </c>
      <c r="D107" t="s">
        <v>260</v>
      </c>
    </row>
    <row r="108" spans="1:4" x14ac:dyDescent="0.45">
      <c r="A108" t="s">
        <v>16</v>
      </c>
      <c r="B108" t="s">
        <v>152</v>
      </c>
      <c r="C108">
        <v>1</v>
      </c>
      <c r="D108" t="s">
        <v>261</v>
      </c>
    </row>
    <row r="109" spans="1:4" x14ac:dyDescent="0.45">
      <c r="A109" t="s">
        <v>16</v>
      </c>
      <c r="B109" t="s">
        <v>154</v>
      </c>
      <c r="C109">
        <v>1</v>
      </c>
      <c r="D109" t="s">
        <v>262</v>
      </c>
    </row>
    <row r="110" spans="1:4" x14ac:dyDescent="0.45">
      <c r="A110" t="s">
        <v>16</v>
      </c>
      <c r="B110" t="s">
        <v>124</v>
      </c>
      <c r="C110">
        <v>0</v>
      </c>
      <c r="D110" t="s">
        <v>263</v>
      </c>
    </row>
    <row r="111" spans="1:4" x14ac:dyDescent="0.45">
      <c r="A111" t="s">
        <v>16</v>
      </c>
      <c r="B111" t="s">
        <v>157</v>
      </c>
      <c r="C111">
        <v>0</v>
      </c>
      <c r="D111" t="s">
        <v>264</v>
      </c>
    </row>
    <row r="112" spans="1:4" x14ac:dyDescent="0.45">
      <c r="A112" t="s">
        <v>16</v>
      </c>
      <c r="B112" t="s">
        <v>159</v>
      </c>
      <c r="C112">
        <v>1</v>
      </c>
      <c r="D112" t="s">
        <v>265</v>
      </c>
    </row>
    <row r="113" spans="1:4" x14ac:dyDescent="0.45">
      <c r="A113" t="s">
        <v>16</v>
      </c>
      <c r="B113" t="s">
        <v>161</v>
      </c>
      <c r="C113">
        <v>0</v>
      </c>
      <c r="D113" t="s">
        <v>266</v>
      </c>
    </row>
    <row r="114" spans="1:4" x14ac:dyDescent="0.45">
      <c r="A114" t="s">
        <v>16</v>
      </c>
      <c r="B114" t="s">
        <v>163</v>
      </c>
      <c r="C114">
        <v>0</v>
      </c>
      <c r="D114" t="s">
        <v>267</v>
      </c>
    </row>
    <row r="115" spans="1:4" x14ac:dyDescent="0.45">
      <c r="A115" t="s">
        <v>16</v>
      </c>
      <c r="B115" t="s">
        <v>165</v>
      </c>
      <c r="C115">
        <v>0.15</v>
      </c>
      <c r="D115" t="s">
        <v>268</v>
      </c>
    </row>
    <row r="116" spans="1:4" x14ac:dyDescent="0.45">
      <c r="A116" t="s">
        <v>16</v>
      </c>
      <c r="B116" t="s">
        <v>167</v>
      </c>
      <c r="C116">
        <v>0.15</v>
      </c>
      <c r="D116" t="s">
        <v>269</v>
      </c>
    </row>
    <row r="117" spans="1:4" x14ac:dyDescent="0.45">
      <c r="A117" t="s">
        <v>16</v>
      </c>
      <c r="B117" t="s">
        <v>169</v>
      </c>
      <c r="C117">
        <v>1</v>
      </c>
      <c r="D117" t="s">
        <v>270</v>
      </c>
    </row>
    <row r="118" spans="1:4" x14ac:dyDescent="0.45">
      <c r="A118" t="s">
        <v>16</v>
      </c>
      <c r="B118" t="s">
        <v>171</v>
      </c>
      <c r="C118">
        <v>1</v>
      </c>
      <c r="D118" t="s">
        <v>271</v>
      </c>
    </row>
    <row r="119" spans="1:4" x14ac:dyDescent="0.45">
      <c r="A119" t="s">
        <v>16</v>
      </c>
      <c r="B119" t="s">
        <v>173</v>
      </c>
      <c r="C119">
        <v>0</v>
      </c>
      <c r="D119" t="s">
        <v>272</v>
      </c>
    </row>
    <row r="120" spans="1:4" x14ac:dyDescent="0.45">
      <c r="A120" t="s">
        <v>16</v>
      </c>
      <c r="B120" t="s">
        <v>175</v>
      </c>
      <c r="C120">
        <v>1</v>
      </c>
      <c r="D120" t="s">
        <v>273</v>
      </c>
    </row>
    <row r="121" spans="1:4" x14ac:dyDescent="0.45">
      <c r="A121" t="s">
        <v>16</v>
      </c>
      <c r="B121" t="s">
        <v>177</v>
      </c>
      <c r="C121">
        <v>1</v>
      </c>
      <c r="D121" t="s">
        <v>274</v>
      </c>
    </row>
    <row r="122" spans="1:4" x14ac:dyDescent="0.45">
      <c r="A122" t="s">
        <v>20</v>
      </c>
      <c r="B122" t="s">
        <v>121</v>
      </c>
      <c r="C122">
        <v>0</v>
      </c>
      <c r="D122" t="s">
        <v>275</v>
      </c>
    </row>
    <row r="123" spans="1:4" x14ac:dyDescent="0.45">
      <c r="A123" t="s">
        <v>20</v>
      </c>
      <c r="B123" t="s">
        <v>134</v>
      </c>
      <c r="C123">
        <v>0</v>
      </c>
      <c r="D123" t="s">
        <v>276</v>
      </c>
    </row>
    <row r="124" spans="1:4" x14ac:dyDescent="0.45">
      <c r="A124" t="s">
        <v>20</v>
      </c>
      <c r="B124" t="s">
        <v>136</v>
      </c>
      <c r="C124">
        <v>0</v>
      </c>
      <c r="D124" t="s">
        <v>277</v>
      </c>
    </row>
    <row r="125" spans="1:4" x14ac:dyDescent="0.45">
      <c r="A125" t="s">
        <v>20</v>
      </c>
      <c r="B125" t="s">
        <v>138</v>
      </c>
      <c r="C125">
        <v>1</v>
      </c>
      <c r="D125" t="s">
        <v>278</v>
      </c>
    </row>
    <row r="126" spans="1:4" x14ac:dyDescent="0.45">
      <c r="A126" t="s">
        <v>20</v>
      </c>
      <c r="B126" t="s">
        <v>140</v>
      </c>
      <c r="C126">
        <v>0.9</v>
      </c>
      <c r="D126" t="s">
        <v>279</v>
      </c>
    </row>
    <row r="127" spans="1:4" x14ac:dyDescent="0.45">
      <c r="A127" t="s">
        <v>20</v>
      </c>
      <c r="B127" t="s">
        <v>142</v>
      </c>
      <c r="C127">
        <v>0</v>
      </c>
      <c r="D127" t="s">
        <v>280</v>
      </c>
    </row>
    <row r="128" spans="1:4" x14ac:dyDescent="0.45">
      <c r="A128" t="s">
        <v>20</v>
      </c>
      <c r="B128" t="s">
        <v>144</v>
      </c>
      <c r="C128">
        <v>0</v>
      </c>
      <c r="D128" t="s">
        <v>281</v>
      </c>
    </row>
    <row r="129" spans="1:4" x14ac:dyDescent="0.45">
      <c r="A129" t="s">
        <v>20</v>
      </c>
      <c r="B129" t="s">
        <v>146</v>
      </c>
      <c r="C129">
        <v>0</v>
      </c>
      <c r="D129" t="s">
        <v>282</v>
      </c>
    </row>
    <row r="130" spans="1:4" x14ac:dyDescent="0.45">
      <c r="A130" t="s">
        <v>20</v>
      </c>
      <c r="B130" t="s">
        <v>148</v>
      </c>
      <c r="C130">
        <v>1</v>
      </c>
      <c r="D130" t="s">
        <v>283</v>
      </c>
    </row>
    <row r="131" spans="1:4" x14ac:dyDescent="0.45">
      <c r="A131" t="s">
        <v>20</v>
      </c>
      <c r="B131" t="s">
        <v>150</v>
      </c>
      <c r="C131">
        <v>1</v>
      </c>
      <c r="D131" t="s">
        <v>284</v>
      </c>
    </row>
    <row r="132" spans="1:4" x14ac:dyDescent="0.45">
      <c r="A132" t="s">
        <v>20</v>
      </c>
      <c r="B132" t="s">
        <v>152</v>
      </c>
      <c r="C132">
        <v>1</v>
      </c>
      <c r="D132" t="s">
        <v>285</v>
      </c>
    </row>
    <row r="133" spans="1:4" x14ac:dyDescent="0.45">
      <c r="A133" t="s">
        <v>20</v>
      </c>
      <c r="B133" t="s">
        <v>154</v>
      </c>
      <c r="C133">
        <v>1</v>
      </c>
      <c r="D133" t="s">
        <v>286</v>
      </c>
    </row>
    <row r="134" spans="1:4" x14ac:dyDescent="0.45">
      <c r="A134" t="s">
        <v>20</v>
      </c>
      <c r="B134" t="s">
        <v>124</v>
      </c>
      <c r="C134">
        <v>0</v>
      </c>
      <c r="D134" t="s">
        <v>287</v>
      </c>
    </row>
    <row r="135" spans="1:4" x14ac:dyDescent="0.45">
      <c r="A135" t="s">
        <v>20</v>
      </c>
      <c r="B135" t="s">
        <v>157</v>
      </c>
      <c r="C135">
        <v>0</v>
      </c>
      <c r="D135" t="s">
        <v>288</v>
      </c>
    </row>
    <row r="136" spans="1:4" x14ac:dyDescent="0.45">
      <c r="A136" t="s">
        <v>20</v>
      </c>
      <c r="B136" t="s">
        <v>159</v>
      </c>
      <c r="C136">
        <v>1</v>
      </c>
      <c r="D136" t="s">
        <v>289</v>
      </c>
    </row>
    <row r="137" spans="1:4" x14ac:dyDescent="0.45">
      <c r="A137" t="s">
        <v>20</v>
      </c>
      <c r="B137" t="s">
        <v>161</v>
      </c>
      <c r="C137">
        <v>0</v>
      </c>
      <c r="D137" t="s">
        <v>290</v>
      </c>
    </row>
    <row r="138" spans="1:4" x14ac:dyDescent="0.45">
      <c r="A138" t="s">
        <v>20</v>
      </c>
      <c r="B138" t="s">
        <v>163</v>
      </c>
      <c r="C138">
        <v>0</v>
      </c>
      <c r="D138" t="s">
        <v>291</v>
      </c>
    </row>
    <row r="139" spans="1:4" x14ac:dyDescent="0.45">
      <c r="A139" t="s">
        <v>20</v>
      </c>
      <c r="B139" t="s">
        <v>165</v>
      </c>
      <c r="C139">
        <v>0.15</v>
      </c>
      <c r="D139" t="s">
        <v>292</v>
      </c>
    </row>
    <row r="140" spans="1:4" x14ac:dyDescent="0.45">
      <c r="A140" t="s">
        <v>20</v>
      </c>
      <c r="B140" t="s">
        <v>167</v>
      </c>
      <c r="C140">
        <v>0.15</v>
      </c>
      <c r="D140" t="s">
        <v>293</v>
      </c>
    </row>
    <row r="141" spans="1:4" x14ac:dyDescent="0.45">
      <c r="A141" t="s">
        <v>20</v>
      </c>
      <c r="B141" t="s">
        <v>169</v>
      </c>
      <c r="C141">
        <v>1</v>
      </c>
      <c r="D141" t="s">
        <v>294</v>
      </c>
    </row>
    <row r="142" spans="1:4" x14ac:dyDescent="0.45">
      <c r="A142" t="s">
        <v>20</v>
      </c>
      <c r="B142" t="s">
        <v>171</v>
      </c>
      <c r="C142">
        <v>1</v>
      </c>
      <c r="D142" t="s">
        <v>295</v>
      </c>
    </row>
    <row r="143" spans="1:4" x14ac:dyDescent="0.45">
      <c r="A143" t="s">
        <v>20</v>
      </c>
      <c r="B143" t="s">
        <v>173</v>
      </c>
      <c r="C143">
        <v>0</v>
      </c>
      <c r="D143" t="s">
        <v>296</v>
      </c>
    </row>
    <row r="144" spans="1:4" x14ac:dyDescent="0.45">
      <c r="A144" t="s">
        <v>20</v>
      </c>
      <c r="B144" t="s">
        <v>175</v>
      </c>
      <c r="C144">
        <v>1</v>
      </c>
      <c r="D144" t="s">
        <v>297</v>
      </c>
    </row>
    <row r="145" spans="1:4" x14ac:dyDescent="0.45">
      <c r="A145" t="s">
        <v>20</v>
      </c>
      <c r="B145" t="s">
        <v>177</v>
      </c>
      <c r="C145">
        <v>1</v>
      </c>
      <c r="D145" t="s">
        <v>298</v>
      </c>
    </row>
    <row r="146" spans="1:4" x14ac:dyDescent="0.45">
      <c r="A146" t="s">
        <v>24</v>
      </c>
      <c r="B146" t="s">
        <v>121</v>
      </c>
      <c r="C146">
        <v>0</v>
      </c>
      <c r="D146" t="s">
        <v>299</v>
      </c>
    </row>
    <row r="147" spans="1:4" x14ac:dyDescent="0.45">
      <c r="A147" t="s">
        <v>24</v>
      </c>
      <c r="B147" t="s">
        <v>134</v>
      </c>
      <c r="C147">
        <v>0</v>
      </c>
      <c r="D147" t="s">
        <v>300</v>
      </c>
    </row>
    <row r="148" spans="1:4" x14ac:dyDescent="0.45">
      <c r="A148" t="s">
        <v>24</v>
      </c>
      <c r="B148" t="s">
        <v>136</v>
      </c>
      <c r="C148">
        <v>0</v>
      </c>
      <c r="D148" t="s">
        <v>301</v>
      </c>
    </row>
    <row r="149" spans="1:4" x14ac:dyDescent="0.45">
      <c r="A149" t="s">
        <v>24</v>
      </c>
      <c r="B149" t="s">
        <v>138</v>
      </c>
      <c r="C149">
        <v>1</v>
      </c>
      <c r="D149" t="s">
        <v>302</v>
      </c>
    </row>
    <row r="150" spans="1:4" x14ac:dyDescent="0.45">
      <c r="A150" t="s">
        <v>24</v>
      </c>
      <c r="B150" t="s">
        <v>140</v>
      </c>
      <c r="C150">
        <v>0.9</v>
      </c>
      <c r="D150" t="s">
        <v>303</v>
      </c>
    </row>
    <row r="151" spans="1:4" x14ac:dyDescent="0.45">
      <c r="A151" t="s">
        <v>24</v>
      </c>
      <c r="B151" t="s">
        <v>142</v>
      </c>
      <c r="C151">
        <v>0</v>
      </c>
      <c r="D151" t="s">
        <v>304</v>
      </c>
    </row>
    <row r="152" spans="1:4" x14ac:dyDescent="0.45">
      <c r="A152" t="s">
        <v>24</v>
      </c>
      <c r="B152" t="s">
        <v>144</v>
      </c>
      <c r="C152">
        <v>0</v>
      </c>
      <c r="D152" t="s">
        <v>305</v>
      </c>
    </row>
    <row r="153" spans="1:4" x14ac:dyDescent="0.45">
      <c r="A153" t="s">
        <v>24</v>
      </c>
      <c r="B153" t="s">
        <v>146</v>
      </c>
      <c r="C153">
        <v>0</v>
      </c>
      <c r="D153" t="s">
        <v>306</v>
      </c>
    </row>
    <row r="154" spans="1:4" x14ac:dyDescent="0.45">
      <c r="A154" t="s">
        <v>24</v>
      </c>
      <c r="B154" t="s">
        <v>148</v>
      </c>
      <c r="C154">
        <v>1</v>
      </c>
      <c r="D154" t="s">
        <v>307</v>
      </c>
    </row>
    <row r="155" spans="1:4" x14ac:dyDescent="0.45">
      <c r="A155" t="s">
        <v>24</v>
      </c>
      <c r="B155" t="s">
        <v>150</v>
      </c>
      <c r="C155">
        <v>1</v>
      </c>
      <c r="D155" t="s">
        <v>308</v>
      </c>
    </row>
    <row r="156" spans="1:4" x14ac:dyDescent="0.45">
      <c r="A156" t="s">
        <v>24</v>
      </c>
      <c r="B156" t="s">
        <v>152</v>
      </c>
      <c r="C156">
        <v>1</v>
      </c>
      <c r="D156" t="s">
        <v>309</v>
      </c>
    </row>
    <row r="157" spans="1:4" x14ac:dyDescent="0.45">
      <c r="A157" t="s">
        <v>24</v>
      </c>
      <c r="B157" t="s">
        <v>154</v>
      </c>
      <c r="C157">
        <v>1</v>
      </c>
      <c r="D157" t="s">
        <v>310</v>
      </c>
    </row>
    <row r="158" spans="1:4" x14ac:dyDescent="0.45">
      <c r="A158" t="s">
        <v>24</v>
      </c>
      <c r="B158" t="s">
        <v>124</v>
      </c>
      <c r="C158">
        <v>0</v>
      </c>
      <c r="D158" t="s">
        <v>311</v>
      </c>
    </row>
    <row r="159" spans="1:4" x14ac:dyDescent="0.45">
      <c r="A159" t="s">
        <v>24</v>
      </c>
      <c r="B159" t="s">
        <v>157</v>
      </c>
      <c r="C159">
        <v>0</v>
      </c>
      <c r="D159" t="s">
        <v>312</v>
      </c>
    </row>
    <row r="160" spans="1:4" x14ac:dyDescent="0.45">
      <c r="A160" t="s">
        <v>24</v>
      </c>
      <c r="B160" t="s">
        <v>159</v>
      </c>
      <c r="C160">
        <v>1</v>
      </c>
      <c r="D160" t="s">
        <v>313</v>
      </c>
    </row>
    <row r="161" spans="1:4" x14ac:dyDescent="0.45">
      <c r="A161" t="s">
        <v>24</v>
      </c>
      <c r="B161" t="s">
        <v>161</v>
      </c>
      <c r="C161">
        <v>0</v>
      </c>
      <c r="D161" t="s">
        <v>314</v>
      </c>
    </row>
    <row r="162" spans="1:4" x14ac:dyDescent="0.45">
      <c r="A162" t="s">
        <v>24</v>
      </c>
      <c r="B162" t="s">
        <v>163</v>
      </c>
      <c r="C162">
        <v>0</v>
      </c>
      <c r="D162" t="s">
        <v>315</v>
      </c>
    </row>
    <row r="163" spans="1:4" x14ac:dyDescent="0.45">
      <c r="A163" t="s">
        <v>24</v>
      </c>
      <c r="B163" t="s">
        <v>165</v>
      </c>
      <c r="C163">
        <v>0.15</v>
      </c>
      <c r="D163" t="s">
        <v>316</v>
      </c>
    </row>
    <row r="164" spans="1:4" x14ac:dyDescent="0.45">
      <c r="A164" t="s">
        <v>24</v>
      </c>
      <c r="B164" t="s">
        <v>167</v>
      </c>
      <c r="C164">
        <v>0.15</v>
      </c>
      <c r="D164" t="s">
        <v>317</v>
      </c>
    </row>
    <row r="165" spans="1:4" x14ac:dyDescent="0.45">
      <c r="A165" t="s">
        <v>24</v>
      </c>
      <c r="B165" t="s">
        <v>169</v>
      </c>
      <c r="C165">
        <v>1</v>
      </c>
      <c r="D165" t="s">
        <v>318</v>
      </c>
    </row>
    <row r="166" spans="1:4" x14ac:dyDescent="0.45">
      <c r="A166" t="s">
        <v>24</v>
      </c>
      <c r="B166" t="s">
        <v>171</v>
      </c>
      <c r="C166">
        <v>1</v>
      </c>
      <c r="D166" t="s">
        <v>319</v>
      </c>
    </row>
    <row r="167" spans="1:4" x14ac:dyDescent="0.45">
      <c r="A167" t="s">
        <v>24</v>
      </c>
      <c r="B167" t="s">
        <v>173</v>
      </c>
      <c r="C167">
        <v>0</v>
      </c>
      <c r="D167" t="s">
        <v>320</v>
      </c>
    </row>
    <row r="168" spans="1:4" x14ac:dyDescent="0.45">
      <c r="A168" t="s">
        <v>24</v>
      </c>
      <c r="B168" t="s">
        <v>175</v>
      </c>
      <c r="C168">
        <v>1</v>
      </c>
      <c r="D168" t="s">
        <v>321</v>
      </c>
    </row>
    <row r="169" spans="1:4" x14ac:dyDescent="0.45">
      <c r="A169" t="s">
        <v>24</v>
      </c>
      <c r="B169" t="s">
        <v>177</v>
      </c>
      <c r="C169">
        <v>1</v>
      </c>
      <c r="D169" t="s">
        <v>322</v>
      </c>
    </row>
    <row r="170" spans="1:4" x14ac:dyDescent="0.45">
      <c r="A170" t="s">
        <v>28</v>
      </c>
      <c r="B170" t="s">
        <v>121</v>
      </c>
      <c r="C170">
        <v>0</v>
      </c>
      <c r="D170" t="s">
        <v>323</v>
      </c>
    </row>
    <row r="171" spans="1:4" x14ac:dyDescent="0.45">
      <c r="A171" t="s">
        <v>28</v>
      </c>
      <c r="B171" t="s">
        <v>134</v>
      </c>
      <c r="C171">
        <v>0</v>
      </c>
      <c r="D171" t="s">
        <v>324</v>
      </c>
    </row>
    <row r="172" spans="1:4" x14ac:dyDescent="0.45">
      <c r="A172" t="s">
        <v>28</v>
      </c>
      <c r="B172" t="s">
        <v>136</v>
      </c>
      <c r="C172">
        <v>0</v>
      </c>
      <c r="D172" t="s">
        <v>325</v>
      </c>
    </row>
    <row r="173" spans="1:4" x14ac:dyDescent="0.45">
      <c r="A173" t="s">
        <v>28</v>
      </c>
      <c r="B173" t="s">
        <v>138</v>
      </c>
      <c r="C173">
        <v>1</v>
      </c>
      <c r="D173" t="s">
        <v>326</v>
      </c>
    </row>
    <row r="174" spans="1:4" x14ac:dyDescent="0.45">
      <c r="A174" t="s">
        <v>28</v>
      </c>
      <c r="B174" t="s">
        <v>140</v>
      </c>
      <c r="C174">
        <v>0.9</v>
      </c>
      <c r="D174" t="s">
        <v>327</v>
      </c>
    </row>
    <row r="175" spans="1:4" x14ac:dyDescent="0.45">
      <c r="A175" t="s">
        <v>28</v>
      </c>
      <c r="B175" t="s">
        <v>142</v>
      </c>
      <c r="C175">
        <v>0</v>
      </c>
      <c r="D175" t="s">
        <v>328</v>
      </c>
    </row>
    <row r="176" spans="1:4" x14ac:dyDescent="0.45">
      <c r="A176" t="s">
        <v>28</v>
      </c>
      <c r="B176" t="s">
        <v>144</v>
      </c>
      <c r="C176">
        <v>0</v>
      </c>
      <c r="D176" t="s">
        <v>329</v>
      </c>
    </row>
    <row r="177" spans="1:4" x14ac:dyDescent="0.45">
      <c r="A177" t="s">
        <v>28</v>
      </c>
      <c r="B177" t="s">
        <v>146</v>
      </c>
      <c r="C177">
        <v>0</v>
      </c>
      <c r="D177" t="s">
        <v>330</v>
      </c>
    </row>
    <row r="178" spans="1:4" x14ac:dyDescent="0.45">
      <c r="A178" t="s">
        <v>28</v>
      </c>
      <c r="B178" t="s">
        <v>148</v>
      </c>
      <c r="C178">
        <v>1</v>
      </c>
      <c r="D178" t="s">
        <v>331</v>
      </c>
    </row>
    <row r="179" spans="1:4" x14ac:dyDescent="0.45">
      <c r="A179" t="s">
        <v>28</v>
      </c>
      <c r="B179" t="s">
        <v>150</v>
      </c>
      <c r="C179">
        <v>1</v>
      </c>
      <c r="D179" t="s">
        <v>332</v>
      </c>
    </row>
    <row r="180" spans="1:4" x14ac:dyDescent="0.45">
      <c r="A180" t="s">
        <v>28</v>
      </c>
      <c r="B180" t="s">
        <v>152</v>
      </c>
      <c r="C180">
        <v>1</v>
      </c>
      <c r="D180" t="s">
        <v>333</v>
      </c>
    </row>
    <row r="181" spans="1:4" x14ac:dyDescent="0.45">
      <c r="A181" t="s">
        <v>28</v>
      </c>
      <c r="B181" t="s">
        <v>154</v>
      </c>
      <c r="C181">
        <v>1</v>
      </c>
      <c r="D181" t="s">
        <v>334</v>
      </c>
    </row>
    <row r="182" spans="1:4" x14ac:dyDescent="0.45">
      <c r="A182" t="s">
        <v>28</v>
      </c>
      <c r="B182" t="s">
        <v>124</v>
      </c>
      <c r="C182">
        <v>0</v>
      </c>
      <c r="D182" t="s">
        <v>335</v>
      </c>
    </row>
    <row r="183" spans="1:4" x14ac:dyDescent="0.45">
      <c r="A183" t="s">
        <v>28</v>
      </c>
      <c r="B183" t="s">
        <v>157</v>
      </c>
      <c r="C183">
        <v>0</v>
      </c>
      <c r="D183" t="s">
        <v>336</v>
      </c>
    </row>
    <row r="184" spans="1:4" x14ac:dyDescent="0.45">
      <c r="A184" t="s">
        <v>28</v>
      </c>
      <c r="B184" t="s">
        <v>159</v>
      </c>
      <c r="C184">
        <v>1</v>
      </c>
      <c r="D184" t="s">
        <v>337</v>
      </c>
    </row>
    <row r="185" spans="1:4" x14ac:dyDescent="0.45">
      <c r="A185" t="s">
        <v>28</v>
      </c>
      <c r="B185" t="s">
        <v>161</v>
      </c>
      <c r="C185">
        <v>0</v>
      </c>
      <c r="D185" t="s">
        <v>338</v>
      </c>
    </row>
    <row r="186" spans="1:4" x14ac:dyDescent="0.45">
      <c r="A186" t="s">
        <v>28</v>
      </c>
      <c r="B186" t="s">
        <v>163</v>
      </c>
      <c r="C186">
        <v>0</v>
      </c>
      <c r="D186" t="s">
        <v>339</v>
      </c>
    </row>
    <row r="187" spans="1:4" x14ac:dyDescent="0.45">
      <c r="A187" t="s">
        <v>28</v>
      </c>
      <c r="B187" t="s">
        <v>165</v>
      </c>
      <c r="C187">
        <v>0.15</v>
      </c>
      <c r="D187" t="s">
        <v>340</v>
      </c>
    </row>
    <row r="188" spans="1:4" x14ac:dyDescent="0.45">
      <c r="A188" t="s">
        <v>28</v>
      </c>
      <c r="B188" t="s">
        <v>167</v>
      </c>
      <c r="C188">
        <v>0.15</v>
      </c>
      <c r="D188" t="s">
        <v>341</v>
      </c>
    </row>
    <row r="189" spans="1:4" x14ac:dyDescent="0.45">
      <c r="A189" t="s">
        <v>28</v>
      </c>
      <c r="B189" t="s">
        <v>169</v>
      </c>
      <c r="C189">
        <v>1</v>
      </c>
      <c r="D189" t="s">
        <v>342</v>
      </c>
    </row>
    <row r="190" spans="1:4" x14ac:dyDescent="0.45">
      <c r="A190" t="s">
        <v>28</v>
      </c>
      <c r="B190" t="s">
        <v>171</v>
      </c>
      <c r="C190">
        <v>1</v>
      </c>
      <c r="D190" t="s">
        <v>343</v>
      </c>
    </row>
    <row r="191" spans="1:4" x14ac:dyDescent="0.45">
      <c r="A191" t="s">
        <v>28</v>
      </c>
      <c r="B191" t="s">
        <v>173</v>
      </c>
      <c r="C191">
        <v>0</v>
      </c>
      <c r="D191" t="s">
        <v>344</v>
      </c>
    </row>
    <row r="192" spans="1:4" x14ac:dyDescent="0.45">
      <c r="A192" t="s">
        <v>28</v>
      </c>
      <c r="B192" t="s">
        <v>175</v>
      </c>
      <c r="C192">
        <v>1</v>
      </c>
      <c r="D192" t="s">
        <v>345</v>
      </c>
    </row>
    <row r="193" spans="1:4" x14ac:dyDescent="0.45">
      <c r="A193" t="s">
        <v>28</v>
      </c>
      <c r="B193" t="s">
        <v>177</v>
      </c>
      <c r="C193">
        <v>1</v>
      </c>
      <c r="D193" t="s">
        <v>346</v>
      </c>
    </row>
    <row r="194" spans="1:4" x14ac:dyDescent="0.45">
      <c r="A194" t="s">
        <v>32</v>
      </c>
      <c r="B194" t="s">
        <v>121</v>
      </c>
      <c r="C194">
        <v>0</v>
      </c>
      <c r="D194" t="s">
        <v>347</v>
      </c>
    </row>
    <row r="195" spans="1:4" x14ac:dyDescent="0.45">
      <c r="A195" t="s">
        <v>32</v>
      </c>
      <c r="B195" t="s">
        <v>134</v>
      </c>
      <c r="C195">
        <v>0</v>
      </c>
      <c r="D195" t="s">
        <v>348</v>
      </c>
    </row>
    <row r="196" spans="1:4" x14ac:dyDescent="0.45">
      <c r="A196" t="s">
        <v>32</v>
      </c>
      <c r="B196" t="s">
        <v>136</v>
      </c>
      <c r="C196">
        <v>0</v>
      </c>
      <c r="D196" t="s">
        <v>349</v>
      </c>
    </row>
    <row r="197" spans="1:4" x14ac:dyDescent="0.45">
      <c r="A197" t="s">
        <v>32</v>
      </c>
      <c r="B197" t="s">
        <v>138</v>
      </c>
      <c r="C197">
        <v>1</v>
      </c>
      <c r="D197" t="s">
        <v>350</v>
      </c>
    </row>
    <row r="198" spans="1:4" x14ac:dyDescent="0.45">
      <c r="A198" t="s">
        <v>32</v>
      </c>
      <c r="B198" t="s">
        <v>140</v>
      </c>
      <c r="C198">
        <v>0.9</v>
      </c>
      <c r="D198" t="s">
        <v>351</v>
      </c>
    </row>
    <row r="199" spans="1:4" x14ac:dyDescent="0.45">
      <c r="A199" t="s">
        <v>32</v>
      </c>
      <c r="B199" t="s">
        <v>142</v>
      </c>
      <c r="C199">
        <v>0</v>
      </c>
      <c r="D199" t="s">
        <v>352</v>
      </c>
    </row>
    <row r="200" spans="1:4" x14ac:dyDescent="0.45">
      <c r="A200" t="s">
        <v>32</v>
      </c>
      <c r="B200" t="s">
        <v>144</v>
      </c>
      <c r="C200">
        <v>0</v>
      </c>
      <c r="D200" t="s">
        <v>353</v>
      </c>
    </row>
    <row r="201" spans="1:4" x14ac:dyDescent="0.45">
      <c r="A201" t="s">
        <v>32</v>
      </c>
      <c r="B201" t="s">
        <v>146</v>
      </c>
      <c r="C201">
        <v>0</v>
      </c>
      <c r="D201" t="s">
        <v>354</v>
      </c>
    </row>
    <row r="202" spans="1:4" x14ac:dyDescent="0.45">
      <c r="A202" t="s">
        <v>32</v>
      </c>
      <c r="B202" t="s">
        <v>148</v>
      </c>
      <c r="C202">
        <v>1</v>
      </c>
      <c r="D202" t="s">
        <v>355</v>
      </c>
    </row>
    <row r="203" spans="1:4" x14ac:dyDescent="0.45">
      <c r="A203" t="s">
        <v>32</v>
      </c>
      <c r="B203" t="s">
        <v>150</v>
      </c>
      <c r="C203">
        <v>1</v>
      </c>
      <c r="D203" t="s">
        <v>356</v>
      </c>
    </row>
    <row r="204" spans="1:4" x14ac:dyDescent="0.45">
      <c r="A204" t="s">
        <v>32</v>
      </c>
      <c r="B204" t="s">
        <v>152</v>
      </c>
      <c r="C204">
        <v>1</v>
      </c>
      <c r="D204" t="s">
        <v>357</v>
      </c>
    </row>
    <row r="205" spans="1:4" x14ac:dyDescent="0.45">
      <c r="A205" t="s">
        <v>32</v>
      </c>
      <c r="B205" t="s">
        <v>154</v>
      </c>
      <c r="C205">
        <v>1</v>
      </c>
      <c r="D205" t="s">
        <v>358</v>
      </c>
    </row>
    <row r="206" spans="1:4" x14ac:dyDescent="0.45">
      <c r="A206" t="s">
        <v>32</v>
      </c>
      <c r="B206" t="s">
        <v>124</v>
      </c>
      <c r="C206">
        <v>0</v>
      </c>
      <c r="D206" t="s">
        <v>359</v>
      </c>
    </row>
    <row r="207" spans="1:4" x14ac:dyDescent="0.45">
      <c r="A207" t="s">
        <v>32</v>
      </c>
      <c r="B207" t="s">
        <v>157</v>
      </c>
      <c r="C207">
        <v>0</v>
      </c>
      <c r="D207" t="s">
        <v>360</v>
      </c>
    </row>
    <row r="208" spans="1:4" x14ac:dyDescent="0.45">
      <c r="A208" t="s">
        <v>32</v>
      </c>
      <c r="B208" t="s">
        <v>159</v>
      </c>
      <c r="C208">
        <v>1</v>
      </c>
      <c r="D208" t="s">
        <v>361</v>
      </c>
    </row>
    <row r="209" spans="1:4" x14ac:dyDescent="0.45">
      <c r="A209" t="s">
        <v>32</v>
      </c>
      <c r="B209" t="s">
        <v>161</v>
      </c>
      <c r="C209">
        <v>0</v>
      </c>
      <c r="D209" t="s">
        <v>362</v>
      </c>
    </row>
    <row r="210" spans="1:4" x14ac:dyDescent="0.45">
      <c r="A210" t="s">
        <v>32</v>
      </c>
      <c r="B210" t="s">
        <v>163</v>
      </c>
      <c r="C210">
        <v>0</v>
      </c>
      <c r="D210" t="s">
        <v>363</v>
      </c>
    </row>
    <row r="211" spans="1:4" x14ac:dyDescent="0.45">
      <c r="A211" t="s">
        <v>32</v>
      </c>
      <c r="B211" t="s">
        <v>165</v>
      </c>
      <c r="C211">
        <v>0.15</v>
      </c>
      <c r="D211" t="s">
        <v>364</v>
      </c>
    </row>
    <row r="212" spans="1:4" x14ac:dyDescent="0.45">
      <c r="A212" t="s">
        <v>32</v>
      </c>
      <c r="B212" t="s">
        <v>167</v>
      </c>
      <c r="C212">
        <v>0.15</v>
      </c>
      <c r="D212" t="s">
        <v>365</v>
      </c>
    </row>
    <row r="213" spans="1:4" x14ac:dyDescent="0.45">
      <c r="A213" t="s">
        <v>32</v>
      </c>
      <c r="B213" t="s">
        <v>169</v>
      </c>
      <c r="C213">
        <v>1</v>
      </c>
      <c r="D213" t="s">
        <v>366</v>
      </c>
    </row>
    <row r="214" spans="1:4" x14ac:dyDescent="0.45">
      <c r="A214" t="s">
        <v>32</v>
      </c>
      <c r="B214" t="s">
        <v>171</v>
      </c>
      <c r="C214">
        <v>1</v>
      </c>
      <c r="D214" t="s">
        <v>367</v>
      </c>
    </row>
    <row r="215" spans="1:4" x14ac:dyDescent="0.45">
      <c r="A215" t="s">
        <v>32</v>
      </c>
      <c r="B215" t="s">
        <v>173</v>
      </c>
      <c r="C215">
        <v>0</v>
      </c>
      <c r="D215" t="s">
        <v>368</v>
      </c>
    </row>
    <row r="216" spans="1:4" x14ac:dyDescent="0.45">
      <c r="A216" t="s">
        <v>32</v>
      </c>
      <c r="B216" t="s">
        <v>175</v>
      </c>
      <c r="C216">
        <v>1</v>
      </c>
      <c r="D216" t="s">
        <v>369</v>
      </c>
    </row>
    <row r="217" spans="1:4" x14ac:dyDescent="0.45">
      <c r="A217" t="s">
        <v>32</v>
      </c>
      <c r="B217" t="s">
        <v>177</v>
      </c>
      <c r="C217">
        <v>1</v>
      </c>
      <c r="D217" t="s">
        <v>370</v>
      </c>
    </row>
    <row r="218" spans="1:4" x14ac:dyDescent="0.45">
      <c r="A218" t="s">
        <v>42</v>
      </c>
      <c r="B218" t="s">
        <v>121</v>
      </c>
      <c r="C218">
        <v>0</v>
      </c>
      <c r="D218" t="s">
        <v>371</v>
      </c>
    </row>
    <row r="219" spans="1:4" x14ac:dyDescent="0.45">
      <c r="A219" t="s">
        <v>42</v>
      </c>
      <c r="B219" t="s">
        <v>134</v>
      </c>
      <c r="C219">
        <v>0</v>
      </c>
      <c r="D219" t="s">
        <v>372</v>
      </c>
    </row>
    <row r="220" spans="1:4" x14ac:dyDescent="0.45">
      <c r="A220" t="s">
        <v>42</v>
      </c>
      <c r="B220" t="s">
        <v>136</v>
      </c>
      <c r="C220">
        <v>0</v>
      </c>
      <c r="D220" t="s">
        <v>373</v>
      </c>
    </row>
    <row r="221" spans="1:4" x14ac:dyDescent="0.45">
      <c r="A221" t="s">
        <v>42</v>
      </c>
      <c r="B221" t="s">
        <v>138</v>
      </c>
      <c r="C221">
        <v>1</v>
      </c>
      <c r="D221" t="s">
        <v>374</v>
      </c>
    </row>
    <row r="222" spans="1:4" x14ac:dyDescent="0.45">
      <c r="A222" t="s">
        <v>42</v>
      </c>
      <c r="B222" t="s">
        <v>140</v>
      </c>
      <c r="C222">
        <v>0.9</v>
      </c>
      <c r="D222" t="s">
        <v>375</v>
      </c>
    </row>
    <row r="223" spans="1:4" x14ac:dyDescent="0.45">
      <c r="A223" t="s">
        <v>42</v>
      </c>
      <c r="B223" t="s">
        <v>142</v>
      </c>
      <c r="C223">
        <v>0</v>
      </c>
      <c r="D223" t="s">
        <v>376</v>
      </c>
    </row>
    <row r="224" spans="1:4" x14ac:dyDescent="0.45">
      <c r="A224" t="s">
        <v>42</v>
      </c>
      <c r="B224" t="s">
        <v>144</v>
      </c>
      <c r="C224">
        <v>0</v>
      </c>
      <c r="D224" t="s">
        <v>377</v>
      </c>
    </row>
    <row r="225" spans="1:4" x14ac:dyDescent="0.45">
      <c r="A225" t="s">
        <v>42</v>
      </c>
      <c r="B225" t="s">
        <v>146</v>
      </c>
      <c r="C225">
        <v>0</v>
      </c>
      <c r="D225" t="s">
        <v>378</v>
      </c>
    </row>
    <row r="226" spans="1:4" x14ac:dyDescent="0.45">
      <c r="A226" t="s">
        <v>42</v>
      </c>
      <c r="B226" t="s">
        <v>148</v>
      </c>
      <c r="C226">
        <v>1</v>
      </c>
      <c r="D226" t="s">
        <v>379</v>
      </c>
    </row>
    <row r="227" spans="1:4" x14ac:dyDescent="0.45">
      <c r="A227" t="s">
        <v>42</v>
      </c>
      <c r="B227" t="s">
        <v>150</v>
      </c>
      <c r="C227">
        <v>1</v>
      </c>
      <c r="D227" t="s">
        <v>380</v>
      </c>
    </row>
    <row r="228" spans="1:4" x14ac:dyDescent="0.45">
      <c r="A228" t="s">
        <v>42</v>
      </c>
      <c r="B228" t="s">
        <v>152</v>
      </c>
      <c r="C228">
        <v>1</v>
      </c>
      <c r="D228" t="s">
        <v>381</v>
      </c>
    </row>
    <row r="229" spans="1:4" x14ac:dyDescent="0.45">
      <c r="A229" t="s">
        <v>42</v>
      </c>
      <c r="B229" t="s">
        <v>154</v>
      </c>
      <c r="C229">
        <v>1</v>
      </c>
      <c r="D229" t="s">
        <v>382</v>
      </c>
    </row>
    <row r="230" spans="1:4" x14ac:dyDescent="0.45">
      <c r="A230" t="s">
        <v>42</v>
      </c>
      <c r="B230" t="s">
        <v>124</v>
      </c>
      <c r="C230">
        <v>0</v>
      </c>
      <c r="D230" t="s">
        <v>383</v>
      </c>
    </row>
    <row r="231" spans="1:4" x14ac:dyDescent="0.45">
      <c r="A231" t="s">
        <v>42</v>
      </c>
      <c r="B231" t="s">
        <v>157</v>
      </c>
      <c r="C231">
        <v>0</v>
      </c>
      <c r="D231" t="s">
        <v>384</v>
      </c>
    </row>
    <row r="232" spans="1:4" x14ac:dyDescent="0.45">
      <c r="A232" t="s">
        <v>42</v>
      </c>
      <c r="B232" t="s">
        <v>159</v>
      </c>
      <c r="C232">
        <v>1</v>
      </c>
      <c r="D232" t="s">
        <v>385</v>
      </c>
    </row>
    <row r="233" spans="1:4" x14ac:dyDescent="0.45">
      <c r="A233" t="s">
        <v>42</v>
      </c>
      <c r="B233" t="s">
        <v>161</v>
      </c>
      <c r="C233">
        <v>0</v>
      </c>
      <c r="D233" t="s">
        <v>386</v>
      </c>
    </row>
    <row r="234" spans="1:4" x14ac:dyDescent="0.45">
      <c r="A234" t="s">
        <v>42</v>
      </c>
      <c r="B234" t="s">
        <v>163</v>
      </c>
      <c r="C234">
        <v>0</v>
      </c>
      <c r="D234" t="s">
        <v>387</v>
      </c>
    </row>
    <row r="235" spans="1:4" x14ac:dyDescent="0.45">
      <c r="A235" t="s">
        <v>42</v>
      </c>
      <c r="B235" t="s">
        <v>165</v>
      </c>
      <c r="C235">
        <v>0.15</v>
      </c>
      <c r="D235" t="s">
        <v>388</v>
      </c>
    </row>
    <row r="236" spans="1:4" x14ac:dyDescent="0.45">
      <c r="A236" t="s">
        <v>42</v>
      </c>
      <c r="B236" t="s">
        <v>167</v>
      </c>
      <c r="C236">
        <v>0.15</v>
      </c>
      <c r="D236" t="s">
        <v>389</v>
      </c>
    </row>
    <row r="237" spans="1:4" x14ac:dyDescent="0.45">
      <c r="A237" t="s">
        <v>42</v>
      </c>
      <c r="B237" t="s">
        <v>169</v>
      </c>
      <c r="C237">
        <v>1</v>
      </c>
      <c r="D237" t="s">
        <v>390</v>
      </c>
    </row>
    <row r="238" spans="1:4" x14ac:dyDescent="0.45">
      <c r="A238" t="s">
        <v>42</v>
      </c>
      <c r="B238" t="s">
        <v>171</v>
      </c>
      <c r="C238">
        <v>1</v>
      </c>
      <c r="D238" t="s">
        <v>391</v>
      </c>
    </row>
    <row r="239" spans="1:4" x14ac:dyDescent="0.45">
      <c r="A239" t="s">
        <v>42</v>
      </c>
      <c r="B239" t="s">
        <v>173</v>
      </c>
      <c r="C239">
        <v>0</v>
      </c>
      <c r="D239" t="s">
        <v>392</v>
      </c>
    </row>
    <row r="240" spans="1:4" x14ac:dyDescent="0.45">
      <c r="A240" t="s">
        <v>42</v>
      </c>
      <c r="B240" t="s">
        <v>175</v>
      </c>
      <c r="C240">
        <v>1</v>
      </c>
      <c r="D240" t="s">
        <v>393</v>
      </c>
    </row>
    <row r="241" spans="1:4" x14ac:dyDescent="0.45">
      <c r="A241" t="s">
        <v>42</v>
      </c>
      <c r="B241" t="s">
        <v>177</v>
      </c>
      <c r="C241">
        <v>1</v>
      </c>
      <c r="D241" t="s">
        <v>394</v>
      </c>
    </row>
    <row r="242" spans="1:4" x14ac:dyDescent="0.45">
      <c r="A242" t="s">
        <v>36</v>
      </c>
      <c r="B242" t="s">
        <v>121</v>
      </c>
      <c r="C242">
        <v>0</v>
      </c>
      <c r="D242" t="s">
        <v>395</v>
      </c>
    </row>
    <row r="243" spans="1:4" x14ac:dyDescent="0.45">
      <c r="A243" t="s">
        <v>36</v>
      </c>
      <c r="B243" t="s">
        <v>134</v>
      </c>
      <c r="C243">
        <v>0</v>
      </c>
      <c r="D243" t="s">
        <v>396</v>
      </c>
    </row>
    <row r="244" spans="1:4" x14ac:dyDescent="0.45">
      <c r="A244" t="s">
        <v>36</v>
      </c>
      <c r="B244" t="s">
        <v>136</v>
      </c>
      <c r="C244">
        <v>0</v>
      </c>
      <c r="D244" t="s">
        <v>397</v>
      </c>
    </row>
    <row r="245" spans="1:4" x14ac:dyDescent="0.45">
      <c r="A245" t="s">
        <v>36</v>
      </c>
      <c r="B245" t="s">
        <v>138</v>
      </c>
      <c r="C245">
        <v>1</v>
      </c>
      <c r="D245" t="s">
        <v>398</v>
      </c>
    </row>
    <row r="246" spans="1:4" x14ac:dyDescent="0.45">
      <c r="A246" t="s">
        <v>36</v>
      </c>
      <c r="B246" t="s">
        <v>140</v>
      </c>
      <c r="C246">
        <v>1</v>
      </c>
      <c r="D246" t="s">
        <v>399</v>
      </c>
    </row>
    <row r="247" spans="1:4" x14ac:dyDescent="0.45">
      <c r="A247" t="s">
        <v>36</v>
      </c>
      <c r="B247" t="s">
        <v>142</v>
      </c>
      <c r="C247">
        <v>0</v>
      </c>
      <c r="D247" t="s">
        <v>400</v>
      </c>
    </row>
    <row r="248" spans="1:4" x14ac:dyDescent="0.45">
      <c r="A248" t="s">
        <v>36</v>
      </c>
      <c r="B248" t="s">
        <v>144</v>
      </c>
      <c r="C248">
        <v>0</v>
      </c>
      <c r="D248" t="s">
        <v>401</v>
      </c>
    </row>
    <row r="249" spans="1:4" x14ac:dyDescent="0.45">
      <c r="A249" t="s">
        <v>36</v>
      </c>
      <c r="B249" t="s">
        <v>146</v>
      </c>
      <c r="C249">
        <v>0</v>
      </c>
      <c r="D249" t="s">
        <v>402</v>
      </c>
    </row>
    <row r="250" spans="1:4" x14ac:dyDescent="0.45">
      <c r="A250" t="s">
        <v>36</v>
      </c>
      <c r="B250" t="s">
        <v>148</v>
      </c>
      <c r="C250">
        <v>1</v>
      </c>
      <c r="D250" t="s">
        <v>403</v>
      </c>
    </row>
    <row r="251" spans="1:4" x14ac:dyDescent="0.45">
      <c r="A251" t="s">
        <v>36</v>
      </c>
      <c r="B251" t="s">
        <v>150</v>
      </c>
      <c r="C251">
        <v>1</v>
      </c>
      <c r="D251" t="s">
        <v>404</v>
      </c>
    </row>
    <row r="252" spans="1:4" x14ac:dyDescent="0.45">
      <c r="A252" t="s">
        <v>36</v>
      </c>
      <c r="B252" t="s">
        <v>152</v>
      </c>
      <c r="C252">
        <v>1</v>
      </c>
      <c r="D252" t="s">
        <v>405</v>
      </c>
    </row>
    <row r="253" spans="1:4" x14ac:dyDescent="0.45">
      <c r="A253" t="s">
        <v>36</v>
      </c>
      <c r="B253" t="s">
        <v>154</v>
      </c>
      <c r="C253">
        <v>1</v>
      </c>
      <c r="D253" t="s">
        <v>406</v>
      </c>
    </row>
    <row r="254" spans="1:4" x14ac:dyDescent="0.45">
      <c r="A254" t="s">
        <v>36</v>
      </c>
      <c r="B254" t="s">
        <v>124</v>
      </c>
      <c r="C254">
        <v>0</v>
      </c>
      <c r="D254" t="s">
        <v>407</v>
      </c>
    </row>
    <row r="255" spans="1:4" x14ac:dyDescent="0.45">
      <c r="A255" t="s">
        <v>36</v>
      </c>
      <c r="B255" t="s">
        <v>157</v>
      </c>
      <c r="C255">
        <v>0</v>
      </c>
      <c r="D255" t="s">
        <v>408</v>
      </c>
    </row>
    <row r="256" spans="1:4" x14ac:dyDescent="0.45">
      <c r="A256" t="s">
        <v>36</v>
      </c>
      <c r="B256" t="s">
        <v>159</v>
      </c>
      <c r="C256">
        <v>1</v>
      </c>
      <c r="D256" t="s">
        <v>409</v>
      </c>
    </row>
    <row r="257" spans="1:4" x14ac:dyDescent="0.45">
      <c r="A257" t="s">
        <v>36</v>
      </c>
      <c r="B257" t="s">
        <v>161</v>
      </c>
      <c r="C257">
        <v>0</v>
      </c>
      <c r="D257" t="s">
        <v>410</v>
      </c>
    </row>
    <row r="258" spans="1:4" x14ac:dyDescent="0.45">
      <c r="A258" t="s">
        <v>36</v>
      </c>
      <c r="B258" t="s">
        <v>163</v>
      </c>
      <c r="C258">
        <v>0</v>
      </c>
      <c r="D258" t="s">
        <v>411</v>
      </c>
    </row>
    <row r="259" spans="1:4" x14ac:dyDescent="0.45">
      <c r="A259" t="s">
        <v>36</v>
      </c>
      <c r="B259" t="s">
        <v>165</v>
      </c>
      <c r="C259">
        <v>0.15</v>
      </c>
      <c r="D259" t="s">
        <v>412</v>
      </c>
    </row>
    <row r="260" spans="1:4" x14ac:dyDescent="0.45">
      <c r="A260" t="s">
        <v>36</v>
      </c>
      <c r="B260" t="s">
        <v>167</v>
      </c>
      <c r="C260">
        <v>0.15</v>
      </c>
      <c r="D260" t="s">
        <v>413</v>
      </c>
    </row>
    <row r="261" spans="1:4" x14ac:dyDescent="0.45">
      <c r="A261" t="s">
        <v>36</v>
      </c>
      <c r="B261" t="s">
        <v>169</v>
      </c>
      <c r="C261">
        <v>1</v>
      </c>
      <c r="D261" t="s">
        <v>414</v>
      </c>
    </row>
    <row r="262" spans="1:4" x14ac:dyDescent="0.45">
      <c r="A262" t="s">
        <v>36</v>
      </c>
      <c r="B262" t="s">
        <v>171</v>
      </c>
      <c r="C262">
        <v>1</v>
      </c>
      <c r="D262" t="s">
        <v>415</v>
      </c>
    </row>
    <row r="263" spans="1:4" x14ac:dyDescent="0.45">
      <c r="A263" t="s">
        <v>36</v>
      </c>
      <c r="B263" t="s">
        <v>173</v>
      </c>
      <c r="C263">
        <v>0</v>
      </c>
      <c r="D263" t="s">
        <v>416</v>
      </c>
    </row>
    <row r="264" spans="1:4" x14ac:dyDescent="0.45">
      <c r="A264" t="s">
        <v>36</v>
      </c>
      <c r="B264" t="s">
        <v>175</v>
      </c>
      <c r="C264">
        <v>1</v>
      </c>
      <c r="D264" t="s">
        <v>417</v>
      </c>
    </row>
    <row r="265" spans="1:4" x14ac:dyDescent="0.45">
      <c r="A265" t="s">
        <v>36</v>
      </c>
      <c r="B265" t="s">
        <v>177</v>
      </c>
      <c r="C265">
        <v>1</v>
      </c>
      <c r="D265" t="s">
        <v>418</v>
      </c>
    </row>
    <row r="266" spans="1:4" x14ac:dyDescent="0.45">
      <c r="A266" t="s">
        <v>38</v>
      </c>
      <c r="B266" t="s">
        <v>121</v>
      </c>
      <c r="C266">
        <v>0</v>
      </c>
      <c r="D266" t="s">
        <v>419</v>
      </c>
    </row>
    <row r="267" spans="1:4" x14ac:dyDescent="0.45">
      <c r="A267" t="s">
        <v>38</v>
      </c>
      <c r="B267" t="s">
        <v>134</v>
      </c>
      <c r="C267">
        <v>0</v>
      </c>
      <c r="D267" t="s">
        <v>420</v>
      </c>
    </row>
    <row r="268" spans="1:4" x14ac:dyDescent="0.45">
      <c r="A268" t="s">
        <v>38</v>
      </c>
      <c r="B268" t="s">
        <v>136</v>
      </c>
      <c r="C268">
        <v>0</v>
      </c>
      <c r="D268" t="s">
        <v>421</v>
      </c>
    </row>
    <row r="269" spans="1:4" x14ac:dyDescent="0.45">
      <c r="A269" t="s">
        <v>38</v>
      </c>
      <c r="B269" t="s">
        <v>138</v>
      </c>
      <c r="C269">
        <v>1</v>
      </c>
      <c r="D269" t="s">
        <v>422</v>
      </c>
    </row>
    <row r="270" spans="1:4" x14ac:dyDescent="0.45">
      <c r="A270" t="s">
        <v>38</v>
      </c>
      <c r="B270" t="s">
        <v>140</v>
      </c>
      <c r="C270">
        <v>0.9</v>
      </c>
      <c r="D270" t="s">
        <v>423</v>
      </c>
    </row>
    <row r="271" spans="1:4" x14ac:dyDescent="0.45">
      <c r="A271" t="s">
        <v>38</v>
      </c>
      <c r="B271" t="s">
        <v>142</v>
      </c>
      <c r="C271">
        <v>0</v>
      </c>
      <c r="D271" t="s">
        <v>424</v>
      </c>
    </row>
    <row r="272" spans="1:4" x14ac:dyDescent="0.45">
      <c r="A272" t="s">
        <v>38</v>
      </c>
      <c r="B272" t="s">
        <v>144</v>
      </c>
      <c r="C272">
        <v>0</v>
      </c>
      <c r="D272" t="s">
        <v>425</v>
      </c>
    </row>
    <row r="273" spans="1:4" x14ac:dyDescent="0.45">
      <c r="A273" t="s">
        <v>38</v>
      </c>
      <c r="B273" t="s">
        <v>146</v>
      </c>
      <c r="C273">
        <v>0</v>
      </c>
      <c r="D273" t="s">
        <v>426</v>
      </c>
    </row>
    <row r="274" spans="1:4" x14ac:dyDescent="0.45">
      <c r="A274" t="s">
        <v>38</v>
      </c>
      <c r="B274" t="s">
        <v>148</v>
      </c>
      <c r="C274">
        <v>1</v>
      </c>
      <c r="D274" t="s">
        <v>427</v>
      </c>
    </row>
    <row r="275" spans="1:4" x14ac:dyDescent="0.45">
      <c r="A275" t="s">
        <v>38</v>
      </c>
      <c r="B275" t="s">
        <v>150</v>
      </c>
      <c r="C275">
        <v>1</v>
      </c>
      <c r="D275" t="s">
        <v>428</v>
      </c>
    </row>
    <row r="276" spans="1:4" x14ac:dyDescent="0.45">
      <c r="A276" t="s">
        <v>38</v>
      </c>
      <c r="B276" t="s">
        <v>152</v>
      </c>
      <c r="C276">
        <v>1</v>
      </c>
      <c r="D276" t="s">
        <v>429</v>
      </c>
    </row>
    <row r="277" spans="1:4" x14ac:dyDescent="0.45">
      <c r="A277" t="s">
        <v>38</v>
      </c>
      <c r="B277" t="s">
        <v>154</v>
      </c>
      <c r="C277">
        <v>1</v>
      </c>
      <c r="D277" t="s">
        <v>430</v>
      </c>
    </row>
    <row r="278" spans="1:4" x14ac:dyDescent="0.45">
      <c r="A278" t="s">
        <v>38</v>
      </c>
      <c r="B278" t="s">
        <v>124</v>
      </c>
      <c r="C278">
        <v>0</v>
      </c>
      <c r="D278" t="s">
        <v>431</v>
      </c>
    </row>
    <row r="279" spans="1:4" x14ac:dyDescent="0.45">
      <c r="A279" t="s">
        <v>38</v>
      </c>
      <c r="B279" t="s">
        <v>157</v>
      </c>
      <c r="C279">
        <v>0</v>
      </c>
      <c r="D279" t="s">
        <v>432</v>
      </c>
    </row>
    <row r="280" spans="1:4" x14ac:dyDescent="0.45">
      <c r="A280" t="s">
        <v>38</v>
      </c>
      <c r="B280" t="s">
        <v>159</v>
      </c>
      <c r="C280">
        <v>1</v>
      </c>
      <c r="D280" t="s">
        <v>433</v>
      </c>
    </row>
    <row r="281" spans="1:4" x14ac:dyDescent="0.45">
      <c r="A281" t="s">
        <v>38</v>
      </c>
      <c r="B281" t="s">
        <v>161</v>
      </c>
      <c r="C281">
        <v>0</v>
      </c>
      <c r="D281" t="s">
        <v>434</v>
      </c>
    </row>
    <row r="282" spans="1:4" x14ac:dyDescent="0.45">
      <c r="A282" t="s">
        <v>38</v>
      </c>
      <c r="B282" t="s">
        <v>163</v>
      </c>
      <c r="C282">
        <v>0</v>
      </c>
      <c r="D282" t="s">
        <v>435</v>
      </c>
    </row>
    <row r="283" spans="1:4" x14ac:dyDescent="0.45">
      <c r="A283" t="s">
        <v>38</v>
      </c>
      <c r="B283" t="s">
        <v>165</v>
      </c>
      <c r="C283">
        <v>0.15</v>
      </c>
      <c r="D283" t="s">
        <v>436</v>
      </c>
    </row>
    <row r="284" spans="1:4" x14ac:dyDescent="0.45">
      <c r="A284" t="s">
        <v>38</v>
      </c>
      <c r="B284" t="s">
        <v>167</v>
      </c>
      <c r="C284">
        <v>0.15</v>
      </c>
      <c r="D284" t="s">
        <v>437</v>
      </c>
    </row>
    <row r="285" spans="1:4" x14ac:dyDescent="0.45">
      <c r="A285" t="s">
        <v>38</v>
      </c>
      <c r="B285" t="s">
        <v>169</v>
      </c>
      <c r="C285">
        <v>1</v>
      </c>
      <c r="D285" t="s">
        <v>438</v>
      </c>
    </row>
    <row r="286" spans="1:4" x14ac:dyDescent="0.45">
      <c r="A286" t="s">
        <v>38</v>
      </c>
      <c r="B286" t="s">
        <v>171</v>
      </c>
      <c r="C286">
        <v>1</v>
      </c>
      <c r="D286" t="s">
        <v>439</v>
      </c>
    </row>
    <row r="287" spans="1:4" x14ac:dyDescent="0.45">
      <c r="A287" t="s">
        <v>38</v>
      </c>
      <c r="B287" t="s">
        <v>173</v>
      </c>
      <c r="C287">
        <v>0</v>
      </c>
      <c r="D287" t="s">
        <v>440</v>
      </c>
    </row>
    <row r="288" spans="1:4" x14ac:dyDescent="0.45">
      <c r="A288" t="s">
        <v>38</v>
      </c>
      <c r="B288" t="s">
        <v>175</v>
      </c>
      <c r="C288">
        <v>1</v>
      </c>
      <c r="D288" t="s">
        <v>441</v>
      </c>
    </row>
    <row r="289" spans="1:4" x14ac:dyDescent="0.45">
      <c r="A289" t="s">
        <v>38</v>
      </c>
      <c r="B289" t="s">
        <v>177</v>
      </c>
      <c r="C289">
        <v>1</v>
      </c>
      <c r="D289" t="s">
        <v>442</v>
      </c>
    </row>
    <row r="290" spans="1:4" x14ac:dyDescent="0.45">
      <c r="A290" t="s">
        <v>40</v>
      </c>
      <c r="B290" t="s">
        <v>121</v>
      </c>
      <c r="C290">
        <v>0</v>
      </c>
      <c r="D290" t="s">
        <v>443</v>
      </c>
    </row>
    <row r="291" spans="1:4" x14ac:dyDescent="0.45">
      <c r="A291" t="s">
        <v>40</v>
      </c>
      <c r="B291" t="s">
        <v>134</v>
      </c>
      <c r="C291">
        <v>0</v>
      </c>
      <c r="D291" t="s">
        <v>444</v>
      </c>
    </row>
    <row r="292" spans="1:4" x14ac:dyDescent="0.45">
      <c r="A292" t="s">
        <v>40</v>
      </c>
      <c r="B292" t="s">
        <v>136</v>
      </c>
      <c r="C292">
        <v>0</v>
      </c>
      <c r="D292" t="s">
        <v>445</v>
      </c>
    </row>
    <row r="293" spans="1:4" x14ac:dyDescent="0.45">
      <c r="A293" t="s">
        <v>40</v>
      </c>
      <c r="B293" t="s">
        <v>138</v>
      </c>
      <c r="C293">
        <v>1</v>
      </c>
      <c r="D293" t="s">
        <v>446</v>
      </c>
    </row>
    <row r="294" spans="1:4" x14ac:dyDescent="0.45">
      <c r="A294" t="s">
        <v>40</v>
      </c>
      <c r="B294" t="s">
        <v>140</v>
      </c>
      <c r="C294">
        <v>0.9</v>
      </c>
      <c r="D294" t="s">
        <v>447</v>
      </c>
    </row>
    <row r="295" spans="1:4" x14ac:dyDescent="0.45">
      <c r="A295" t="s">
        <v>40</v>
      </c>
      <c r="B295" t="s">
        <v>142</v>
      </c>
      <c r="C295">
        <v>0</v>
      </c>
      <c r="D295" t="s">
        <v>448</v>
      </c>
    </row>
    <row r="296" spans="1:4" x14ac:dyDescent="0.45">
      <c r="A296" t="s">
        <v>40</v>
      </c>
      <c r="B296" t="s">
        <v>144</v>
      </c>
      <c r="C296">
        <v>0</v>
      </c>
      <c r="D296" t="s">
        <v>449</v>
      </c>
    </row>
    <row r="297" spans="1:4" x14ac:dyDescent="0.45">
      <c r="A297" t="s">
        <v>40</v>
      </c>
      <c r="B297" t="s">
        <v>146</v>
      </c>
      <c r="C297">
        <v>0</v>
      </c>
      <c r="D297" t="s">
        <v>450</v>
      </c>
    </row>
    <row r="298" spans="1:4" x14ac:dyDescent="0.45">
      <c r="A298" t="s">
        <v>40</v>
      </c>
      <c r="B298" t="s">
        <v>148</v>
      </c>
      <c r="C298">
        <v>1</v>
      </c>
      <c r="D298" t="s">
        <v>451</v>
      </c>
    </row>
    <row r="299" spans="1:4" x14ac:dyDescent="0.45">
      <c r="A299" t="s">
        <v>40</v>
      </c>
      <c r="B299" t="s">
        <v>150</v>
      </c>
      <c r="C299">
        <v>1</v>
      </c>
      <c r="D299" t="s">
        <v>452</v>
      </c>
    </row>
    <row r="300" spans="1:4" x14ac:dyDescent="0.45">
      <c r="A300" t="s">
        <v>40</v>
      </c>
      <c r="B300" t="s">
        <v>152</v>
      </c>
      <c r="C300">
        <v>1</v>
      </c>
      <c r="D300" t="s">
        <v>453</v>
      </c>
    </row>
    <row r="301" spans="1:4" x14ac:dyDescent="0.45">
      <c r="A301" t="s">
        <v>40</v>
      </c>
      <c r="B301" t="s">
        <v>154</v>
      </c>
      <c r="C301">
        <v>1</v>
      </c>
      <c r="D301" t="s">
        <v>454</v>
      </c>
    </row>
    <row r="302" spans="1:4" x14ac:dyDescent="0.45">
      <c r="A302" t="s">
        <v>40</v>
      </c>
      <c r="B302" t="s">
        <v>124</v>
      </c>
      <c r="C302">
        <v>0</v>
      </c>
      <c r="D302" t="s">
        <v>455</v>
      </c>
    </row>
    <row r="303" spans="1:4" x14ac:dyDescent="0.45">
      <c r="A303" t="s">
        <v>40</v>
      </c>
      <c r="B303" t="s">
        <v>157</v>
      </c>
      <c r="C303">
        <v>0</v>
      </c>
      <c r="D303" t="s">
        <v>456</v>
      </c>
    </row>
    <row r="304" spans="1:4" x14ac:dyDescent="0.45">
      <c r="A304" t="s">
        <v>40</v>
      </c>
      <c r="B304" t="s">
        <v>159</v>
      </c>
      <c r="C304">
        <v>1</v>
      </c>
      <c r="D304" t="s">
        <v>457</v>
      </c>
    </row>
    <row r="305" spans="1:4" x14ac:dyDescent="0.45">
      <c r="A305" t="s">
        <v>40</v>
      </c>
      <c r="B305" t="s">
        <v>161</v>
      </c>
      <c r="C305">
        <v>0</v>
      </c>
      <c r="D305" t="s">
        <v>458</v>
      </c>
    </row>
    <row r="306" spans="1:4" x14ac:dyDescent="0.45">
      <c r="A306" t="s">
        <v>40</v>
      </c>
      <c r="B306" t="s">
        <v>163</v>
      </c>
      <c r="C306">
        <v>0</v>
      </c>
      <c r="D306" t="s">
        <v>459</v>
      </c>
    </row>
    <row r="307" spans="1:4" x14ac:dyDescent="0.45">
      <c r="A307" t="s">
        <v>40</v>
      </c>
      <c r="B307" t="s">
        <v>165</v>
      </c>
      <c r="C307">
        <v>0.15</v>
      </c>
      <c r="D307" t="s">
        <v>460</v>
      </c>
    </row>
    <row r="308" spans="1:4" x14ac:dyDescent="0.45">
      <c r="A308" t="s">
        <v>40</v>
      </c>
      <c r="B308" t="s">
        <v>167</v>
      </c>
      <c r="C308">
        <v>0.15</v>
      </c>
      <c r="D308" t="s">
        <v>461</v>
      </c>
    </row>
    <row r="309" spans="1:4" x14ac:dyDescent="0.45">
      <c r="A309" t="s">
        <v>40</v>
      </c>
      <c r="B309" t="s">
        <v>169</v>
      </c>
      <c r="C309">
        <v>1</v>
      </c>
      <c r="D309" t="s">
        <v>462</v>
      </c>
    </row>
    <row r="310" spans="1:4" x14ac:dyDescent="0.45">
      <c r="A310" t="s">
        <v>40</v>
      </c>
      <c r="B310" t="s">
        <v>171</v>
      </c>
      <c r="C310">
        <v>1</v>
      </c>
      <c r="D310" t="s">
        <v>463</v>
      </c>
    </row>
    <row r="311" spans="1:4" x14ac:dyDescent="0.45">
      <c r="A311" t="s">
        <v>40</v>
      </c>
      <c r="B311" t="s">
        <v>173</v>
      </c>
      <c r="C311">
        <v>0</v>
      </c>
      <c r="D311" t="s">
        <v>464</v>
      </c>
    </row>
    <row r="312" spans="1:4" x14ac:dyDescent="0.45">
      <c r="A312" t="s">
        <v>40</v>
      </c>
      <c r="B312" t="s">
        <v>175</v>
      </c>
      <c r="C312">
        <v>1</v>
      </c>
      <c r="D312" t="s">
        <v>465</v>
      </c>
    </row>
    <row r="313" spans="1:4" x14ac:dyDescent="0.45">
      <c r="A313" t="s">
        <v>40</v>
      </c>
      <c r="B313" t="s">
        <v>177</v>
      </c>
      <c r="C313">
        <v>1</v>
      </c>
      <c r="D313" t="s">
        <v>466</v>
      </c>
    </row>
    <row r="314" spans="1:4" x14ac:dyDescent="0.45">
      <c r="A314" t="s">
        <v>44</v>
      </c>
      <c r="B314" t="s">
        <v>121</v>
      </c>
      <c r="C314">
        <v>0</v>
      </c>
      <c r="D314" t="s">
        <v>467</v>
      </c>
    </row>
    <row r="315" spans="1:4" x14ac:dyDescent="0.45">
      <c r="A315" t="s">
        <v>44</v>
      </c>
      <c r="B315" t="s">
        <v>134</v>
      </c>
      <c r="C315">
        <v>0</v>
      </c>
      <c r="D315" t="s">
        <v>468</v>
      </c>
    </row>
    <row r="316" spans="1:4" x14ac:dyDescent="0.45">
      <c r="A316" t="s">
        <v>44</v>
      </c>
      <c r="B316" t="s">
        <v>136</v>
      </c>
      <c r="C316">
        <v>0</v>
      </c>
      <c r="D316" t="s">
        <v>469</v>
      </c>
    </row>
    <row r="317" spans="1:4" x14ac:dyDescent="0.45">
      <c r="A317" t="s">
        <v>44</v>
      </c>
      <c r="B317" t="s">
        <v>138</v>
      </c>
      <c r="C317">
        <v>1</v>
      </c>
      <c r="D317" t="s">
        <v>470</v>
      </c>
    </row>
    <row r="318" spans="1:4" x14ac:dyDescent="0.45">
      <c r="A318" t="s">
        <v>44</v>
      </c>
      <c r="B318" t="s">
        <v>140</v>
      </c>
      <c r="C318">
        <v>0.9</v>
      </c>
      <c r="D318" t="s">
        <v>471</v>
      </c>
    </row>
    <row r="319" spans="1:4" x14ac:dyDescent="0.45">
      <c r="A319" t="s">
        <v>44</v>
      </c>
      <c r="B319" t="s">
        <v>142</v>
      </c>
      <c r="C319">
        <v>0</v>
      </c>
      <c r="D319" t="s">
        <v>472</v>
      </c>
    </row>
    <row r="320" spans="1:4" x14ac:dyDescent="0.45">
      <c r="A320" t="s">
        <v>44</v>
      </c>
      <c r="B320" t="s">
        <v>144</v>
      </c>
      <c r="C320">
        <v>0</v>
      </c>
      <c r="D320" t="s">
        <v>473</v>
      </c>
    </row>
    <row r="321" spans="1:4" x14ac:dyDescent="0.45">
      <c r="A321" t="s">
        <v>44</v>
      </c>
      <c r="B321" t="s">
        <v>146</v>
      </c>
      <c r="C321">
        <v>0</v>
      </c>
      <c r="D321" t="s">
        <v>474</v>
      </c>
    </row>
    <row r="322" spans="1:4" x14ac:dyDescent="0.45">
      <c r="A322" t="s">
        <v>44</v>
      </c>
      <c r="B322" t="s">
        <v>148</v>
      </c>
      <c r="C322">
        <v>1</v>
      </c>
      <c r="D322" t="s">
        <v>475</v>
      </c>
    </row>
    <row r="323" spans="1:4" x14ac:dyDescent="0.45">
      <c r="A323" t="s">
        <v>44</v>
      </c>
      <c r="B323" t="s">
        <v>150</v>
      </c>
      <c r="C323">
        <v>1</v>
      </c>
      <c r="D323" t="s">
        <v>476</v>
      </c>
    </row>
    <row r="324" spans="1:4" x14ac:dyDescent="0.45">
      <c r="A324" t="s">
        <v>44</v>
      </c>
      <c r="B324" t="s">
        <v>152</v>
      </c>
      <c r="C324">
        <v>1</v>
      </c>
      <c r="D324" t="s">
        <v>477</v>
      </c>
    </row>
    <row r="325" spans="1:4" x14ac:dyDescent="0.45">
      <c r="A325" t="s">
        <v>44</v>
      </c>
      <c r="B325" t="s">
        <v>154</v>
      </c>
      <c r="C325">
        <v>1</v>
      </c>
      <c r="D325" t="s">
        <v>478</v>
      </c>
    </row>
    <row r="326" spans="1:4" x14ac:dyDescent="0.45">
      <c r="A326" t="s">
        <v>44</v>
      </c>
      <c r="B326" t="s">
        <v>124</v>
      </c>
      <c r="C326">
        <v>0</v>
      </c>
      <c r="D326" t="s">
        <v>479</v>
      </c>
    </row>
    <row r="327" spans="1:4" x14ac:dyDescent="0.45">
      <c r="A327" t="s">
        <v>44</v>
      </c>
      <c r="B327" t="s">
        <v>157</v>
      </c>
      <c r="C327">
        <v>0</v>
      </c>
      <c r="D327" t="s">
        <v>480</v>
      </c>
    </row>
    <row r="328" spans="1:4" x14ac:dyDescent="0.45">
      <c r="A328" t="s">
        <v>44</v>
      </c>
      <c r="B328" t="s">
        <v>159</v>
      </c>
      <c r="C328">
        <v>1</v>
      </c>
      <c r="D328" t="s">
        <v>481</v>
      </c>
    </row>
    <row r="329" spans="1:4" x14ac:dyDescent="0.45">
      <c r="A329" t="s">
        <v>44</v>
      </c>
      <c r="B329" t="s">
        <v>161</v>
      </c>
      <c r="C329">
        <v>0</v>
      </c>
      <c r="D329" t="s">
        <v>482</v>
      </c>
    </row>
    <row r="330" spans="1:4" x14ac:dyDescent="0.45">
      <c r="A330" t="s">
        <v>44</v>
      </c>
      <c r="B330" t="s">
        <v>163</v>
      </c>
      <c r="C330">
        <v>0</v>
      </c>
      <c r="D330" t="s">
        <v>483</v>
      </c>
    </row>
    <row r="331" spans="1:4" x14ac:dyDescent="0.45">
      <c r="A331" t="s">
        <v>44</v>
      </c>
      <c r="B331" t="s">
        <v>165</v>
      </c>
      <c r="C331">
        <v>0.15</v>
      </c>
      <c r="D331" t="s">
        <v>484</v>
      </c>
    </row>
    <row r="332" spans="1:4" x14ac:dyDescent="0.45">
      <c r="A332" t="s">
        <v>44</v>
      </c>
      <c r="B332" t="s">
        <v>167</v>
      </c>
      <c r="C332">
        <v>0.15</v>
      </c>
      <c r="D332" t="s">
        <v>485</v>
      </c>
    </row>
    <row r="333" spans="1:4" x14ac:dyDescent="0.45">
      <c r="A333" t="s">
        <v>44</v>
      </c>
      <c r="B333" t="s">
        <v>169</v>
      </c>
      <c r="C333">
        <v>1</v>
      </c>
      <c r="D333" t="s">
        <v>486</v>
      </c>
    </row>
    <row r="334" spans="1:4" x14ac:dyDescent="0.45">
      <c r="A334" t="s">
        <v>44</v>
      </c>
      <c r="B334" t="s">
        <v>171</v>
      </c>
      <c r="C334">
        <v>1</v>
      </c>
      <c r="D334" t="s">
        <v>487</v>
      </c>
    </row>
    <row r="335" spans="1:4" x14ac:dyDescent="0.45">
      <c r="A335" t="s">
        <v>44</v>
      </c>
      <c r="B335" t="s">
        <v>173</v>
      </c>
      <c r="C335">
        <v>0</v>
      </c>
      <c r="D335" t="s">
        <v>488</v>
      </c>
    </row>
    <row r="336" spans="1:4" x14ac:dyDescent="0.45">
      <c r="A336" t="s">
        <v>44</v>
      </c>
      <c r="B336" t="s">
        <v>175</v>
      </c>
      <c r="C336">
        <v>1</v>
      </c>
      <c r="D336" t="s">
        <v>489</v>
      </c>
    </row>
    <row r="337" spans="1:4" x14ac:dyDescent="0.45">
      <c r="A337" t="s">
        <v>44</v>
      </c>
      <c r="B337" t="s">
        <v>177</v>
      </c>
      <c r="C337">
        <v>1</v>
      </c>
      <c r="D337" t="s">
        <v>490</v>
      </c>
    </row>
    <row r="338" spans="1:4" x14ac:dyDescent="0.45">
      <c r="A338" t="s">
        <v>46</v>
      </c>
      <c r="B338" t="s">
        <v>121</v>
      </c>
      <c r="C338">
        <v>0</v>
      </c>
      <c r="D338" t="s">
        <v>491</v>
      </c>
    </row>
    <row r="339" spans="1:4" x14ac:dyDescent="0.45">
      <c r="A339" t="s">
        <v>46</v>
      </c>
      <c r="B339" t="s">
        <v>134</v>
      </c>
      <c r="C339">
        <v>0</v>
      </c>
      <c r="D339" t="s">
        <v>492</v>
      </c>
    </row>
    <row r="340" spans="1:4" x14ac:dyDescent="0.45">
      <c r="A340" t="s">
        <v>46</v>
      </c>
      <c r="B340" t="s">
        <v>136</v>
      </c>
      <c r="C340">
        <v>0</v>
      </c>
      <c r="D340" t="s">
        <v>493</v>
      </c>
    </row>
    <row r="341" spans="1:4" x14ac:dyDescent="0.45">
      <c r="A341" t="s">
        <v>46</v>
      </c>
      <c r="B341" t="s">
        <v>138</v>
      </c>
      <c r="C341">
        <v>1</v>
      </c>
      <c r="D341" t="s">
        <v>494</v>
      </c>
    </row>
    <row r="342" spans="1:4" x14ac:dyDescent="0.45">
      <c r="A342" t="s">
        <v>46</v>
      </c>
      <c r="B342" t="s">
        <v>140</v>
      </c>
      <c r="C342">
        <v>0.9</v>
      </c>
      <c r="D342" t="s">
        <v>495</v>
      </c>
    </row>
    <row r="343" spans="1:4" x14ac:dyDescent="0.45">
      <c r="A343" t="s">
        <v>46</v>
      </c>
      <c r="B343" t="s">
        <v>142</v>
      </c>
      <c r="C343">
        <v>0</v>
      </c>
      <c r="D343" t="s">
        <v>496</v>
      </c>
    </row>
    <row r="344" spans="1:4" x14ac:dyDescent="0.45">
      <c r="A344" t="s">
        <v>46</v>
      </c>
      <c r="B344" t="s">
        <v>144</v>
      </c>
      <c r="C344">
        <v>0</v>
      </c>
      <c r="D344" t="s">
        <v>497</v>
      </c>
    </row>
    <row r="345" spans="1:4" x14ac:dyDescent="0.45">
      <c r="A345" t="s">
        <v>46</v>
      </c>
      <c r="B345" t="s">
        <v>146</v>
      </c>
      <c r="C345">
        <v>0</v>
      </c>
      <c r="D345" t="s">
        <v>498</v>
      </c>
    </row>
    <row r="346" spans="1:4" x14ac:dyDescent="0.45">
      <c r="A346" t="s">
        <v>46</v>
      </c>
      <c r="B346" t="s">
        <v>148</v>
      </c>
      <c r="C346">
        <v>1</v>
      </c>
      <c r="D346" t="s">
        <v>499</v>
      </c>
    </row>
    <row r="347" spans="1:4" x14ac:dyDescent="0.45">
      <c r="A347" t="s">
        <v>46</v>
      </c>
      <c r="B347" t="s">
        <v>150</v>
      </c>
      <c r="C347">
        <v>1</v>
      </c>
      <c r="D347" t="s">
        <v>500</v>
      </c>
    </row>
    <row r="348" spans="1:4" x14ac:dyDescent="0.45">
      <c r="A348" t="s">
        <v>46</v>
      </c>
      <c r="B348" t="s">
        <v>152</v>
      </c>
      <c r="C348">
        <v>1</v>
      </c>
      <c r="D348" t="s">
        <v>501</v>
      </c>
    </row>
    <row r="349" spans="1:4" x14ac:dyDescent="0.45">
      <c r="A349" t="s">
        <v>46</v>
      </c>
      <c r="B349" t="s">
        <v>154</v>
      </c>
      <c r="C349">
        <v>1</v>
      </c>
      <c r="D349" t="s">
        <v>502</v>
      </c>
    </row>
    <row r="350" spans="1:4" x14ac:dyDescent="0.45">
      <c r="A350" t="s">
        <v>46</v>
      </c>
      <c r="B350" t="s">
        <v>124</v>
      </c>
      <c r="C350">
        <v>0</v>
      </c>
      <c r="D350" t="s">
        <v>503</v>
      </c>
    </row>
    <row r="351" spans="1:4" x14ac:dyDescent="0.45">
      <c r="A351" t="s">
        <v>46</v>
      </c>
      <c r="B351" t="s">
        <v>157</v>
      </c>
      <c r="C351">
        <v>0</v>
      </c>
      <c r="D351" t="s">
        <v>504</v>
      </c>
    </row>
    <row r="352" spans="1:4" x14ac:dyDescent="0.45">
      <c r="A352" t="s">
        <v>46</v>
      </c>
      <c r="B352" t="s">
        <v>159</v>
      </c>
      <c r="C352">
        <v>1</v>
      </c>
      <c r="D352" t="s">
        <v>505</v>
      </c>
    </row>
    <row r="353" spans="1:4" x14ac:dyDescent="0.45">
      <c r="A353" t="s">
        <v>46</v>
      </c>
      <c r="B353" t="s">
        <v>161</v>
      </c>
      <c r="C353">
        <v>0</v>
      </c>
      <c r="D353" t="s">
        <v>506</v>
      </c>
    </row>
    <row r="354" spans="1:4" x14ac:dyDescent="0.45">
      <c r="A354" t="s">
        <v>46</v>
      </c>
      <c r="B354" t="s">
        <v>163</v>
      </c>
      <c r="C354">
        <v>0</v>
      </c>
      <c r="D354" t="s">
        <v>507</v>
      </c>
    </row>
    <row r="355" spans="1:4" x14ac:dyDescent="0.45">
      <c r="A355" t="s">
        <v>46</v>
      </c>
      <c r="B355" t="s">
        <v>165</v>
      </c>
      <c r="C355">
        <v>0.15</v>
      </c>
      <c r="D355" t="s">
        <v>508</v>
      </c>
    </row>
    <row r="356" spans="1:4" x14ac:dyDescent="0.45">
      <c r="A356" t="s">
        <v>46</v>
      </c>
      <c r="B356" t="s">
        <v>167</v>
      </c>
      <c r="C356">
        <v>0.15</v>
      </c>
      <c r="D356" t="s">
        <v>509</v>
      </c>
    </row>
    <row r="357" spans="1:4" x14ac:dyDescent="0.45">
      <c r="A357" t="s">
        <v>46</v>
      </c>
      <c r="B357" t="s">
        <v>169</v>
      </c>
      <c r="C357">
        <v>1</v>
      </c>
      <c r="D357" t="s">
        <v>510</v>
      </c>
    </row>
    <row r="358" spans="1:4" x14ac:dyDescent="0.45">
      <c r="A358" t="s">
        <v>46</v>
      </c>
      <c r="B358" t="s">
        <v>171</v>
      </c>
      <c r="C358">
        <v>1</v>
      </c>
      <c r="D358" t="s">
        <v>511</v>
      </c>
    </row>
    <row r="359" spans="1:4" x14ac:dyDescent="0.45">
      <c r="A359" t="s">
        <v>46</v>
      </c>
      <c r="B359" t="s">
        <v>173</v>
      </c>
      <c r="C359">
        <v>0</v>
      </c>
      <c r="D359" t="s">
        <v>512</v>
      </c>
    </row>
    <row r="360" spans="1:4" x14ac:dyDescent="0.45">
      <c r="A360" t="s">
        <v>46</v>
      </c>
      <c r="B360" t="s">
        <v>175</v>
      </c>
      <c r="C360">
        <v>1</v>
      </c>
      <c r="D360" t="s">
        <v>513</v>
      </c>
    </row>
    <row r="361" spans="1:4" x14ac:dyDescent="0.45">
      <c r="A361" t="s">
        <v>46</v>
      </c>
      <c r="B361" t="s">
        <v>177</v>
      </c>
      <c r="C361">
        <v>1</v>
      </c>
      <c r="D361" t="s">
        <v>514</v>
      </c>
    </row>
    <row r="362" spans="1:4" x14ac:dyDescent="0.45">
      <c r="A362" t="s">
        <v>48</v>
      </c>
      <c r="B362" t="s">
        <v>121</v>
      </c>
      <c r="C362">
        <v>0</v>
      </c>
      <c r="D362" t="s">
        <v>515</v>
      </c>
    </row>
    <row r="363" spans="1:4" x14ac:dyDescent="0.45">
      <c r="A363" t="s">
        <v>48</v>
      </c>
      <c r="B363" t="s">
        <v>134</v>
      </c>
      <c r="C363">
        <v>0</v>
      </c>
      <c r="D363" t="s">
        <v>516</v>
      </c>
    </row>
    <row r="364" spans="1:4" x14ac:dyDescent="0.45">
      <c r="A364" t="s">
        <v>48</v>
      </c>
      <c r="B364" t="s">
        <v>136</v>
      </c>
      <c r="C364">
        <v>0</v>
      </c>
      <c r="D364" t="s">
        <v>517</v>
      </c>
    </row>
    <row r="365" spans="1:4" x14ac:dyDescent="0.45">
      <c r="A365" t="s">
        <v>48</v>
      </c>
      <c r="B365" t="s">
        <v>138</v>
      </c>
      <c r="C365">
        <v>1</v>
      </c>
      <c r="D365" t="s">
        <v>518</v>
      </c>
    </row>
    <row r="366" spans="1:4" x14ac:dyDescent="0.45">
      <c r="A366" t="s">
        <v>48</v>
      </c>
      <c r="B366" t="s">
        <v>140</v>
      </c>
      <c r="C366">
        <v>0.9</v>
      </c>
      <c r="D366" t="s">
        <v>519</v>
      </c>
    </row>
    <row r="367" spans="1:4" x14ac:dyDescent="0.45">
      <c r="A367" t="s">
        <v>48</v>
      </c>
      <c r="B367" t="s">
        <v>142</v>
      </c>
      <c r="C367">
        <v>0</v>
      </c>
      <c r="D367" t="s">
        <v>520</v>
      </c>
    </row>
    <row r="368" spans="1:4" x14ac:dyDescent="0.45">
      <c r="A368" t="s">
        <v>48</v>
      </c>
      <c r="B368" t="s">
        <v>144</v>
      </c>
      <c r="C368">
        <v>0</v>
      </c>
      <c r="D368" t="s">
        <v>521</v>
      </c>
    </row>
    <row r="369" spans="1:4" x14ac:dyDescent="0.45">
      <c r="A369" t="s">
        <v>48</v>
      </c>
      <c r="B369" t="s">
        <v>146</v>
      </c>
      <c r="C369">
        <v>0</v>
      </c>
      <c r="D369" t="s">
        <v>522</v>
      </c>
    </row>
    <row r="370" spans="1:4" x14ac:dyDescent="0.45">
      <c r="A370" t="s">
        <v>48</v>
      </c>
      <c r="B370" t="s">
        <v>148</v>
      </c>
      <c r="C370">
        <v>1</v>
      </c>
      <c r="D370" t="s">
        <v>523</v>
      </c>
    </row>
    <row r="371" spans="1:4" x14ac:dyDescent="0.45">
      <c r="A371" t="s">
        <v>48</v>
      </c>
      <c r="B371" t="s">
        <v>150</v>
      </c>
      <c r="C371">
        <v>1</v>
      </c>
      <c r="D371" t="s">
        <v>524</v>
      </c>
    </row>
    <row r="372" spans="1:4" x14ac:dyDescent="0.45">
      <c r="A372" t="s">
        <v>48</v>
      </c>
      <c r="B372" t="s">
        <v>152</v>
      </c>
      <c r="C372">
        <v>1</v>
      </c>
      <c r="D372" t="s">
        <v>525</v>
      </c>
    </row>
    <row r="373" spans="1:4" x14ac:dyDescent="0.45">
      <c r="A373" t="s">
        <v>48</v>
      </c>
      <c r="B373" t="s">
        <v>154</v>
      </c>
      <c r="C373">
        <v>1</v>
      </c>
      <c r="D373" t="s">
        <v>526</v>
      </c>
    </row>
    <row r="374" spans="1:4" x14ac:dyDescent="0.45">
      <c r="A374" t="s">
        <v>48</v>
      </c>
      <c r="B374" t="s">
        <v>124</v>
      </c>
      <c r="C374">
        <v>0</v>
      </c>
      <c r="D374" t="s">
        <v>527</v>
      </c>
    </row>
    <row r="375" spans="1:4" x14ac:dyDescent="0.45">
      <c r="A375" t="s">
        <v>48</v>
      </c>
      <c r="B375" t="s">
        <v>157</v>
      </c>
      <c r="C375">
        <v>0</v>
      </c>
      <c r="D375" t="s">
        <v>528</v>
      </c>
    </row>
    <row r="376" spans="1:4" x14ac:dyDescent="0.45">
      <c r="A376" t="s">
        <v>48</v>
      </c>
      <c r="B376" t="s">
        <v>159</v>
      </c>
      <c r="C376">
        <v>1</v>
      </c>
      <c r="D376" t="s">
        <v>529</v>
      </c>
    </row>
    <row r="377" spans="1:4" x14ac:dyDescent="0.45">
      <c r="A377" t="s">
        <v>48</v>
      </c>
      <c r="B377" t="s">
        <v>161</v>
      </c>
      <c r="C377">
        <v>0</v>
      </c>
      <c r="D377" t="s">
        <v>530</v>
      </c>
    </row>
    <row r="378" spans="1:4" x14ac:dyDescent="0.45">
      <c r="A378" t="s">
        <v>48</v>
      </c>
      <c r="B378" t="s">
        <v>163</v>
      </c>
      <c r="C378">
        <v>0</v>
      </c>
      <c r="D378" t="s">
        <v>531</v>
      </c>
    </row>
    <row r="379" spans="1:4" x14ac:dyDescent="0.45">
      <c r="A379" t="s">
        <v>48</v>
      </c>
      <c r="B379" t="s">
        <v>165</v>
      </c>
      <c r="C379">
        <v>0.15</v>
      </c>
      <c r="D379" t="s">
        <v>532</v>
      </c>
    </row>
    <row r="380" spans="1:4" x14ac:dyDescent="0.45">
      <c r="A380" t="s">
        <v>48</v>
      </c>
      <c r="B380" t="s">
        <v>167</v>
      </c>
      <c r="C380">
        <v>0.15</v>
      </c>
      <c r="D380" t="s">
        <v>533</v>
      </c>
    </row>
    <row r="381" spans="1:4" x14ac:dyDescent="0.45">
      <c r="A381" t="s">
        <v>48</v>
      </c>
      <c r="B381" t="s">
        <v>169</v>
      </c>
      <c r="C381">
        <v>1</v>
      </c>
      <c r="D381" t="s">
        <v>534</v>
      </c>
    </row>
    <row r="382" spans="1:4" x14ac:dyDescent="0.45">
      <c r="A382" t="s">
        <v>48</v>
      </c>
      <c r="B382" t="s">
        <v>171</v>
      </c>
      <c r="C382">
        <v>1</v>
      </c>
      <c r="D382" t="s">
        <v>535</v>
      </c>
    </row>
    <row r="383" spans="1:4" x14ac:dyDescent="0.45">
      <c r="A383" t="s">
        <v>48</v>
      </c>
      <c r="B383" t="s">
        <v>173</v>
      </c>
      <c r="C383">
        <v>0</v>
      </c>
      <c r="D383" t="s">
        <v>536</v>
      </c>
    </row>
    <row r="384" spans="1:4" x14ac:dyDescent="0.45">
      <c r="A384" t="s">
        <v>48</v>
      </c>
      <c r="B384" t="s">
        <v>175</v>
      </c>
      <c r="C384">
        <v>1</v>
      </c>
      <c r="D384" t="s">
        <v>537</v>
      </c>
    </row>
    <row r="385" spans="1:4" x14ac:dyDescent="0.45">
      <c r="A385" t="s">
        <v>48</v>
      </c>
      <c r="B385" t="s">
        <v>177</v>
      </c>
      <c r="C385">
        <v>1</v>
      </c>
      <c r="D385" t="s">
        <v>538</v>
      </c>
    </row>
    <row r="386" spans="1:4" x14ac:dyDescent="0.45">
      <c r="A386" t="s">
        <v>54</v>
      </c>
      <c r="B386" t="s">
        <v>121</v>
      </c>
      <c r="C386">
        <v>0</v>
      </c>
      <c r="D386" t="s">
        <v>539</v>
      </c>
    </row>
    <row r="387" spans="1:4" x14ac:dyDescent="0.45">
      <c r="A387" t="s">
        <v>54</v>
      </c>
      <c r="B387" t="s">
        <v>134</v>
      </c>
      <c r="C387">
        <v>0</v>
      </c>
      <c r="D387" t="s">
        <v>540</v>
      </c>
    </row>
    <row r="388" spans="1:4" x14ac:dyDescent="0.45">
      <c r="A388" t="s">
        <v>54</v>
      </c>
      <c r="B388" t="s">
        <v>136</v>
      </c>
      <c r="C388">
        <v>0</v>
      </c>
      <c r="D388" t="s">
        <v>541</v>
      </c>
    </row>
    <row r="389" spans="1:4" x14ac:dyDescent="0.45">
      <c r="A389" t="s">
        <v>54</v>
      </c>
      <c r="B389" t="s">
        <v>138</v>
      </c>
      <c r="C389">
        <v>1</v>
      </c>
      <c r="D389" t="s">
        <v>542</v>
      </c>
    </row>
    <row r="390" spans="1:4" x14ac:dyDescent="0.45">
      <c r="A390" t="s">
        <v>54</v>
      </c>
      <c r="B390" t="s">
        <v>140</v>
      </c>
      <c r="C390">
        <v>0.9</v>
      </c>
      <c r="D390" t="s">
        <v>543</v>
      </c>
    </row>
    <row r="391" spans="1:4" x14ac:dyDescent="0.45">
      <c r="A391" t="s">
        <v>54</v>
      </c>
      <c r="B391" t="s">
        <v>142</v>
      </c>
      <c r="C391">
        <v>0</v>
      </c>
      <c r="D391" t="s">
        <v>544</v>
      </c>
    </row>
    <row r="392" spans="1:4" x14ac:dyDescent="0.45">
      <c r="A392" t="s">
        <v>54</v>
      </c>
      <c r="B392" t="s">
        <v>144</v>
      </c>
      <c r="C392">
        <v>0</v>
      </c>
      <c r="D392" t="s">
        <v>545</v>
      </c>
    </row>
    <row r="393" spans="1:4" x14ac:dyDescent="0.45">
      <c r="A393" t="s">
        <v>54</v>
      </c>
      <c r="B393" t="s">
        <v>146</v>
      </c>
      <c r="C393">
        <v>0</v>
      </c>
      <c r="D393" t="s">
        <v>546</v>
      </c>
    </row>
    <row r="394" spans="1:4" x14ac:dyDescent="0.45">
      <c r="A394" t="s">
        <v>54</v>
      </c>
      <c r="B394" t="s">
        <v>148</v>
      </c>
      <c r="C394">
        <v>1</v>
      </c>
      <c r="D394" t="s">
        <v>547</v>
      </c>
    </row>
    <row r="395" spans="1:4" x14ac:dyDescent="0.45">
      <c r="A395" t="s">
        <v>54</v>
      </c>
      <c r="B395" t="s">
        <v>150</v>
      </c>
      <c r="C395">
        <v>1</v>
      </c>
      <c r="D395" t="s">
        <v>548</v>
      </c>
    </row>
    <row r="396" spans="1:4" x14ac:dyDescent="0.45">
      <c r="A396" t="s">
        <v>54</v>
      </c>
      <c r="B396" t="s">
        <v>152</v>
      </c>
      <c r="C396">
        <v>1</v>
      </c>
      <c r="D396" t="s">
        <v>549</v>
      </c>
    </row>
    <row r="397" spans="1:4" x14ac:dyDescent="0.45">
      <c r="A397" t="s">
        <v>54</v>
      </c>
      <c r="B397" t="s">
        <v>154</v>
      </c>
      <c r="C397">
        <v>1</v>
      </c>
      <c r="D397" t="s">
        <v>550</v>
      </c>
    </row>
    <row r="398" spans="1:4" x14ac:dyDescent="0.45">
      <c r="A398" t="s">
        <v>54</v>
      </c>
      <c r="B398" t="s">
        <v>124</v>
      </c>
      <c r="C398">
        <v>0</v>
      </c>
      <c r="D398" t="s">
        <v>551</v>
      </c>
    </row>
    <row r="399" spans="1:4" x14ac:dyDescent="0.45">
      <c r="A399" t="s">
        <v>54</v>
      </c>
      <c r="B399" t="s">
        <v>157</v>
      </c>
      <c r="C399">
        <v>0</v>
      </c>
      <c r="D399" t="s">
        <v>552</v>
      </c>
    </row>
    <row r="400" spans="1:4" x14ac:dyDescent="0.45">
      <c r="A400" t="s">
        <v>54</v>
      </c>
      <c r="B400" t="s">
        <v>159</v>
      </c>
      <c r="C400">
        <v>1</v>
      </c>
      <c r="D400" t="s">
        <v>553</v>
      </c>
    </row>
    <row r="401" spans="1:4" x14ac:dyDescent="0.45">
      <c r="A401" t="s">
        <v>54</v>
      </c>
      <c r="B401" t="s">
        <v>161</v>
      </c>
      <c r="C401">
        <v>0</v>
      </c>
      <c r="D401" t="s">
        <v>554</v>
      </c>
    </row>
    <row r="402" spans="1:4" x14ac:dyDescent="0.45">
      <c r="A402" t="s">
        <v>54</v>
      </c>
      <c r="B402" t="s">
        <v>163</v>
      </c>
      <c r="C402">
        <v>0</v>
      </c>
      <c r="D402" t="s">
        <v>555</v>
      </c>
    </row>
    <row r="403" spans="1:4" x14ac:dyDescent="0.45">
      <c r="A403" t="s">
        <v>54</v>
      </c>
      <c r="B403" t="s">
        <v>165</v>
      </c>
      <c r="C403">
        <v>0.15</v>
      </c>
      <c r="D403" t="s">
        <v>556</v>
      </c>
    </row>
    <row r="404" spans="1:4" x14ac:dyDescent="0.45">
      <c r="A404" t="s">
        <v>54</v>
      </c>
      <c r="B404" t="s">
        <v>167</v>
      </c>
      <c r="C404">
        <v>0.15</v>
      </c>
      <c r="D404" t="s">
        <v>557</v>
      </c>
    </row>
    <row r="405" spans="1:4" x14ac:dyDescent="0.45">
      <c r="A405" t="s">
        <v>54</v>
      </c>
      <c r="B405" t="s">
        <v>169</v>
      </c>
      <c r="C405">
        <v>1</v>
      </c>
      <c r="D405" t="s">
        <v>558</v>
      </c>
    </row>
    <row r="406" spans="1:4" x14ac:dyDescent="0.45">
      <c r="A406" t="s">
        <v>54</v>
      </c>
      <c r="B406" t="s">
        <v>171</v>
      </c>
      <c r="C406">
        <v>1</v>
      </c>
      <c r="D406" t="s">
        <v>559</v>
      </c>
    </row>
    <row r="407" spans="1:4" x14ac:dyDescent="0.45">
      <c r="A407" t="s">
        <v>54</v>
      </c>
      <c r="B407" t="s">
        <v>173</v>
      </c>
      <c r="C407">
        <v>0</v>
      </c>
      <c r="D407" t="s">
        <v>560</v>
      </c>
    </row>
    <row r="408" spans="1:4" x14ac:dyDescent="0.45">
      <c r="A408" t="s">
        <v>54</v>
      </c>
      <c r="B408" t="s">
        <v>175</v>
      </c>
      <c r="C408">
        <v>1</v>
      </c>
      <c r="D408" t="s">
        <v>561</v>
      </c>
    </row>
    <row r="409" spans="1:4" x14ac:dyDescent="0.45">
      <c r="A409" t="s">
        <v>54</v>
      </c>
      <c r="B409" t="s">
        <v>177</v>
      </c>
      <c r="C409">
        <v>1</v>
      </c>
      <c r="D409" t="s">
        <v>562</v>
      </c>
    </row>
    <row r="410" spans="1:4" x14ac:dyDescent="0.45">
      <c r="A410" t="s">
        <v>52</v>
      </c>
      <c r="B410" t="s">
        <v>121</v>
      </c>
      <c r="C410">
        <v>0</v>
      </c>
      <c r="D410" t="s">
        <v>563</v>
      </c>
    </row>
    <row r="411" spans="1:4" x14ac:dyDescent="0.45">
      <c r="A411" t="s">
        <v>52</v>
      </c>
      <c r="B411" t="s">
        <v>134</v>
      </c>
      <c r="C411">
        <v>0</v>
      </c>
      <c r="D411" t="s">
        <v>564</v>
      </c>
    </row>
    <row r="412" spans="1:4" x14ac:dyDescent="0.45">
      <c r="A412" t="s">
        <v>52</v>
      </c>
      <c r="B412" t="s">
        <v>136</v>
      </c>
      <c r="C412">
        <v>0</v>
      </c>
      <c r="D412" t="s">
        <v>565</v>
      </c>
    </row>
    <row r="413" spans="1:4" x14ac:dyDescent="0.45">
      <c r="A413" t="s">
        <v>52</v>
      </c>
      <c r="B413" t="s">
        <v>138</v>
      </c>
      <c r="C413">
        <v>1</v>
      </c>
      <c r="D413" t="s">
        <v>566</v>
      </c>
    </row>
    <row r="414" spans="1:4" x14ac:dyDescent="0.45">
      <c r="A414" t="s">
        <v>52</v>
      </c>
      <c r="B414" t="s">
        <v>140</v>
      </c>
      <c r="C414">
        <v>0.9</v>
      </c>
      <c r="D414" t="s">
        <v>567</v>
      </c>
    </row>
    <row r="415" spans="1:4" x14ac:dyDescent="0.45">
      <c r="A415" t="s">
        <v>52</v>
      </c>
      <c r="B415" t="s">
        <v>142</v>
      </c>
      <c r="C415">
        <v>0</v>
      </c>
      <c r="D415" t="s">
        <v>568</v>
      </c>
    </row>
    <row r="416" spans="1:4" x14ac:dyDescent="0.45">
      <c r="A416" t="s">
        <v>52</v>
      </c>
      <c r="B416" t="s">
        <v>144</v>
      </c>
      <c r="C416">
        <v>0</v>
      </c>
      <c r="D416" t="s">
        <v>569</v>
      </c>
    </row>
    <row r="417" spans="1:4" x14ac:dyDescent="0.45">
      <c r="A417" t="s">
        <v>52</v>
      </c>
      <c r="B417" t="s">
        <v>146</v>
      </c>
      <c r="C417">
        <v>0</v>
      </c>
      <c r="D417" t="s">
        <v>570</v>
      </c>
    </row>
    <row r="418" spans="1:4" x14ac:dyDescent="0.45">
      <c r="A418" t="s">
        <v>52</v>
      </c>
      <c r="B418" t="s">
        <v>148</v>
      </c>
      <c r="C418">
        <v>1</v>
      </c>
      <c r="D418" t="s">
        <v>571</v>
      </c>
    </row>
    <row r="419" spans="1:4" x14ac:dyDescent="0.45">
      <c r="A419" t="s">
        <v>52</v>
      </c>
      <c r="B419" t="s">
        <v>150</v>
      </c>
      <c r="C419">
        <v>1</v>
      </c>
      <c r="D419" t="s">
        <v>572</v>
      </c>
    </row>
    <row r="420" spans="1:4" x14ac:dyDescent="0.45">
      <c r="A420" t="s">
        <v>52</v>
      </c>
      <c r="B420" t="s">
        <v>152</v>
      </c>
      <c r="C420">
        <v>1</v>
      </c>
      <c r="D420" t="s">
        <v>573</v>
      </c>
    </row>
    <row r="421" spans="1:4" x14ac:dyDescent="0.45">
      <c r="A421" t="s">
        <v>52</v>
      </c>
      <c r="B421" t="s">
        <v>154</v>
      </c>
      <c r="C421">
        <v>1</v>
      </c>
      <c r="D421" t="s">
        <v>574</v>
      </c>
    </row>
    <row r="422" spans="1:4" x14ac:dyDescent="0.45">
      <c r="A422" t="s">
        <v>52</v>
      </c>
      <c r="B422" t="s">
        <v>124</v>
      </c>
      <c r="C422">
        <v>0</v>
      </c>
      <c r="D422" t="s">
        <v>575</v>
      </c>
    </row>
    <row r="423" spans="1:4" x14ac:dyDescent="0.45">
      <c r="A423" t="s">
        <v>52</v>
      </c>
      <c r="B423" t="s">
        <v>157</v>
      </c>
      <c r="C423">
        <v>0</v>
      </c>
      <c r="D423" t="s">
        <v>576</v>
      </c>
    </row>
    <row r="424" spans="1:4" x14ac:dyDescent="0.45">
      <c r="A424" t="s">
        <v>52</v>
      </c>
      <c r="B424" t="s">
        <v>159</v>
      </c>
      <c r="C424">
        <v>1</v>
      </c>
      <c r="D424" t="s">
        <v>577</v>
      </c>
    </row>
    <row r="425" spans="1:4" x14ac:dyDescent="0.45">
      <c r="A425" t="s">
        <v>52</v>
      </c>
      <c r="B425" t="s">
        <v>161</v>
      </c>
      <c r="C425">
        <v>0</v>
      </c>
      <c r="D425" t="s">
        <v>578</v>
      </c>
    </row>
    <row r="426" spans="1:4" x14ac:dyDescent="0.45">
      <c r="A426" t="s">
        <v>52</v>
      </c>
      <c r="B426" t="s">
        <v>163</v>
      </c>
      <c r="C426">
        <v>0</v>
      </c>
      <c r="D426" t="s">
        <v>579</v>
      </c>
    </row>
    <row r="427" spans="1:4" x14ac:dyDescent="0.45">
      <c r="A427" t="s">
        <v>52</v>
      </c>
      <c r="B427" t="s">
        <v>165</v>
      </c>
      <c r="C427">
        <v>0.15</v>
      </c>
      <c r="D427" t="s">
        <v>580</v>
      </c>
    </row>
    <row r="428" spans="1:4" x14ac:dyDescent="0.45">
      <c r="A428" t="s">
        <v>52</v>
      </c>
      <c r="B428" t="s">
        <v>167</v>
      </c>
      <c r="C428">
        <v>0.15</v>
      </c>
      <c r="D428" t="s">
        <v>581</v>
      </c>
    </row>
    <row r="429" spans="1:4" x14ac:dyDescent="0.45">
      <c r="A429" t="s">
        <v>52</v>
      </c>
      <c r="B429" t="s">
        <v>169</v>
      </c>
      <c r="C429">
        <v>1</v>
      </c>
      <c r="D429" t="s">
        <v>582</v>
      </c>
    </row>
    <row r="430" spans="1:4" x14ac:dyDescent="0.45">
      <c r="A430" t="s">
        <v>52</v>
      </c>
      <c r="B430" t="s">
        <v>171</v>
      </c>
      <c r="C430">
        <v>1</v>
      </c>
      <c r="D430" t="s">
        <v>583</v>
      </c>
    </row>
    <row r="431" spans="1:4" x14ac:dyDescent="0.45">
      <c r="A431" t="s">
        <v>52</v>
      </c>
      <c r="B431" t="s">
        <v>173</v>
      </c>
      <c r="C431">
        <v>0</v>
      </c>
      <c r="D431" t="s">
        <v>584</v>
      </c>
    </row>
    <row r="432" spans="1:4" x14ac:dyDescent="0.45">
      <c r="A432" t="s">
        <v>52</v>
      </c>
      <c r="B432" t="s">
        <v>175</v>
      </c>
      <c r="C432">
        <v>1</v>
      </c>
      <c r="D432" t="s">
        <v>585</v>
      </c>
    </row>
    <row r="433" spans="1:4" x14ac:dyDescent="0.45">
      <c r="A433" t="s">
        <v>52</v>
      </c>
      <c r="B433" t="s">
        <v>177</v>
      </c>
      <c r="C433">
        <v>1</v>
      </c>
      <c r="D433" t="s">
        <v>586</v>
      </c>
    </row>
    <row r="434" spans="1:4" x14ac:dyDescent="0.45">
      <c r="A434" t="s">
        <v>50</v>
      </c>
      <c r="B434" t="s">
        <v>121</v>
      </c>
      <c r="C434">
        <v>0</v>
      </c>
      <c r="D434" t="s">
        <v>587</v>
      </c>
    </row>
    <row r="435" spans="1:4" x14ac:dyDescent="0.45">
      <c r="A435" t="s">
        <v>50</v>
      </c>
      <c r="B435" t="s">
        <v>134</v>
      </c>
      <c r="C435">
        <v>0</v>
      </c>
      <c r="D435" t="s">
        <v>588</v>
      </c>
    </row>
    <row r="436" spans="1:4" x14ac:dyDescent="0.45">
      <c r="A436" t="s">
        <v>50</v>
      </c>
      <c r="B436" t="s">
        <v>136</v>
      </c>
      <c r="C436">
        <v>0</v>
      </c>
      <c r="D436" t="s">
        <v>589</v>
      </c>
    </row>
    <row r="437" spans="1:4" x14ac:dyDescent="0.45">
      <c r="A437" t="s">
        <v>50</v>
      </c>
      <c r="B437" t="s">
        <v>138</v>
      </c>
      <c r="C437">
        <v>1</v>
      </c>
      <c r="D437" t="s">
        <v>590</v>
      </c>
    </row>
    <row r="438" spans="1:4" x14ac:dyDescent="0.45">
      <c r="A438" t="s">
        <v>50</v>
      </c>
      <c r="B438" t="s">
        <v>140</v>
      </c>
      <c r="C438">
        <v>0.9</v>
      </c>
      <c r="D438" t="s">
        <v>591</v>
      </c>
    </row>
    <row r="439" spans="1:4" x14ac:dyDescent="0.45">
      <c r="A439" t="s">
        <v>50</v>
      </c>
      <c r="B439" t="s">
        <v>142</v>
      </c>
      <c r="C439">
        <v>0</v>
      </c>
      <c r="D439" t="s">
        <v>592</v>
      </c>
    </row>
    <row r="440" spans="1:4" x14ac:dyDescent="0.45">
      <c r="A440" t="s">
        <v>50</v>
      </c>
      <c r="B440" t="s">
        <v>144</v>
      </c>
      <c r="C440">
        <v>0</v>
      </c>
      <c r="D440" t="s">
        <v>593</v>
      </c>
    </row>
    <row r="441" spans="1:4" x14ac:dyDescent="0.45">
      <c r="A441" t="s">
        <v>50</v>
      </c>
      <c r="B441" t="s">
        <v>146</v>
      </c>
      <c r="C441">
        <v>0</v>
      </c>
      <c r="D441" t="s">
        <v>594</v>
      </c>
    </row>
    <row r="442" spans="1:4" x14ac:dyDescent="0.45">
      <c r="A442" t="s">
        <v>50</v>
      </c>
      <c r="B442" t="s">
        <v>148</v>
      </c>
      <c r="C442">
        <v>1</v>
      </c>
      <c r="D442" t="s">
        <v>595</v>
      </c>
    </row>
    <row r="443" spans="1:4" x14ac:dyDescent="0.45">
      <c r="A443" t="s">
        <v>50</v>
      </c>
      <c r="B443" t="s">
        <v>150</v>
      </c>
      <c r="C443">
        <v>1</v>
      </c>
      <c r="D443" t="s">
        <v>596</v>
      </c>
    </row>
    <row r="444" spans="1:4" x14ac:dyDescent="0.45">
      <c r="A444" t="s">
        <v>50</v>
      </c>
      <c r="B444" t="s">
        <v>152</v>
      </c>
      <c r="C444">
        <v>1</v>
      </c>
      <c r="D444" t="s">
        <v>597</v>
      </c>
    </row>
    <row r="445" spans="1:4" x14ac:dyDescent="0.45">
      <c r="A445" t="s">
        <v>50</v>
      </c>
      <c r="B445" t="s">
        <v>154</v>
      </c>
      <c r="C445">
        <v>1</v>
      </c>
      <c r="D445" t="s">
        <v>598</v>
      </c>
    </row>
    <row r="446" spans="1:4" x14ac:dyDescent="0.45">
      <c r="A446" t="s">
        <v>50</v>
      </c>
      <c r="B446" t="s">
        <v>124</v>
      </c>
      <c r="C446">
        <v>0</v>
      </c>
      <c r="D446" t="s">
        <v>599</v>
      </c>
    </row>
    <row r="447" spans="1:4" x14ac:dyDescent="0.45">
      <c r="A447" t="s">
        <v>50</v>
      </c>
      <c r="B447" t="s">
        <v>157</v>
      </c>
      <c r="C447">
        <v>0</v>
      </c>
      <c r="D447" t="s">
        <v>600</v>
      </c>
    </row>
    <row r="448" spans="1:4" x14ac:dyDescent="0.45">
      <c r="A448" t="s">
        <v>50</v>
      </c>
      <c r="B448" t="s">
        <v>159</v>
      </c>
      <c r="C448">
        <v>1</v>
      </c>
      <c r="D448" t="s">
        <v>601</v>
      </c>
    </row>
    <row r="449" spans="1:4" x14ac:dyDescent="0.45">
      <c r="A449" t="s">
        <v>50</v>
      </c>
      <c r="B449" t="s">
        <v>161</v>
      </c>
      <c r="C449">
        <v>0</v>
      </c>
      <c r="D449" t="s">
        <v>602</v>
      </c>
    </row>
    <row r="450" spans="1:4" x14ac:dyDescent="0.45">
      <c r="A450" t="s">
        <v>50</v>
      </c>
      <c r="B450" t="s">
        <v>163</v>
      </c>
      <c r="C450">
        <v>0</v>
      </c>
      <c r="D450" t="s">
        <v>603</v>
      </c>
    </row>
    <row r="451" spans="1:4" x14ac:dyDescent="0.45">
      <c r="A451" t="s">
        <v>50</v>
      </c>
      <c r="B451" t="s">
        <v>165</v>
      </c>
      <c r="C451">
        <v>0.15</v>
      </c>
      <c r="D451" t="s">
        <v>604</v>
      </c>
    </row>
    <row r="452" spans="1:4" x14ac:dyDescent="0.45">
      <c r="A452" t="s">
        <v>50</v>
      </c>
      <c r="B452" t="s">
        <v>167</v>
      </c>
      <c r="C452">
        <v>0.15</v>
      </c>
      <c r="D452" t="s">
        <v>605</v>
      </c>
    </row>
    <row r="453" spans="1:4" x14ac:dyDescent="0.45">
      <c r="A453" t="s">
        <v>50</v>
      </c>
      <c r="B453" t="s">
        <v>169</v>
      </c>
      <c r="C453">
        <v>1</v>
      </c>
      <c r="D453" t="s">
        <v>606</v>
      </c>
    </row>
    <row r="454" spans="1:4" x14ac:dyDescent="0.45">
      <c r="A454" t="s">
        <v>50</v>
      </c>
      <c r="B454" t="s">
        <v>171</v>
      </c>
      <c r="C454">
        <v>1</v>
      </c>
      <c r="D454" t="s">
        <v>607</v>
      </c>
    </row>
    <row r="455" spans="1:4" x14ac:dyDescent="0.45">
      <c r="A455" t="s">
        <v>50</v>
      </c>
      <c r="B455" t="s">
        <v>173</v>
      </c>
      <c r="C455">
        <v>0</v>
      </c>
      <c r="D455" t="s">
        <v>608</v>
      </c>
    </row>
    <row r="456" spans="1:4" x14ac:dyDescent="0.45">
      <c r="A456" t="s">
        <v>50</v>
      </c>
      <c r="B456" t="s">
        <v>175</v>
      </c>
      <c r="C456">
        <v>1</v>
      </c>
      <c r="D456" t="s">
        <v>609</v>
      </c>
    </row>
    <row r="457" spans="1:4" x14ac:dyDescent="0.45">
      <c r="A457" t="s">
        <v>50</v>
      </c>
      <c r="B457" t="s">
        <v>177</v>
      </c>
      <c r="C457">
        <v>1</v>
      </c>
      <c r="D457" t="s">
        <v>610</v>
      </c>
    </row>
    <row r="458" spans="1:4" x14ac:dyDescent="0.45">
      <c r="A458" t="s">
        <v>56</v>
      </c>
      <c r="B458" t="s">
        <v>121</v>
      </c>
      <c r="C458">
        <v>0</v>
      </c>
      <c r="D458" t="s">
        <v>611</v>
      </c>
    </row>
    <row r="459" spans="1:4" x14ac:dyDescent="0.45">
      <c r="A459" t="s">
        <v>56</v>
      </c>
      <c r="B459" t="s">
        <v>134</v>
      </c>
      <c r="C459">
        <v>0</v>
      </c>
      <c r="D459" t="s">
        <v>612</v>
      </c>
    </row>
    <row r="460" spans="1:4" x14ac:dyDescent="0.45">
      <c r="A460" t="s">
        <v>56</v>
      </c>
      <c r="B460" t="s">
        <v>136</v>
      </c>
      <c r="C460">
        <v>0</v>
      </c>
      <c r="D460" t="s">
        <v>613</v>
      </c>
    </row>
    <row r="461" spans="1:4" x14ac:dyDescent="0.45">
      <c r="A461" t="s">
        <v>56</v>
      </c>
      <c r="B461" t="s">
        <v>138</v>
      </c>
      <c r="C461">
        <v>1</v>
      </c>
      <c r="D461" t="s">
        <v>614</v>
      </c>
    </row>
    <row r="462" spans="1:4" x14ac:dyDescent="0.45">
      <c r="A462" t="s">
        <v>56</v>
      </c>
      <c r="B462" t="s">
        <v>140</v>
      </c>
      <c r="C462">
        <v>0.9</v>
      </c>
      <c r="D462" t="s">
        <v>615</v>
      </c>
    </row>
    <row r="463" spans="1:4" x14ac:dyDescent="0.45">
      <c r="A463" t="s">
        <v>56</v>
      </c>
      <c r="B463" t="s">
        <v>142</v>
      </c>
      <c r="C463">
        <v>0</v>
      </c>
      <c r="D463" t="s">
        <v>616</v>
      </c>
    </row>
    <row r="464" spans="1:4" x14ac:dyDescent="0.45">
      <c r="A464" t="s">
        <v>56</v>
      </c>
      <c r="B464" t="s">
        <v>144</v>
      </c>
      <c r="C464">
        <v>0</v>
      </c>
      <c r="D464" t="s">
        <v>617</v>
      </c>
    </row>
    <row r="465" spans="1:4" x14ac:dyDescent="0.45">
      <c r="A465" t="s">
        <v>56</v>
      </c>
      <c r="B465" t="s">
        <v>146</v>
      </c>
      <c r="C465">
        <v>0</v>
      </c>
      <c r="D465" t="s">
        <v>618</v>
      </c>
    </row>
    <row r="466" spans="1:4" x14ac:dyDescent="0.45">
      <c r="A466" t="s">
        <v>56</v>
      </c>
      <c r="B466" t="s">
        <v>148</v>
      </c>
      <c r="C466">
        <v>1</v>
      </c>
      <c r="D466" t="s">
        <v>619</v>
      </c>
    </row>
    <row r="467" spans="1:4" x14ac:dyDescent="0.45">
      <c r="A467" t="s">
        <v>56</v>
      </c>
      <c r="B467" t="s">
        <v>150</v>
      </c>
      <c r="C467">
        <v>1</v>
      </c>
      <c r="D467" t="s">
        <v>620</v>
      </c>
    </row>
    <row r="468" spans="1:4" x14ac:dyDescent="0.45">
      <c r="A468" t="s">
        <v>56</v>
      </c>
      <c r="B468" t="s">
        <v>152</v>
      </c>
      <c r="C468">
        <v>1</v>
      </c>
      <c r="D468" t="s">
        <v>621</v>
      </c>
    </row>
    <row r="469" spans="1:4" x14ac:dyDescent="0.45">
      <c r="A469" t="s">
        <v>56</v>
      </c>
      <c r="B469" t="s">
        <v>154</v>
      </c>
      <c r="C469">
        <v>1</v>
      </c>
      <c r="D469" t="s">
        <v>622</v>
      </c>
    </row>
    <row r="470" spans="1:4" x14ac:dyDescent="0.45">
      <c r="A470" t="s">
        <v>56</v>
      </c>
      <c r="B470" t="s">
        <v>124</v>
      </c>
      <c r="C470">
        <v>0</v>
      </c>
      <c r="D470" t="s">
        <v>623</v>
      </c>
    </row>
    <row r="471" spans="1:4" x14ac:dyDescent="0.45">
      <c r="A471" t="s">
        <v>56</v>
      </c>
      <c r="B471" t="s">
        <v>157</v>
      </c>
      <c r="C471">
        <v>0</v>
      </c>
      <c r="D471" t="s">
        <v>624</v>
      </c>
    </row>
    <row r="472" spans="1:4" x14ac:dyDescent="0.45">
      <c r="A472" t="s">
        <v>56</v>
      </c>
      <c r="B472" t="s">
        <v>159</v>
      </c>
      <c r="C472">
        <v>1</v>
      </c>
      <c r="D472" t="s">
        <v>625</v>
      </c>
    </row>
    <row r="473" spans="1:4" x14ac:dyDescent="0.45">
      <c r="A473" t="s">
        <v>56</v>
      </c>
      <c r="B473" t="s">
        <v>161</v>
      </c>
      <c r="C473">
        <v>0</v>
      </c>
      <c r="D473" t="s">
        <v>626</v>
      </c>
    </row>
    <row r="474" spans="1:4" x14ac:dyDescent="0.45">
      <c r="A474" t="s">
        <v>56</v>
      </c>
      <c r="B474" t="s">
        <v>163</v>
      </c>
      <c r="C474">
        <v>0</v>
      </c>
      <c r="D474" t="s">
        <v>627</v>
      </c>
    </row>
    <row r="475" spans="1:4" x14ac:dyDescent="0.45">
      <c r="A475" t="s">
        <v>56</v>
      </c>
      <c r="B475" t="s">
        <v>165</v>
      </c>
      <c r="C475">
        <v>0.15</v>
      </c>
      <c r="D475" t="s">
        <v>628</v>
      </c>
    </row>
    <row r="476" spans="1:4" x14ac:dyDescent="0.45">
      <c r="A476" t="s">
        <v>56</v>
      </c>
      <c r="B476" t="s">
        <v>167</v>
      </c>
      <c r="C476">
        <v>0.15</v>
      </c>
      <c r="D476" t="s">
        <v>629</v>
      </c>
    </row>
    <row r="477" spans="1:4" x14ac:dyDescent="0.45">
      <c r="A477" t="s">
        <v>56</v>
      </c>
      <c r="B477" t="s">
        <v>169</v>
      </c>
      <c r="C477">
        <v>1</v>
      </c>
      <c r="D477" t="s">
        <v>630</v>
      </c>
    </row>
    <row r="478" spans="1:4" x14ac:dyDescent="0.45">
      <c r="A478" t="s">
        <v>56</v>
      </c>
      <c r="B478" t="s">
        <v>171</v>
      </c>
      <c r="C478">
        <v>1</v>
      </c>
      <c r="D478" t="s">
        <v>631</v>
      </c>
    </row>
    <row r="479" spans="1:4" x14ac:dyDescent="0.45">
      <c r="A479" t="s">
        <v>56</v>
      </c>
      <c r="B479" t="s">
        <v>173</v>
      </c>
      <c r="C479">
        <v>0</v>
      </c>
      <c r="D479" t="s">
        <v>632</v>
      </c>
    </row>
    <row r="480" spans="1:4" x14ac:dyDescent="0.45">
      <c r="A480" t="s">
        <v>56</v>
      </c>
      <c r="B480" t="s">
        <v>175</v>
      </c>
      <c r="C480">
        <v>1</v>
      </c>
      <c r="D480" t="s">
        <v>633</v>
      </c>
    </row>
    <row r="481" spans="1:4" x14ac:dyDescent="0.45">
      <c r="A481" t="s">
        <v>56</v>
      </c>
      <c r="B481" t="s">
        <v>177</v>
      </c>
      <c r="C481">
        <v>1</v>
      </c>
      <c r="D481" t="s">
        <v>634</v>
      </c>
    </row>
    <row r="482" spans="1:4" x14ac:dyDescent="0.45">
      <c r="A482" t="s">
        <v>58</v>
      </c>
      <c r="B482" t="s">
        <v>121</v>
      </c>
      <c r="C482">
        <v>0</v>
      </c>
      <c r="D482" t="s">
        <v>635</v>
      </c>
    </row>
    <row r="483" spans="1:4" x14ac:dyDescent="0.45">
      <c r="A483" t="s">
        <v>58</v>
      </c>
      <c r="B483" t="s">
        <v>134</v>
      </c>
      <c r="C483">
        <v>0</v>
      </c>
      <c r="D483" t="s">
        <v>636</v>
      </c>
    </row>
    <row r="484" spans="1:4" x14ac:dyDescent="0.45">
      <c r="A484" t="s">
        <v>58</v>
      </c>
      <c r="B484" t="s">
        <v>136</v>
      </c>
      <c r="C484">
        <v>0</v>
      </c>
      <c r="D484" t="s">
        <v>637</v>
      </c>
    </row>
    <row r="485" spans="1:4" x14ac:dyDescent="0.45">
      <c r="A485" t="s">
        <v>58</v>
      </c>
      <c r="B485" t="s">
        <v>138</v>
      </c>
      <c r="C485">
        <v>1</v>
      </c>
      <c r="D485" t="s">
        <v>638</v>
      </c>
    </row>
    <row r="486" spans="1:4" x14ac:dyDescent="0.45">
      <c r="A486" t="s">
        <v>58</v>
      </c>
      <c r="B486" t="s">
        <v>140</v>
      </c>
      <c r="C486">
        <v>0.9</v>
      </c>
      <c r="D486" t="s">
        <v>639</v>
      </c>
    </row>
    <row r="487" spans="1:4" x14ac:dyDescent="0.45">
      <c r="A487" t="s">
        <v>58</v>
      </c>
      <c r="B487" t="s">
        <v>142</v>
      </c>
      <c r="C487">
        <v>0</v>
      </c>
      <c r="D487" t="s">
        <v>640</v>
      </c>
    </row>
    <row r="488" spans="1:4" x14ac:dyDescent="0.45">
      <c r="A488" t="s">
        <v>58</v>
      </c>
      <c r="B488" t="s">
        <v>144</v>
      </c>
      <c r="C488">
        <v>0</v>
      </c>
      <c r="D488" t="s">
        <v>641</v>
      </c>
    </row>
    <row r="489" spans="1:4" x14ac:dyDescent="0.45">
      <c r="A489" t="s">
        <v>58</v>
      </c>
      <c r="B489" t="s">
        <v>146</v>
      </c>
      <c r="C489">
        <v>0</v>
      </c>
      <c r="D489" t="s">
        <v>642</v>
      </c>
    </row>
    <row r="490" spans="1:4" x14ac:dyDescent="0.45">
      <c r="A490" t="s">
        <v>58</v>
      </c>
      <c r="B490" t="s">
        <v>148</v>
      </c>
      <c r="C490">
        <v>1</v>
      </c>
      <c r="D490" t="s">
        <v>643</v>
      </c>
    </row>
    <row r="491" spans="1:4" x14ac:dyDescent="0.45">
      <c r="A491" t="s">
        <v>58</v>
      </c>
      <c r="B491" t="s">
        <v>150</v>
      </c>
      <c r="C491">
        <v>1</v>
      </c>
      <c r="D491" t="s">
        <v>644</v>
      </c>
    </row>
    <row r="492" spans="1:4" x14ac:dyDescent="0.45">
      <c r="A492" t="s">
        <v>58</v>
      </c>
      <c r="B492" t="s">
        <v>152</v>
      </c>
      <c r="C492">
        <v>1</v>
      </c>
      <c r="D492" t="s">
        <v>645</v>
      </c>
    </row>
    <row r="493" spans="1:4" x14ac:dyDescent="0.45">
      <c r="A493" t="s">
        <v>58</v>
      </c>
      <c r="B493" t="s">
        <v>154</v>
      </c>
      <c r="C493">
        <v>1</v>
      </c>
      <c r="D493" t="s">
        <v>646</v>
      </c>
    </row>
    <row r="494" spans="1:4" x14ac:dyDescent="0.45">
      <c r="A494" t="s">
        <v>58</v>
      </c>
      <c r="B494" t="s">
        <v>124</v>
      </c>
      <c r="C494">
        <v>0</v>
      </c>
      <c r="D494" t="s">
        <v>647</v>
      </c>
    </row>
    <row r="495" spans="1:4" x14ac:dyDescent="0.45">
      <c r="A495" t="s">
        <v>58</v>
      </c>
      <c r="B495" t="s">
        <v>157</v>
      </c>
      <c r="C495">
        <v>0</v>
      </c>
      <c r="D495" t="s">
        <v>648</v>
      </c>
    </row>
    <row r="496" spans="1:4" x14ac:dyDescent="0.45">
      <c r="A496" t="s">
        <v>58</v>
      </c>
      <c r="B496" t="s">
        <v>159</v>
      </c>
      <c r="C496">
        <v>1</v>
      </c>
      <c r="D496" t="s">
        <v>649</v>
      </c>
    </row>
    <row r="497" spans="1:4" x14ac:dyDescent="0.45">
      <c r="A497" t="s">
        <v>58</v>
      </c>
      <c r="B497" t="s">
        <v>161</v>
      </c>
      <c r="C497">
        <v>0</v>
      </c>
      <c r="D497" t="s">
        <v>650</v>
      </c>
    </row>
    <row r="498" spans="1:4" x14ac:dyDescent="0.45">
      <c r="A498" t="s">
        <v>58</v>
      </c>
      <c r="B498" t="s">
        <v>163</v>
      </c>
      <c r="C498">
        <v>0</v>
      </c>
      <c r="D498" t="s">
        <v>651</v>
      </c>
    </row>
    <row r="499" spans="1:4" x14ac:dyDescent="0.45">
      <c r="A499" t="s">
        <v>58</v>
      </c>
      <c r="B499" t="s">
        <v>165</v>
      </c>
      <c r="C499">
        <v>0.15</v>
      </c>
      <c r="D499" t="s">
        <v>652</v>
      </c>
    </row>
    <row r="500" spans="1:4" x14ac:dyDescent="0.45">
      <c r="A500" t="s">
        <v>58</v>
      </c>
      <c r="B500" t="s">
        <v>167</v>
      </c>
      <c r="C500">
        <v>0.15</v>
      </c>
      <c r="D500" t="s">
        <v>653</v>
      </c>
    </row>
    <row r="501" spans="1:4" x14ac:dyDescent="0.45">
      <c r="A501" t="s">
        <v>58</v>
      </c>
      <c r="B501" t="s">
        <v>169</v>
      </c>
      <c r="C501">
        <v>1</v>
      </c>
      <c r="D501" t="s">
        <v>654</v>
      </c>
    </row>
    <row r="502" spans="1:4" x14ac:dyDescent="0.45">
      <c r="A502" t="s">
        <v>58</v>
      </c>
      <c r="B502" t="s">
        <v>171</v>
      </c>
      <c r="C502">
        <v>1</v>
      </c>
      <c r="D502" t="s">
        <v>655</v>
      </c>
    </row>
    <row r="503" spans="1:4" x14ac:dyDescent="0.45">
      <c r="A503" t="s">
        <v>58</v>
      </c>
      <c r="B503" t="s">
        <v>173</v>
      </c>
      <c r="C503">
        <v>0</v>
      </c>
      <c r="D503" t="s">
        <v>656</v>
      </c>
    </row>
    <row r="504" spans="1:4" x14ac:dyDescent="0.45">
      <c r="A504" t="s">
        <v>58</v>
      </c>
      <c r="B504" t="s">
        <v>175</v>
      </c>
      <c r="C504">
        <v>1</v>
      </c>
      <c r="D504" t="s">
        <v>657</v>
      </c>
    </row>
    <row r="505" spans="1:4" x14ac:dyDescent="0.45">
      <c r="A505" t="s">
        <v>58</v>
      </c>
      <c r="B505" t="s">
        <v>177</v>
      </c>
      <c r="C505">
        <v>1</v>
      </c>
      <c r="D505" t="s">
        <v>658</v>
      </c>
    </row>
    <row r="506" spans="1:4" x14ac:dyDescent="0.45">
      <c r="A506" t="s">
        <v>62</v>
      </c>
      <c r="B506" t="s">
        <v>121</v>
      </c>
      <c r="C506">
        <v>0</v>
      </c>
      <c r="D506" t="s">
        <v>659</v>
      </c>
    </row>
    <row r="507" spans="1:4" x14ac:dyDescent="0.45">
      <c r="A507" t="s">
        <v>62</v>
      </c>
      <c r="B507" t="s">
        <v>134</v>
      </c>
      <c r="C507">
        <v>0</v>
      </c>
      <c r="D507" t="s">
        <v>660</v>
      </c>
    </row>
    <row r="508" spans="1:4" x14ac:dyDescent="0.45">
      <c r="A508" t="s">
        <v>62</v>
      </c>
      <c r="B508" t="s">
        <v>136</v>
      </c>
      <c r="C508">
        <v>0</v>
      </c>
      <c r="D508" t="s">
        <v>661</v>
      </c>
    </row>
    <row r="509" spans="1:4" x14ac:dyDescent="0.45">
      <c r="A509" t="s">
        <v>62</v>
      </c>
      <c r="B509" t="s">
        <v>138</v>
      </c>
      <c r="C509">
        <v>1</v>
      </c>
      <c r="D509" t="s">
        <v>662</v>
      </c>
    </row>
    <row r="510" spans="1:4" x14ac:dyDescent="0.45">
      <c r="A510" t="s">
        <v>62</v>
      </c>
      <c r="B510" t="s">
        <v>140</v>
      </c>
      <c r="C510">
        <v>0.9</v>
      </c>
      <c r="D510" t="s">
        <v>663</v>
      </c>
    </row>
    <row r="511" spans="1:4" x14ac:dyDescent="0.45">
      <c r="A511" t="s">
        <v>62</v>
      </c>
      <c r="B511" t="s">
        <v>142</v>
      </c>
      <c r="C511">
        <v>0</v>
      </c>
      <c r="D511" t="s">
        <v>664</v>
      </c>
    </row>
    <row r="512" spans="1:4" x14ac:dyDescent="0.45">
      <c r="A512" t="s">
        <v>62</v>
      </c>
      <c r="B512" t="s">
        <v>144</v>
      </c>
      <c r="C512">
        <v>0</v>
      </c>
      <c r="D512" t="s">
        <v>665</v>
      </c>
    </row>
    <row r="513" spans="1:4" x14ac:dyDescent="0.45">
      <c r="A513" t="s">
        <v>62</v>
      </c>
      <c r="B513" t="s">
        <v>146</v>
      </c>
      <c r="C513">
        <v>0</v>
      </c>
      <c r="D513" t="s">
        <v>666</v>
      </c>
    </row>
    <row r="514" spans="1:4" x14ac:dyDescent="0.45">
      <c r="A514" t="s">
        <v>62</v>
      </c>
      <c r="B514" t="s">
        <v>148</v>
      </c>
      <c r="C514">
        <v>1</v>
      </c>
      <c r="D514" t="s">
        <v>667</v>
      </c>
    </row>
    <row r="515" spans="1:4" x14ac:dyDescent="0.45">
      <c r="A515" t="s">
        <v>62</v>
      </c>
      <c r="B515" t="s">
        <v>150</v>
      </c>
      <c r="C515">
        <v>1</v>
      </c>
      <c r="D515" t="s">
        <v>668</v>
      </c>
    </row>
    <row r="516" spans="1:4" x14ac:dyDescent="0.45">
      <c r="A516" t="s">
        <v>62</v>
      </c>
      <c r="B516" t="s">
        <v>152</v>
      </c>
      <c r="C516">
        <v>1</v>
      </c>
      <c r="D516" t="s">
        <v>669</v>
      </c>
    </row>
    <row r="517" spans="1:4" x14ac:dyDescent="0.45">
      <c r="A517" t="s">
        <v>62</v>
      </c>
      <c r="B517" t="s">
        <v>154</v>
      </c>
      <c r="C517">
        <v>1</v>
      </c>
      <c r="D517" t="s">
        <v>670</v>
      </c>
    </row>
    <row r="518" spans="1:4" x14ac:dyDescent="0.45">
      <c r="A518" t="s">
        <v>62</v>
      </c>
      <c r="B518" t="s">
        <v>124</v>
      </c>
      <c r="C518">
        <v>0</v>
      </c>
      <c r="D518" t="s">
        <v>671</v>
      </c>
    </row>
    <row r="519" spans="1:4" x14ac:dyDescent="0.45">
      <c r="A519" t="s">
        <v>62</v>
      </c>
      <c r="B519" t="s">
        <v>157</v>
      </c>
      <c r="C519">
        <v>0</v>
      </c>
      <c r="D519" t="s">
        <v>672</v>
      </c>
    </row>
    <row r="520" spans="1:4" x14ac:dyDescent="0.45">
      <c r="A520" t="s">
        <v>62</v>
      </c>
      <c r="B520" t="s">
        <v>159</v>
      </c>
      <c r="C520">
        <v>1</v>
      </c>
      <c r="D520" t="s">
        <v>673</v>
      </c>
    </row>
    <row r="521" spans="1:4" x14ac:dyDescent="0.45">
      <c r="A521" t="s">
        <v>62</v>
      </c>
      <c r="B521" t="s">
        <v>161</v>
      </c>
      <c r="C521">
        <v>0</v>
      </c>
      <c r="D521" t="s">
        <v>674</v>
      </c>
    </row>
    <row r="522" spans="1:4" x14ac:dyDescent="0.45">
      <c r="A522" t="s">
        <v>62</v>
      </c>
      <c r="B522" t="s">
        <v>163</v>
      </c>
      <c r="C522">
        <v>0</v>
      </c>
      <c r="D522" t="s">
        <v>675</v>
      </c>
    </row>
    <row r="523" spans="1:4" x14ac:dyDescent="0.45">
      <c r="A523" t="s">
        <v>62</v>
      </c>
      <c r="B523" t="s">
        <v>165</v>
      </c>
      <c r="C523">
        <v>0.15</v>
      </c>
      <c r="D523" t="s">
        <v>676</v>
      </c>
    </row>
    <row r="524" spans="1:4" x14ac:dyDescent="0.45">
      <c r="A524" t="s">
        <v>62</v>
      </c>
      <c r="B524" t="s">
        <v>167</v>
      </c>
      <c r="C524">
        <v>0.15</v>
      </c>
      <c r="D524" t="s">
        <v>677</v>
      </c>
    </row>
    <row r="525" spans="1:4" x14ac:dyDescent="0.45">
      <c r="A525" t="s">
        <v>62</v>
      </c>
      <c r="B525" t="s">
        <v>169</v>
      </c>
      <c r="C525">
        <v>1</v>
      </c>
      <c r="D525" t="s">
        <v>678</v>
      </c>
    </row>
    <row r="526" spans="1:4" x14ac:dyDescent="0.45">
      <c r="A526" t="s">
        <v>62</v>
      </c>
      <c r="B526" t="s">
        <v>171</v>
      </c>
      <c r="C526">
        <v>1</v>
      </c>
      <c r="D526" t="s">
        <v>679</v>
      </c>
    </row>
    <row r="527" spans="1:4" x14ac:dyDescent="0.45">
      <c r="A527" t="s">
        <v>62</v>
      </c>
      <c r="B527" t="s">
        <v>173</v>
      </c>
      <c r="C527">
        <v>0</v>
      </c>
      <c r="D527" t="s">
        <v>680</v>
      </c>
    </row>
    <row r="528" spans="1:4" x14ac:dyDescent="0.45">
      <c r="A528" t="s">
        <v>62</v>
      </c>
      <c r="B528" t="s">
        <v>175</v>
      </c>
      <c r="C528">
        <v>1</v>
      </c>
      <c r="D528" t="s">
        <v>681</v>
      </c>
    </row>
    <row r="529" spans="1:4" x14ac:dyDescent="0.45">
      <c r="A529" t="s">
        <v>62</v>
      </c>
      <c r="B529" t="s">
        <v>177</v>
      </c>
      <c r="C529">
        <v>1</v>
      </c>
      <c r="D529" t="s">
        <v>682</v>
      </c>
    </row>
    <row r="530" spans="1:4" x14ac:dyDescent="0.45">
      <c r="A530" t="s">
        <v>60</v>
      </c>
      <c r="B530" t="s">
        <v>121</v>
      </c>
      <c r="C530">
        <v>0</v>
      </c>
      <c r="D530" t="s">
        <v>683</v>
      </c>
    </row>
    <row r="531" spans="1:4" x14ac:dyDescent="0.45">
      <c r="A531" t="s">
        <v>60</v>
      </c>
      <c r="B531" t="s">
        <v>134</v>
      </c>
      <c r="C531">
        <v>0</v>
      </c>
      <c r="D531" t="s">
        <v>684</v>
      </c>
    </row>
    <row r="532" spans="1:4" x14ac:dyDescent="0.45">
      <c r="A532" t="s">
        <v>60</v>
      </c>
      <c r="B532" t="s">
        <v>136</v>
      </c>
      <c r="C532">
        <v>0</v>
      </c>
      <c r="D532" t="s">
        <v>685</v>
      </c>
    </row>
    <row r="533" spans="1:4" x14ac:dyDescent="0.45">
      <c r="A533" t="s">
        <v>60</v>
      </c>
      <c r="B533" t="s">
        <v>138</v>
      </c>
      <c r="C533">
        <v>1</v>
      </c>
      <c r="D533" t="s">
        <v>686</v>
      </c>
    </row>
    <row r="534" spans="1:4" x14ac:dyDescent="0.45">
      <c r="A534" t="s">
        <v>60</v>
      </c>
      <c r="B534" t="s">
        <v>140</v>
      </c>
      <c r="C534">
        <v>0.9</v>
      </c>
      <c r="D534" t="s">
        <v>687</v>
      </c>
    </row>
    <row r="535" spans="1:4" x14ac:dyDescent="0.45">
      <c r="A535" t="s">
        <v>60</v>
      </c>
      <c r="B535" t="s">
        <v>142</v>
      </c>
      <c r="C535">
        <v>0</v>
      </c>
      <c r="D535" t="s">
        <v>688</v>
      </c>
    </row>
    <row r="536" spans="1:4" x14ac:dyDescent="0.45">
      <c r="A536" t="s">
        <v>60</v>
      </c>
      <c r="B536" t="s">
        <v>144</v>
      </c>
      <c r="C536">
        <v>0</v>
      </c>
      <c r="D536" t="s">
        <v>689</v>
      </c>
    </row>
    <row r="537" spans="1:4" x14ac:dyDescent="0.45">
      <c r="A537" t="s">
        <v>60</v>
      </c>
      <c r="B537" t="s">
        <v>146</v>
      </c>
      <c r="C537">
        <v>0</v>
      </c>
      <c r="D537" t="s">
        <v>690</v>
      </c>
    </row>
    <row r="538" spans="1:4" x14ac:dyDescent="0.45">
      <c r="A538" t="s">
        <v>60</v>
      </c>
      <c r="B538" t="s">
        <v>148</v>
      </c>
      <c r="C538">
        <v>1</v>
      </c>
      <c r="D538" t="s">
        <v>691</v>
      </c>
    </row>
    <row r="539" spans="1:4" x14ac:dyDescent="0.45">
      <c r="A539" t="s">
        <v>60</v>
      </c>
      <c r="B539" t="s">
        <v>150</v>
      </c>
      <c r="C539">
        <v>1</v>
      </c>
      <c r="D539" t="s">
        <v>692</v>
      </c>
    </row>
    <row r="540" spans="1:4" x14ac:dyDescent="0.45">
      <c r="A540" t="s">
        <v>60</v>
      </c>
      <c r="B540" t="s">
        <v>152</v>
      </c>
      <c r="C540">
        <v>1</v>
      </c>
      <c r="D540" t="s">
        <v>693</v>
      </c>
    </row>
    <row r="541" spans="1:4" x14ac:dyDescent="0.45">
      <c r="A541" t="s">
        <v>60</v>
      </c>
      <c r="B541" t="s">
        <v>154</v>
      </c>
      <c r="C541">
        <v>1</v>
      </c>
      <c r="D541" t="s">
        <v>694</v>
      </c>
    </row>
    <row r="542" spans="1:4" x14ac:dyDescent="0.45">
      <c r="A542" t="s">
        <v>60</v>
      </c>
      <c r="B542" t="s">
        <v>124</v>
      </c>
      <c r="C542">
        <v>0</v>
      </c>
      <c r="D542" t="s">
        <v>695</v>
      </c>
    </row>
    <row r="543" spans="1:4" x14ac:dyDescent="0.45">
      <c r="A543" t="s">
        <v>60</v>
      </c>
      <c r="B543" t="s">
        <v>157</v>
      </c>
      <c r="C543">
        <v>0</v>
      </c>
      <c r="D543" t="s">
        <v>696</v>
      </c>
    </row>
    <row r="544" spans="1:4" x14ac:dyDescent="0.45">
      <c r="A544" t="s">
        <v>60</v>
      </c>
      <c r="B544" t="s">
        <v>159</v>
      </c>
      <c r="C544">
        <v>1</v>
      </c>
      <c r="D544" t="s">
        <v>697</v>
      </c>
    </row>
    <row r="545" spans="1:4" x14ac:dyDescent="0.45">
      <c r="A545" t="s">
        <v>60</v>
      </c>
      <c r="B545" t="s">
        <v>161</v>
      </c>
      <c r="C545">
        <v>0</v>
      </c>
      <c r="D545" t="s">
        <v>698</v>
      </c>
    </row>
    <row r="546" spans="1:4" x14ac:dyDescent="0.45">
      <c r="A546" t="s">
        <v>60</v>
      </c>
      <c r="B546" t="s">
        <v>163</v>
      </c>
      <c r="C546">
        <v>0</v>
      </c>
      <c r="D546" t="s">
        <v>699</v>
      </c>
    </row>
    <row r="547" spans="1:4" x14ac:dyDescent="0.45">
      <c r="A547" t="s">
        <v>60</v>
      </c>
      <c r="B547" t="s">
        <v>165</v>
      </c>
      <c r="C547">
        <v>0.15</v>
      </c>
      <c r="D547" t="s">
        <v>700</v>
      </c>
    </row>
    <row r="548" spans="1:4" x14ac:dyDescent="0.45">
      <c r="A548" t="s">
        <v>60</v>
      </c>
      <c r="B548" t="s">
        <v>167</v>
      </c>
      <c r="C548">
        <v>0.15</v>
      </c>
      <c r="D548" t="s">
        <v>701</v>
      </c>
    </row>
    <row r="549" spans="1:4" x14ac:dyDescent="0.45">
      <c r="A549" t="s">
        <v>60</v>
      </c>
      <c r="B549" t="s">
        <v>169</v>
      </c>
      <c r="C549">
        <v>1</v>
      </c>
      <c r="D549" t="s">
        <v>702</v>
      </c>
    </row>
    <row r="550" spans="1:4" x14ac:dyDescent="0.45">
      <c r="A550" t="s">
        <v>60</v>
      </c>
      <c r="B550" t="s">
        <v>171</v>
      </c>
      <c r="C550">
        <v>1</v>
      </c>
      <c r="D550" t="s">
        <v>703</v>
      </c>
    </row>
    <row r="551" spans="1:4" x14ac:dyDescent="0.45">
      <c r="A551" t="s">
        <v>60</v>
      </c>
      <c r="B551" t="s">
        <v>173</v>
      </c>
      <c r="C551">
        <v>0</v>
      </c>
      <c r="D551" t="s">
        <v>704</v>
      </c>
    </row>
    <row r="552" spans="1:4" x14ac:dyDescent="0.45">
      <c r="A552" t="s">
        <v>60</v>
      </c>
      <c r="B552" t="s">
        <v>175</v>
      </c>
      <c r="C552">
        <v>1</v>
      </c>
      <c r="D552" t="s">
        <v>705</v>
      </c>
    </row>
    <row r="553" spans="1:4" x14ac:dyDescent="0.45">
      <c r="A553" t="s">
        <v>60</v>
      </c>
      <c r="B553" t="s">
        <v>177</v>
      </c>
      <c r="C553">
        <v>1</v>
      </c>
      <c r="D553" t="s">
        <v>706</v>
      </c>
    </row>
    <row r="554" spans="1:4" x14ac:dyDescent="0.45">
      <c r="A554" t="s">
        <v>64</v>
      </c>
      <c r="B554" t="s">
        <v>121</v>
      </c>
      <c r="C554">
        <v>0</v>
      </c>
      <c r="D554" t="s">
        <v>707</v>
      </c>
    </row>
    <row r="555" spans="1:4" x14ac:dyDescent="0.45">
      <c r="A555" t="s">
        <v>64</v>
      </c>
      <c r="B555" t="s">
        <v>134</v>
      </c>
      <c r="C555">
        <v>0</v>
      </c>
      <c r="D555" t="s">
        <v>708</v>
      </c>
    </row>
    <row r="556" spans="1:4" x14ac:dyDescent="0.45">
      <c r="A556" t="s">
        <v>64</v>
      </c>
      <c r="B556" t="s">
        <v>136</v>
      </c>
      <c r="C556">
        <v>0</v>
      </c>
      <c r="D556" t="s">
        <v>709</v>
      </c>
    </row>
    <row r="557" spans="1:4" x14ac:dyDescent="0.45">
      <c r="A557" t="s">
        <v>64</v>
      </c>
      <c r="B557" t="s">
        <v>138</v>
      </c>
      <c r="C557">
        <v>1</v>
      </c>
      <c r="D557" t="s">
        <v>710</v>
      </c>
    </row>
    <row r="558" spans="1:4" x14ac:dyDescent="0.45">
      <c r="A558" t="s">
        <v>64</v>
      </c>
      <c r="B558" t="s">
        <v>140</v>
      </c>
      <c r="C558">
        <v>0.9</v>
      </c>
      <c r="D558" t="s">
        <v>711</v>
      </c>
    </row>
    <row r="559" spans="1:4" x14ac:dyDescent="0.45">
      <c r="A559" t="s">
        <v>64</v>
      </c>
      <c r="B559" t="s">
        <v>142</v>
      </c>
      <c r="C559">
        <v>0</v>
      </c>
      <c r="D559" t="s">
        <v>712</v>
      </c>
    </row>
    <row r="560" spans="1:4" x14ac:dyDescent="0.45">
      <c r="A560" t="s">
        <v>64</v>
      </c>
      <c r="B560" t="s">
        <v>144</v>
      </c>
      <c r="C560">
        <v>0</v>
      </c>
      <c r="D560" t="s">
        <v>713</v>
      </c>
    </row>
    <row r="561" spans="1:4" x14ac:dyDescent="0.45">
      <c r="A561" t="s">
        <v>64</v>
      </c>
      <c r="B561" t="s">
        <v>146</v>
      </c>
      <c r="C561">
        <v>0</v>
      </c>
      <c r="D561" t="s">
        <v>714</v>
      </c>
    </row>
    <row r="562" spans="1:4" x14ac:dyDescent="0.45">
      <c r="A562" t="s">
        <v>64</v>
      </c>
      <c r="B562" t="s">
        <v>148</v>
      </c>
      <c r="C562">
        <v>1</v>
      </c>
      <c r="D562" t="s">
        <v>715</v>
      </c>
    </row>
    <row r="563" spans="1:4" x14ac:dyDescent="0.45">
      <c r="A563" t="s">
        <v>64</v>
      </c>
      <c r="B563" t="s">
        <v>150</v>
      </c>
      <c r="C563">
        <v>1</v>
      </c>
      <c r="D563" t="s">
        <v>716</v>
      </c>
    </row>
    <row r="564" spans="1:4" x14ac:dyDescent="0.45">
      <c r="A564" t="s">
        <v>64</v>
      </c>
      <c r="B564" t="s">
        <v>152</v>
      </c>
      <c r="C564">
        <v>1</v>
      </c>
      <c r="D564" t="s">
        <v>717</v>
      </c>
    </row>
    <row r="565" spans="1:4" x14ac:dyDescent="0.45">
      <c r="A565" t="s">
        <v>64</v>
      </c>
      <c r="B565" t="s">
        <v>154</v>
      </c>
      <c r="C565">
        <v>1</v>
      </c>
      <c r="D565" t="s">
        <v>718</v>
      </c>
    </row>
    <row r="566" spans="1:4" x14ac:dyDescent="0.45">
      <c r="A566" t="s">
        <v>64</v>
      </c>
      <c r="B566" t="s">
        <v>124</v>
      </c>
      <c r="C566">
        <v>0</v>
      </c>
      <c r="D566" t="s">
        <v>719</v>
      </c>
    </row>
    <row r="567" spans="1:4" x14ac:dyDescent="0.45">
      <c r="A567" t="s">
        <v>64</v>
      </c>
      <c r="B567" t="s">
        <v>157</v>
      </c>
      <c r="C567">
        <v>0</v>
      </c>
      <c r="D567" t="s">
        <v>720</v>
      </c>
    </row>
    <row r="568" spans="1:4" x14ac:dyDescent="0.45">
      <c r="A568" t="s">
        <v>64</v>
      </c>
      <c r="B568" t="s">
        <v>159</v>
      </c>
      <c r="C568">
        <v>1</v>
      </c>
      <c r="D568" t="s">
        <v>721</v>
      </c>
    </row>
    <row r="569" spans="1:4" x14ac:dyDescent="0.45">
      <c r="A569" t="s">
        <v>64</v>
      </c>
      <c r="B569" t="s">
        <v>161</v>
      </c>
      <c r="C569">
        <v>0</v>
      </c>
      <c r="D569" t="s">
        <v>722</v>
      </c>
    </row>
    <row r="570" spans="1:4" x14ac:dyDescent="0.45">
      <c r="A570" t="s">
        <v>64</v>
      </c>
      <c r="B570" t="s">
        <v>163</v>
      </c>
      <c r="C570">
        <v>0</v>
      </c>
      <c r="D570" t="s">
        <v>723</v>
      </c>
    </row>
    <row r="571" spans="1:4" x14ac:dyDescent="0.45">
      <c r="A571" t="s">
        <v>64</v>
      </c>
      <c r="B571" t="s">
        <v>165</v>
      </c>
      <c r="C571">
        <v>0.15</v>
      </c>
      <c r="D571" t="s">
        <v>724</v>
      </c>
    </row>
    <row r="572" spans="1:4" x14ac:dyDescent="0.45">
      <c r="A572" t="s">
        <v>64</v>
      </c>
      <c r="B572" t="s">
        <v>167</v>
      </c>
      <c r="C572">
        <v>0.15</v>
      </c>
      <c r="D572" t="s">
        <v>725</v>
      </c>
    </row>
    <row r="573" spans="1:4" x14ac:dyDescent="0.45">
      <c r="A573" t="s">
        <v>64</v>
      </c>
      <c r="B573" t="s">
        <v>169</v>
      </c>
      <c r="C573">
        <v>1</v>
      </c>
      <c r="D573" t="s">
        <v>726</v>
      </c>
    </row>
    <row r="574" spans="1:4" x14ac:dyDescent="0.45">
      <c r="A574" t="s">
        <v>64</v>
      </c>
      <c r="B574" t="s">
        <v>171</v>
      </c>
      <c r="C574">
        <v>1</v>
      </c>
      <c r="D574" t="s">
        <v>727</v>
      </c>
    </row>
    <row r="575" spans="1:4" x14ac:dyDescent="0.45">
      <c r="A575" t="s">
        <v>64</v>
      </c>
      <c r="B575" t="s">
        <v>173</v>
      </c>
      <c r="C575">
        <v>0</v>
      </c>
      <c r="D575" t="s">
        <v>728</v>
      </c>
    </row>
    <row r="576" spans="1:4" x14ac:dyDescent="0.45">
      <c r="A576" t="s">
        <v>64</v>
      </c>
      <c r="B576" t="s">
        <v>175</v>
      </c>
      <c r="C576">
        <v>1</v>
      </c>
      <c r="D576" t="s">
        <v>729</v>
      </c>
    </row>
    <row r="577" spans="1:4" x14ac:dyDescent="0.45">
      <c r="A577" t="s">
        <v>64</v>
      </c>
      <c r="B577" t="s">
        <v>177</v>
      </c>
      <c r="C577">
        <v>1</v>
      </c>
      <c r="D577" t="s">
        <v>730</v>
      </c>
    </row>
    <row r="578" spans="1:4" x14ac:dyDescent="0.45">
      <c r="A578" t="s">
        <v>77</v>
      </c>
      <c r="B578" t="s">
        <v>121</v>
      </c>
      <c r="C578">
        <v>0</v>
      </c>
      <c r="D578" t="s">
        <v>731</v>
      </c>
    </row>
    <row r="579" spans="1:4" x14ac:dyDescent="0.45">
      <c r="A579" t="s">
        <v>77</v>
      </c>
      <c r="B579" t="s">
        <v>134</v>
      </c>
      <c r="C579">
        <v>0</v>
      </c>
      <c r="D579" t="s">
        <v>732</v>
      </c>
    </row>
    <row r="580" spans="1:4" x14ac:dyDescent="0.45">
      <c r="A580" t="s">
        <v>77</v>
      </c>
      <c r="B580" t="s">
        <v>136</v>
      </c>
      <c r="C580">
        <v>0</v>
      </c>
      <c r="D580" t="s">
        <v>733</v>
      </c>
    </row>
    <row r="581" spans="1:4" x14ac:dyDescent="0.45">
      <c r="A581" t="s">
        <v>77</v>
      </c>
      <c r="B581" t="s">
        <v>138</v>
      </c>
      <c r="C581">
        <v>1</v>
      </c>
      <c r="D581" t="s">
        <v>734</v>
      </c>
    </row>
    <row r="582" spans="1:4" x14ac:dyDescent="0.45">
      <c r="A582" t="s">
        <v>77</v>
      </c>
      <c r="B582" t="s">
        <v>140</v>
      </c>
      <c r="C582">
        <v>0.9</v>
      </c>
      <c r="D582" t="s">
        <v>735</v>
      </c>
    </row>
    <row r="583" spans="1:4" x14ac:dyDescent="0.45">
      <c r="A583" t="s">
        <v>77</v>
      </c>
      <c r="B583" t="s">
        <v>142</v>
      </c>
      <c r="C583">
        <v>0</v>
      </c>
      <c r="D583" t="s">
        <v>736</v>
      </c>
    </row>
    <row r="584" spans="1:4" x14ac:dyDescent="0.45">
      <c r="A584" t="s">
        <v>77</v>
      </c>
      <c r="B584" t="s">
        <v>144</v>
      </c>
      <c r="C584">
        <v>0</v>
      </c>
      <c r="D584" t="s">
        <v>737</v>
      </c>
    </row>
    <row r="585" spans="1:4" x14ac:dyDescent="0.45">
      <c r="A585" t="s">
        <v>77</v>
      </c>
      <c r="B585" t="s">
        <v>146</v>
      </c>
      <c r="C585">
        <v>0</v>
      </c>
      <c r="D585" t="s">
        <v>738</v>
      </c>
    </row>
    <row r="586" spans="1:4" x14ac:dyDescent="0.45">
      <c r="A586" t="s">
        <v>77</v>
      </c>
      <c r="B586" t="s">
        <v>148</v>
      </c>
      <c r="C586">
        <v>1</v>
      </c>
      <c r="D586" t="s">
        <v>739</v>
      </c>
    </row>
    <row r="587" spans="1:4" x14ac:dyDescent="0.45">
      <c r="A587" t="s">
        <v>77</v>
      </c>
      <c r="B587" t="s">
        <v>150</v>
      </c>
      <c r="C587">
        <v>1</v>
      </c>
      <c r="D587" t="s">
        <v>740</v>
      </c>
    </row>
    <row r="588" spans="1:4" x14ac:dyDescent="0.45">
      <c r="A588" t="s">
        <v>77</v>
      </c>
      <c r="B588" t="s">
        <v>152</v>
      </c>
      <c r="C588">
        <v>1</v>
      </c>
      <c r="D588" t="s">
        <v>741</v>
      </c>
    </row>
    <row r="589" spans="1:4" x14ac:dyDescent="0.45">
      <c r="A589" t="s">
        <v>77</v>
      </c>
      <c r="B589" t="s">
        <v>154</v>
      </c>
      <c r="C589">
        <v>1</v>
      </c>
      <c r="D589" t="s">
        <v>742</v>
      </c>
    </row>
    <row r="590" spans="1:4" x14ac:dyDescent="0.45">
      <c r="A590" t="s">
        <v>77</v>
      </c>
      <c r="B590" t="s">
        <v>124</v>
      </c>
      <c r="C590">
        <v>0</v>
      </c>
      <c r="D590" t="s">
        <v>743</v>
      </c>
    </row>
    <row r="591" spans="1:4" x14ac:dyDescent="0.45">
      <c r="A591" t="s">
        <v>77</v>
      </c>
      <c r="B591" t="s">
        <v>157</v>
      </c>
      <c r="C591">
        <v>0</v>
      </c>
      <c r="D591" t="s">
        <v>744</v>
      </c>
    </row>
    <row r="592" spans="1:4" x14ac:dyDescent="0.45">
      <c r="A592" t="s">
        <v>77</v>
      </c>
      <c r="B592" t="s">
        <v>159</v>
      </c>
      <c r="C592">
        <v>1</v>
      </c>
      <c r="D592" t="s">
        <v>745</v>
      </c>
    </row>
    <row r="593" spans="1:4" x14ac:dyDescent="0.45">
      <c r="A593" t="s">
        <v>77</v>
      </c>
      <c r="B593" t="s">
        <v>161</v>
      </c>
      <c r="C593">
        <v>0</v>
      </c>
      <c r="D593" t="s">
        <v>746</v>
      </c>
    </row>
    <row r="594" spans="1:4" x14ac:dyDescent="0.45">
      <c r="A594" t="s">
        <v>77</v>
      </c>
      <c r="B594" t="s">
        <v>163</v>
      </c>
      <c r="C594">
        <v>0</v>
      </c>
      <c r="D594" t="s">
        <v>747</v>
      </c>
    </row>
    <row r="595" spans="1:4" x14ac:dyDescent="0.45">
      <c r="A595" t="s">
        <v>77</v>
      </c>
      <c r="B595" t="s">
        <v>165</v>
      </c>
      <c r="C595">
        <v>0.15</v>
      </c>
      <c r="D595" t="s">
        <v>748</v>
      </c>
    </row>
    <row r="596" spans="1:4" x14ac:dyDescent="0.45">
      <c r="A596" t="s">
        <v>77</v>
      </c>
      <c r="B596" t="s">
        <v>167</v>
      </c>
      <c r="C596">
        <v>0.15</v>
      </c>
      <c r="D596" t="s">
        <v>749</v>
      </c>
    </row>
    <row r="597" spans="1:4" x14ac:dyDescent="0.45">
      <c r="A597" t="s">
        <v>77</v>
      </c>
      <c r="B597" t="s">
        <v>169</v>
      </c>
      <c r="C597">
        <v>1</v>
      </c>
      <c r="D597" t="s">
        <v>750</v>
      </c>
    </row>
    <row r="598" spans="1:4" x14ac:dyDescent="0.45">
      <c r="A598" t="s">
        <v>77</v>
      </c>
      <c r="B598" t="s">
        <v>171</v>
      </c>
      <c r="C598">
        <v>1</v>
      </c>
      <c r="D598" t="s">
        <v>751</v>
      </c>
    </row>
    <row r="599" spans="1:4" x14ac:dyDescent="0.45">
      <c r="A599" t="s">
        <v>77</v>
      </c>
      <c r="B599" t="s">
        <v>173</v>
      </c>
      <c r="C599">
        <v>0</v>
      </c>
      <c r="D599" t="s">
        <v>752</v>
      </c>
    </row>
    <row r="600" spans="1:4" x14ac:dyDescent="0.45">
      <c r="A600" t="s">
        <v>77</v>
      </c>
      <c r="B600" t="s">
        <v>175</v>
      </c>
      <c r="C600">
        <v>1</v>
      </c>
      <c r="D600" t="s">
        <v>753</v>
      </c>
    </row>
    <row r="601" spans="1:4" x14ac:dyDescent="0.45">
      <c r="A601" t="s">
        <v>77</v>
      </c>
      <c r="B601" t="s">
        <v>177</v>
      </c>
      <c r="C601">
        <v>1</v>
      </c>
      <c r="D601" t="s">
        <v>754</v>
      </c>
    </row>
    <row r="602" spans="1:4" x14ac:dyDescent="0.45">
      <c r="A602" t="s">
        <v>79</v>
      </c>
      <c r="B602" t="s">
        <v>121</v>
      </c>
      <c r="C602">
        <v>0</v>
      </c>
      <c r="D602" t="s">
        <v>755</v>
      </c>
    </row>
    <row r="603" spans="1:4" x14ac:dyDescent="0.45">
      <c r="A603" t="s">
        <v>79</v>
      </c>
      <c r="B603" t="s">
        <v>134</v>
      </c>
      <c r="C603">
        <v>0</v>
      </c>
      <c r="D603" t="s">
        <v>756</v>
      </c>
    </row>
    <row r="604" spans="1:4" x14ac:dyDescent="0.45">
      <c r="A604" t="s">
        <v>79</v>
      </c>
      <c r="B604" t="s">
        <v>136</v>
      </c>
      <c r="C604">
        <v>0</v>
      </c>
      <c r="D604" t="s">
        <v>757</v>
      </c>
    </row>
    <row r="605" spans="1:4" x14ac:dyDescent="0.45">
      <c r="A605" t="s">
        <v>79</v>
      </c>
      <c r="B605" t="s">
        <v>138</v>
      </c>
      <c r="C605">
        <v>1</v>
      </c>
      <c r="D605" t="s">
        <v>758</v>
      </c>
    </row>
    <row r="606" spans="1:4" x14ac:dyDescent="0.45">
      <c r="A606" t="s">
        <v>79</v>
      </c>
      <c r="B606" t="s">
        <v>140</v>
      </c>
      <c r="C606">
        <v>0.9</v>
      </c>
      <c r="D606" t="s">
        <v>759</v>
      </c>
    </row>
    <row r="607" spans="1:4" x14ac:dyDescent="0.45">
      <c r="A607" t="s">
        <v>79</v>
      </c>
      <c r="B607" t="s">
        <v>142</v>
      </c>
      <c r="C607">
        <v>0</v>
      </c>
      <c r="D607" t="s">
        <v>760</v>
      </c>
    </row>
    <row r="608" spans="1:4" x14ac:dyDescent="0.45">
      <c r="A608" t="s">
        <v>79</v>
      </c>
      <c r="B608" t="s">
        <v>144</v>
      </c>
      <c r="C608">
        <v>0</v>
      </c>
      <c r="D608" t="s">
        <v>761</v>
      </c>
    </row>
    <row r="609" spans="1:4" x14ac:dyDescent="0.45">
      <c r="A609" t="s">
        <v>79</v>
      </c>
      <c r="B609" t="s">
        <v>146</v>
      </c>
      <c r="C609">
        <v>0</v>
      </c>
      <c r="D609" t="s">
        <v>762</v>
      </c>
    </row>
    <row r="610" spans="1:4" x14ac:dyDescent="0.45">
      <c r="A610" t="s">
        <v>79</v>
      </c>
      <c r="B610" t="s">
        <v>148</v>
      </c>
      <c r="C610">
        <v>1</v>
      </c>
      <c r="D610" t="s">
        <v>763</v>
      </c>
    </row>
    <row r="611" spans="1:4" x14ac:dyDescent="0.45">
      <c r="A611" t="s">
        <v>79</v>
      </c>
      <c r="B611" t="s">
        <v>150</v>
      </c>
      <c r="C611">
        <v>1</v>
      </c>
      <c r="D611" t="s">
        <v>764</v>
      </c>
    </row>
    <row r="612" spans="1:4" x14ac:dyDescent="0.45">
      <c r="A612" t="s">
        <v>79</v>
      </c>
      <c r="B612" t="s">
        <v>152</v>
      </c>
      <c r="C612">
        <v>1</v>
      </c>
      <c r="D612" t="s">
        <v>765</v>
      </c>
    </row>
    <row r="613" spans="1:4" x14ac:dyDescent="0.45">
      <c r="A613" t="s">
        <v>79</v>
      </c>
      <c r="B613" t="s">
        <v>154</v>
      </c>
      <c r="C613">
        <v>1</v>
      </c>
      <c r="D613" t="s">
        <v>766</v>
      </c>
    </row>
    <row r="614" spans="1:4" x14ac:dyDescent="0.45">
      <c r="A614" t="s">
        <v>79</v>
      </c>
      <c r="B614" t="s">
        <v>124</v>
      </c>
      <c r="C614">
        <v>0</v>
      </c>
      <c r="D614" t="s">
        <v>767</v>
      </c>
    </row>
    <row r="615" spans="1:4" x14ac:dyDescent="0.45">
      <c r="A615" t="s">
        <v>79</v>
      </c>
      <c r="B615" t="s">
        <v>157</v>
      </c>
      <c r="C615">
        <v>0</v>
      </c>
      <c r="D615" t="s">
        <v>768</v>
      </c>
    </row>
    <row r="616" spans="1:4" x14ac:dyDescent="0.45">
      <c r="A616" t="s">
        <v>79</v>
      </c>
      <c r="B616" t="s">
        <v>159</v>
      </c>
      <c r="C616">
        <v>1</v>
      </c>
      <c r="D616" t="s">
        <v>769</v>
      </c>
    </row>
    <row r="617" spans="1:4" x14ac:dyDescent="0.45">
      <c r="A617" t="s">
        <v>79</v>
      </c>
      <c r="B617" t="s">
        <v>161</v>
      </c>
      <c r="C617">
        <v>0</v>
      </c>
      <c r="D617" t="s">
        <v>770</v>
      </c>
    </row>
    <row r="618" spans="1:4" x14ac:dyDescent="0.45">
      <c r="A618" t="s">
        <v>79</v>
      </c>
      <c r="B618" t="s">
        <v>163</v>
      </c>
      <c r="C618">
        <v>0</v>
      </c>
      <c r="D618" t="s">
        <v>771</v>
      </c>
    </row>
    <row r="619" spans="1:4" x14ac:dyDescent="0.45">
      <c r="A619" t="s">
        <v>79</v>
      </c>
      <c r="B619" t="s">
        <v>165</v>
      </c>
      <c r="C619">
        <v>0.15</v>
      </c>
      <c r="D619" t="s">
        <v>772</v>
      </c>
    </row>
    <row r="620" spans="1:4" x14ac:dyDescent="0.45">
      <c r="A620" t="s">
        <v>79</v>
      </c>
      <c r="B620" t="s">
        <v>167</v>
      </c>
      <c r="C620">
        <v>0.15</v>
      </c>
      <c r="D620" t="s">
        <v>773</v>
      </c>
    </row>
    <row r="621" spans="1:4" x14ac:dyDescent="0.45">
      <c r="A621" t="s">
        <v>79</v>
      </c>
      <c r="B621" t="s">
        <v>169</v>
      </c>
      <c r="C621">
        <v>1</v>
      </c>
      <c r="D621" t="s">
        <v>774</v>
      </c>
    </row>
    <row r="622" spans="1:4" x14ac:dyDescent="0.45">
      <c r="A622" t="s">
        <v>79</v>
      </c>
      <c r="B622" t="s">
        <v>171</v>
      </c>
      <c r="C622">
        <v>1</v>
      </c>
      <c r="D622" t="s">
        <v>775</v>
      </c>
    </row>
    <row r="623" spans="1:4" x14ac:dyDescent="0.45">
      <c r="A623" t="s">
        <v>79</v>
      </c>
      <c r="B623" t="s">
        <v>173</v>
      </c>
      <c r="C623">
        <v>0</v>
      </c>
      <c r="D623" t="s">
        <v>776</v>
      </c>
    </row>
    <row r="624" spans="1:4" x14ac:dyDescent="0.45">
      <c r="A624" t="s">
        <v>79</v>
      </c>
      <c r="B624" t="s">
        <v>175</v>
      </c>
      <c r="C624">
        <v>1</v>
      </c>
      <c r="D624" t="s">
        <v>777</v>
      </c>
    </row>
    <row r="625" spans="1:4" x14ac:dyDescent="0.45">
      <c r="A625" t="s">
        <v>79</v>
      </c>
      <c r="B625" t="s">
        <v>177</v>
      </c>
      <c r="C625">
        <v>1</v>
      </c>
      <c r="D625" t="s">
        <v>778</v>
      </c>
    </row>
    <row r="626" spans="1:4" x14ac:dyDescent="0.45">
      <c r="A626" t="s">
        <v>66</v>
      </c>
      <c r="B626" t="s">
        <v>121</v>
      </c>
      <c r="C626">
        <v>0</v>
      </c>
      <c r="D626" t="s">
        <v>779</v>
      </c>
    </row>
    <row r="627" spans="1:4" x14ac:dyDescent="0.45">
      <c r="A627" t="s">
        <v>66</v>
      </c>
      <c r="B627" t="s">
        <v>134</v>
      </c>
      <c r="C627">
        <v>0</v>
      </c>
      <c r="D627" t="s">
        <v>780</v>
      </c>
    </row>
    <row r="628" spans="1:4" x14ac:dyDescent="0.45">
      <c r="A628" t="s">
        <v>66</v>
      </c>
      <c r="B628" t="s">
        <v>136</v>
      </c>
      <c r="C628">
        <v>0</v>
      </c>
      <c r="D628" t="s">
        <v>781</v>
      </c>
    </row>
    <row r="629" spans="1:4" x14ac:dyDescent="0.45">
      <c r="A629" t="s">
        <v>66</v>
      </c>
      <c r="B629" t="s">
        <v>138</v>
      </c>
      <c r="C629">
        <v>1</v>
      </c>
      <c r="D629" t="s">
        <v>782</v>
      </c>
    </row>
    <row r="630" spans="1:4" x14ac:dyDescent="0.45">
      <c r="A630" t="s">
        <v>66</v>
      </c>
      <c r="B630" t="s">
        <v>140</v>
      </c>
      <c r="C630">
        <v>0.9</v>
      </c>
      <c r="D630" t="s">
        <v>783</v>
      </c>
    </row>
    <row r="631" spans="1:4" x14ac:dyDescent="0.45">
      <c r="A631" t="s">
        <v>66</v>
      </c>
      <c r="B631" t="s">
        <v>142</v>
      </c>
      <c r="C631">
        <v>0</v>
      </c>
      <c r="D631" t="s">
        <v>784</v>
      </c>
    </row>
    <row r="632" spans="1:4" x14ac:dyDescent="0.45">
      <c r="A632" t="s">
        <v>66</v>
      </c>
      <c r="B632" t="s">
        <v>144</v>
      </c>
      <c r="C632">
        <v>0</v>
      </c>
      <c r="D632" t="s">
        <v>785</v>
      </c>
    </row>
    <row r="633" spans="1:4" x14ac:dyDescent="0.45">
      <c r="A633" t="s">
        <v>66</v>
      </c>
      <c r="B633" t="s">
        <v>146</v>
      </c>
      <c r="C633">
        <v>0</v>
      </c>
      <c r="D633" t="s">
        <v>786</v>
      </c>
    </row>
    <row r="634" spans="1:4" x14ac:dyDescent="0.45">
      <c r="A634" t="s">
        <v>66</v>
      </c>
      <c r="B634" t="s">
        <v>148</v>
      </c>
      <c r="C634">
        <v>1</v>
      </c>
      <c r="D634" t="s">
        <v>787</v>
      </c>
    </row>
    <row r="635" spans="1:4" x14ac:dyDescent="0.45">
      <c r="A635" t="s">
        <v>66</v>
      </c>
      <c r="B635" t="s">
        <v>150</v>
      </c>
      <c r="C635">
        <v>1</v>
      </c>
      <c r="D635" t="s">
        <v>788</v>
      </c>
    </row>
    <row r="636" spans="1:4" x14ac:dyDescent="0.45">
      <c r="A636" t="s">
        <v>66</v>
      </c>
      <c r="B636" t="s">
        <v>152</v>
      </c>
      <c r="C636">
        <v>1</v>
      </c>
      <c r="D636" t="s">
        <v>789</v>
      </c>
    </row>
    <row r="637" spans="1:4" x14ac:dyDescent="0.45">
      <c r="A637" t="s">
        <v>66</v>
      </c>
      <c r="B637" t="s">
        <v>154</v>
      </c>
      <c r="C637">
        <v>1</v>
      </c>
      <c r="D637" t="s">
        <v>790</v>
      </c>
    </row>
    <row r="638" spans="1:4" x14ac:dyDescent="0.45">
      <c r="A638" t="s">
        <v>66</v>
      </c>
      <c r="B638" t="s">
        <v>124</v>
      </c>
      <c r="C638">
        <v>0</v>
      </c>
      <c r="D638" t="s">
        <v>791</v>
      </c>
    </row>
    <row r="639" spans="1:4" x14ac:dyDescent="0.45">
      <c r="A639" t="s">
        <v>66</v>
      </c>
      <c r="B639" t="s">
        <v>157</v>
      </c>
      <c r="C639">
        <v>0</v>
      </c>
      <c r="D639" t="s">
        <v>792</v>
      </c>
    </row>
    <row r="640" spans="1:4" x14ac:dyDescent="0.45">
      <c r="A640" t="s">
        <v>66</v>
      </c>
      <c r="B640" t="s">
        <v>159</v>
      </c>
      <c r="C640">
        <v>1</v>
      </c>
      <c r="D640" t="s">
        <v>793</v>
      </c>
    </row>
    <row r="641" spans="1:4" x14ac:dyDescent="0.45">
      <c r="A641" t="s">
        <v>66</v>
      </c>
      <c r="B641" t="s">
        <v>161</v>
      </c>
      <c r="C641">
        <v>0</v>
      </c>
      <c r="D641" t="s">
        <v>794</v>
      </c>
    </row>
    <row r="642" spans="1:4" x14ac:dyDescent="0.45">
      <c r="A642" t="s">
        <v>66</v>
      </c>
      <c r="B642" t="s">
        <v>163</v>
      </c>
      <c r="C642">
        <v>0</v>
      </c>
      <c r="D642" t="s">
        <v>795</v>
      </c>
    </row>
    <row r="643" spans="1:4" x14ac:dyDescent="0.45">
      <c r="A643" t="s">
        <v>66</v>
      </c>
      <c r="B643" t="s">
        <v>165</v>
      </c>
      <c r="C643">
        <v>0.15</v>
      </c>
      <c r="D643" t="s">
        <v>796</v>
      </c>
    </row>
    <row r="644" spans="1:4" x14ac:dyDescent="0.45">
      <c r="A644" t="s">
        <v>66</v>
      </c>
      <c r="B644" t="s">
        <v>167</v>
      </c>
      <c r="C644">
        <v>0.15</v>
      </c>
      <c r="D644" t="s">
        <v>797</v>
      </c>
    </row>
    <row r="645" spans="1:4" x14ac:dyDescent="0.45">
      <c r="A645" t="s">
        <v>66</v>
      </c>
      <c r="B645" t="s">
        <v>169</v>
      </c>
      <c r="C645">
        <v>1</v>
      </c>
      <c r="D645" t="s">
        <v>798</v>
      </c>
    </row>
    <row r="646" spans="1:4" x14ac:dyDescent="0.45">
      <c r="A646" t="s">
        <v>66</v>
      </c>
      <c r="B646" t="s">
        <v>171</v>
      </c>
      <c r="C646">
        <v>1</v>
      </c>
      <c r="D646" t="s">
        <v>799</v>
      </c>
    </row>
    <row r="647" spans="1:4" x14ac:dyDescent="0.45">
      <c r="A647" t="s">
        <v>66</v>
      </c>
      <c r="B647" t="s">
        <v>173</v>
      </c>
      <c r="C647">
        <v>0</v>
      </c>
      <c r="D647" t="s">
        <v>800</v>
      </c>
    </row>
    <row r="648" spans="1:4" x14ac:dyDescent="0.45">
      <c r="A648" t="s">
        <v>66</v>
      </c>
      <c r="B648" t="s">
        <v>175</v>
      </c>
      <c r="C648">
        <v>1</v>
      </c>
      <c r="D648" t="s">
        <v>801</v>
      </c>
    </row>
    <row r="649" spans="1:4" x14ac:dyDescent="0.45">
      <c r="A649" t="s">
        <v>66</v>
      </c>
      <c r="B649" t="s">
        <v>177</v>
      </c>
      <c r="C649">
        <v>1</v>
      </c>
      <c r="D649" t="s">
        <v>802</v>
      </c>
    </row>
    <row r="650" spans="1:4" x14ac:dyDescent="0.45">
      <c r="A650" t="s">
        <v>70</v>
      </c>
      <c r="B650" t="s">
        <v>121</v>
      </c>
      <c r="C650">
        <v>0</v>
      </c>
      <c r="D650" t="s">
        <v>803</v>
      </c>
    </row>
    <row r="651" spans="1:4" x14ac:dyDescent="0.45">
      <c r="A651" t="s">
        <v>70</v>
      </c>
      <c r="B651" t="s">
        <v>134</v>
      </c>
      <c r="C651">
        <v>0</v>
      </c>
      <c r="D651" t="s">
        <v>804</v>
      </c>
    </row>
    <row r="652" spans="1:4" x14ac:dyDescent="0.45">
      <c r="A652" t="s">
        <v>70</v>
      </c>
      <c r="B652" t="s">
        <v>136</v>
      </c>
      <c r="C652">
        <v>0</v>
      </c>
      <c r="D652" t="s">
        <v>805</v>
      </c>
    </row>
    <row r="653" spans="1:4" x14ac:dyDescent="0.45">
      <c r="A653" t="s">
        <v>70</v>
      </c>
      <c r="B653" t="s">
        <v>138</v>
      </c>
      <c r="C653">
        <v>1</v>
      </c>
      <c r="D653" t="s">
        <v>806</v>
      </c>
    </row>
    <row r="654" spans="1:4" x14ac:dyDescent="0.45">
      <c r="A654" t="s">
        <v>70</v>
      </c>
      <c r="B654" t="s">
        <v>140</v>
      </c>
      <c r="C654">
        <v>0.9</v>
      </c>
      <c r="D654" t="s">
        <v>807</v>
      </c>
    </row>
    <row r="655" spans="1:4" x14ac:dyDescent="0.45">
      <c r="A655" t="s">
        <v>70</v>
      </c>
      <c r="B655" t="s">
        <v>142</v>
      </c>
      <c r="C655">
        <v>0</v>
      </c>
      <c r="D655" t="s">
        <v>808</v>
      </c>
    </row>
    <row r="656" spans="1:4" x14ac:dyDescent="0.45">
      <c r="A656" t="s">
        <v>70</v>
      </c>
      <c r="B656" t="s">
        <v>144</v>
      </c>
      <c r="C656">
        <v>0</v>
      </c>
      <c r="D656" t="s">
        <v>809</v>
      </c>
    </row>
    <row r="657" spans="1:4" x14ac:dyDescent="0.45">
      <c r="A657" t="s">
        <v>70</v>
      </c>
      <c r="B657" t="s">
        <v>146</v>
      </c>
      <c r="C657">
        <v>0</v>
      </c>
      <c r="D657" t="s">
        <v>810</v>
      </c>
    </row>
    <row r="658" spans="1:4" x14ac:dyDescent="0.45">
      <c r="A658" t="s">
        <v>70</v>
      </c>
      <c r="B658" t="s">
        <v>148</v>
      </c>
      <c r="C658">
        <v>1</v>
      </c>
      <c r="D658" t="s">
        <v>811</v>
      </c>
    </row>
    <row r="659" spans="1:4" x14ac:dyDescent="0.45">
      <c r="A659" t="s">
        <v>70</v>
      </c>
      <c r="B659" t="s">
        <v>150</v>
      </c>
      <c r="C659">
        <v>1</v>
      </c>
      <c r="D659" t="s">
        <v>812</v>
      </c>
    </row>
    <row r="660" spans="1:4" x14ac:dyDescent="0.45">
      <c r="A660" t="s">
        <v>70</v>
      </c>
      <c r="B660" t="s">
        <v>152</v>
      </c>
      <c r="C660">
        <v>1</v>
      </c>
      <c r="D660" t="s">
        <v>813</v>
      </c>
    </row>
    <row r="661" spans="1:4" x14ac:dyDescent="0.45">
      <c r="A661" t="s">
        <v>70</v>
      </c>
      <c r="B661" t="s">
        <v>154</v>
      </c>
      <c r="C661">
        <v>1</v>
      </c>
      <c r="D661" t="s">
        <v>814</v>
      </c>
    </row>
    <row r="662" spans="1:4" x14ac:dyDescent="0.45">
      <c r="A662" t="s">
        <v>70</v>
      </c>
      <c r="B662" t="s">
        <v>124</v>
      </c>
      <c r="C662">
        <v>0</v>
      </c>
      <c r="D662" t="s">
        <v>815</v>
      </c>
    </row>
    <row r="663" spans="1:4" x14ac:dyDescent="0.45">
      <c r="A663" t="s">
        <v>70</v>
      </c>
      <c r="B663" t="s">
        <v>157</v>
      </c>
      <c r="C663">
        <v>0</v>
      </c>
      <c r="D663" t="s">
        <v>816</v>
      </c>
    </row>
    <row r="664" spans="1:4" x14ac:dyDescent="0.45">
      <c r="A664" t="s">
        <v>70</v>
      </c>
      <c r="B664" t="s">
        <v>159</v>
      </c>
      <c r="C664">
        <v>1</v>
      </c>
      <c r="D664" t="s">
        <v>817</v>
      </c>
    </row>
    <row r="665" spans="1:4" x14ac:dyDescent="0.45">
      <c r="A665" t="s">
        <v>70</v>
      </c>
      <c r="B665" t="s">
        <v>161</v>
      </c>
      <c r="C665">
        <v>0</v>
      </c>
      <c r="D665" t="s">
        <v>818</v>
      </c>
    </row>
    <row r="666" spans="1:4" x14ac:dyDescent="0.45">
      <c r="A666" t="s">
        <v>70</v>
      </c>
      <c r="B666" t="s">
        <v>163</v>
      </c>
      <c r="C666">
        <v>0</v>
      </c>
      <c r="D666" t="s">
        <v>819</v>
      </c>
    </row>
    <row r="667" spans="1:4" x14ac:dyDescent="0.45">
      <c r="A667" t="s">
        <v>70</v>
      </c>
      <c r="B667" t="s">
        <v>165</v>
      </c>
      <c r="C667">
        <v>0.15</v>
      </c>
      <c r="D667" t="s">
        <v>820</v>
      </c>
    </row>
    <row r="668" spans="1:4" x14ac:dyDescent="0.45">
      <c r="A668" t="s">
        <v>70</v>
      </c>
      <c r="B668" t="s">
        <v>167</v>
      </c>
      <c r="C668">
        <v>0.15</v>
      </c>
      <c r="D668" t="s">
        <v>821</v>
      </c>
    </row>
    <row r="669" spans="1:4" x14ac:dyDescent="0.45">
      <c r="A669" t="s">
        <v>70</v>
      </c>
      <c r="B669" t="s">
        <v>169</v>
      </c>
      <c r="C669">
        <v>1</v>
      </c>
      <c r="D669" t="s">
        <v>822</v>
      </c>
    </row>
    <row r="670" spans="1:4" x14ac:dyDescent="0.45">
      <c r="A670" t="s">
        <v>70</v>
      </c>
      <c r="B670" t="s">
        <v>171</v>
      </c>
      <c r="C670">
        <v>1</v>
      </c>
      <c r="D670" t="s">
        <v>823</v>
      </c>
    </row>
    <row r="671" spans="1:4" x14ac:dyDescent="0.45">
      <c r="A671" t="s">
        <v>70</v>
      </c>
      <c r="B671" t="s">
        <v>173</v>
      </c>
      <c r="C671">
        <v>0</v>
      </c>
      <c r="D671" t="s">
        <v>824</v>
      </c>
    </row>
    <row r="672" spans="1:4" x14ac:dyDescent="0.45">
      <c r="A672" t="s">
        <v>70</v>
      </c>
      <c r="B672" t="s">
        <v>175</v>
      </c>
      <c r="C672">
        <v>1</v>
      </c>
      <c r="D672" t="s">
        <v>825</v>
      </c>
    </row>
    <row r="673" spans="1:4" x14ac:dyDescent="0.45">
      <c r="A673" t="s">
        <v>70</v>
      </c>
      <c r="B673" t="s">
        <v>177</v>
      </c>
      <c r="C673">
        <v>1</v>
      </c>
      <c r="D673" t="s">
        <v>826</v>
      </c>
    </row>
    <row r="674" spans="1:4" x14ac:dyDescent="0.45">
      <c r="A674" t="s">
        <v>72</v>
      </c>
      <c r="B674" t="s">
        <v>121</v>
      </c>
      <c r="C674">
        <v>0</v>
      </c>
      <c r="D674" t="s">
        <v>827</v>
      </c>
    </row>
    <row r="675" spans="1:4" x14ac:dyDescent="0.45">
      <c r="A675" t="s">
        <v>72</v>
      </c>
      <c r="B675" t="s">
        <v>134</v>
      </c>
      <c r="C675">
        <v>0</v>
      </c>
      <c r="D675" t="s">
        <v>828</v>
      </c>
    </row>
    <row r="676" spans="1:4" x14ac:dyDescent="0.45">
      <c r="A676" t="s">
        <v>72</v>
      </c>
      <c r="B676" t="s">
        <v>136</v>
      </c>
      <c r="C676">
        <v>0</v>
      </c>
      <c r="D676" t="s">
        <v>829</v>
      </c>
    </row>
    <row r="677" spans="1:4" x14ac:dyDescent="0.45">
      <c r="A677" t="s">
        <v>72</v>
      </c>
      <c r="B677" t="s">
        <v>138</v>
      </c>
      <c r="C677">
        <v>1</v>
      </c>
      <c r="D677" t="s">
        <v>830</v>
      </c>
    </row>
    <row r="678" spans="1:4" x14ac:dyDescent="0.45">
      <c r="A678" t="s">
        <v>72</v>
      </c>
      <c r="B678" t="s">
        <v>140</v>
      </c>
      <c r="C678">
        <v>0.9</v>
      </c>
      <c r="D678" t="s">
        <v>831</v>
      </c>
    </row>
    <row r="679" spans="1:4" x14ac:dyDescent="0.45">
      <c r="A679" t="s">
        <v>72</v>
      </c>
      <c r="B679" t="s">
        <v>142</v>
      </c>
      <c r="C679">
        <v>0</v>
      </c>
      <c r="D679" t="s">
        <v>832</v>
      </c>
    </row>
    <row r="680" spans="1:4" x14ac:dyDescent="0.45">
      <c r="A680" t="s">
        <v>72</v>
      </c>
      <c r="B680" t="s">
        <v>144</v>
      </c>
      <c r="C680">
        <v>0</v>
      </c>
      <c r="D680" t="s">
        <v>833</v>
      </c>
    </row>
    <row r="681" spans="1:4" x14ac:dyDescent="0.45">
      <c r="A681" t="s">
        <v>72</v>
      </c>
      <c r="B681" t="s">
        <v>146</v>
      </c>
      <c r="C681">
        <v>0</v>
      </c>
      <c r="D681" t="s">
        <v>834</v>
      </c>
    </row>
    <row r="682" spans="1:4" x14ac:dyDescent="0.45">
      <c r="A682" t="s">
        <v>72</v>
      </c>
      <c r="B682" t="s">
        <v>148</v>
      </c>
      <c r="C682">
        <v>1</v>
      </c>
      <c r="D682" t="s">
        <v>835</v>
      </c>
    </row>
    <row r="683" spans="1:4" x14ac:dyDescent="0.45">
      <c r="A683" t="s">
        <v>72</v>
      </c>
      <c r="B683" t="s">
        <v>150</v>
      </c>
      <c r="C683">
        <v>1</v>
      </c>
      <c r="D683" t="s">
        <v>836</v>
      </c>
    </row>
    <row r="684" spans="1:4" x14ac:dyDescent="0.45">
      <c r="A684" t="s">
        <v>72</v>
      </c>
      <c r="B684" t="s">
        <v>152</v>
      </c>
      <c r="C684">
        <v>1</v>
      </c>
      <c r="D684" t="s">
        <v>837</v>
      </c>
    </row>
    <row r="685" spans="1:4" x14ac:dyDescent="0.45">
      <c r="A685" t="s">
        <v>72</v>
      </c>
      <c r="B685" t="s">
        <v>154</v>
      </c>
      <c r="C685">
        <v>1</v>
      </c>
      <c r="D685" t="s">
        <v>838</v>
      </c>
    </row>
    <row r="686" spans="1:4" x14ac:dyDescent="0.45">
      <c r="A686" t="s">
        <v>72</v>
      </c>
      <c r="B686" t="s">
        <v>124</v>
      </c>
      <c r="C686">
        <v>0</v>
      </c>
      <c r="D686" t="s">
        <v>839</v>
      </c>
    </row>
    <row r="687" spans="1:4" x14ac:dyDescent="0.45">
      <c r="A687" t="s">
        <v>72</v>
      </c>
      <c r="B687" t="s">
        <v>157</v>
      </c>
      <c r="C687">
        <v>0</v>
      </c>
      <c r="D687" t="s">
        <v>840</v>
      </c>
    </row>
    <row r="688" spans="1:4" x14ac:dyDescent="0.45">
      <c r="A688" t="s">
        <v>72</v>
      </c>
      <c r="B688" t="s">
        <v>159</v>
      </c>
      <c r="C688">
        <v>1</v>
      </c>
      <c r="D688" t="s">
        <v>841</v>
      </c>
    </row>
    <row r="689" spans="1:4" x14ac:dyDescent="0.45">
      <c r="A689" t="s">
        <v>72</v>
      </c>
      <c r="B689" t="s">
        <v>161</v>
      </c>
      <c r="C689">
        <v>0</v>
      </c>
      <c r="D689" t="s">
        <v>842</v>
      </c>
    </row>
    <row r="690" spans="1:4" x14ac:dyDescent="0.45">
      <c r="A690" t="s">
        <v>72</v>
      </c>
      <c r="B690" t="s">
        <v>163</v>
      </c>
      <c r="C690">
        <v>0</v>
      </c>
      <c r="D690" t="s">
        <v>843</v>
      </c>
    </row>
    <row r="691" spans="1:4" x14ac:dyDescent="0.45">
      <c r="A691" t="s">
        <v>72</v>
      </c>
      <c r="B691" t="s">
        <v>165</v>
      </c>
      <c r="C691">
        <v>0.15</v>
      </c>
      <c r="D691" t="s">
        <v>844</v>
      </c>
    </row>
    <row r="692" spans="1:4" x14ac:dyDescent="0.45">
      <c r="A692" t="s">
        <v>72</v>
      </c>
      <c r="B692" t="s">
        <v>167</v>
      </c>
      <c r="C692">
        <v>0.15</v>
      </c>
      <c r="D692" t="s">
        <v>845</v>
      </c>
    </row>
    <row r="693" spans="1:4" x14ac:dyDescent="0.45">
      <c r="A693" t="s">
        <v>72</v>
      </c>
      <c r="B693" t="s">
        <v>169</v>
      </c>
      <c r="C693">
        <v>1</v>
      </c>
      <c r="D693" t="s">
        <v>846</v>
      </c>
    </row>
    <row r="694" spans="1:4" x14ac:dyDescent="0.45">
      <c r="A694" t="s">
        <v>72</v>
      </c>
      <c r="B694" t="s">
        <v>171</v>
      </c>
      <c r="C694">
        <v>1</v>
      </c>
      <c r="D694" t="s">
        <v>847</v>
      </c>
    </row>
    <row r="695" spans="1:4" x14ac:dyDescent="0.45">
      <c r="A695" t="s">
        <v>72</v>
      </c>
      <c r="B695" t="s">
        <v>173</v>
      </c>
      <c r="C695">
        <v>0</v>
      </c>
      <c r="D695" t="s">
        <v>848</v>
      </c>
    </row>
    <row r="696" spans="1:4" x14ac:dyDescent="0.45">
      <c r="A696" t="s">
        <v>72</v>
      </c>
      <c r="B696" t="s">
        <v>175</v>
      </c>
      <c r="C696">
        <v>1</v>
      </c>
      <c r="D696" t="s">
        <v>849</v>
      </c>
    </row>
    <row r="697" spans="1:4" x14ac:dyDescent="0.45">
      <c r="A697" t="s">
        <v>72</v>
      </c>
      <c r="B697" t="s">
        <v>177</v>
      </c>
      <c r="C697">
        <v>1</v>
      </c>
      <c r="D697" t="s">
        <v>850</v>
      </c>
    </row>
    <row r="698" spans="1:4" x14ac:dyDescent="0.45">
      <c r="A698" t="s">
        <v>74</v>
      </c>
      <c r="B698" t="s">
        <v>121</v>
      </c>
      <c r="C698">
        <v>0</v>
      </c>
      <c r="D698" t="s">
        <v>851</v>
      </c>
    </row>
    <row r="699" spans="1:4" x14ac:dyDescent="0.45">
      <c r="A699" t="s">
        <v>74</v>
      </c>
      <c r="B699" t="s">
        <v>134</v>
      </c>
      <c r="C699">
        <v>0</v>
      </c>
      <c r="D699" t="s">
        <v>852</v>
      </c>
    </row>
    <row r="700" spans="1:4" x14ac:dyDescent="0.45">
      <c r="A700" t="s">
        <v>74</v>
      </c>
      <c r="B700" t="s">
        <v>136</v>
      </c>
      <c r="C700">
        <v>0</v>
      </c>
      <c r="D700" t="s">
        <v>853</v>
      </c>
    </row>
    <row r="701" spans="1:4" x14ac:dyDescent="0.45">
      <c r="A701" t="s">
        <v>74</v>
      </c>
      <c r="B701" t="s">
        <v>138</v>
      </c>
      <c r="C701">
        <v>1</v>
      </c>
      <c r="D701" t="s">
        <v>854</v>
      </c>
    </row>
    <row r="702" spans="1:4" x14ac:dyDescent="0.45">
      <c r="A702" t="s">
        <v>74</v>
      </c>
      <c r="B702" t="s">
        <v>140</v>
      </c>
      <c r="C702">
        <v>0.9</v>
      </c>
      <c r="D702" t="s">
        <v>855</v>
      </c>
    </row>
    <row r="703" spans="1:4" x14ac:dyDescent="0.45">
      <c r="A703" t="s">
        <v>74</v>
      </c>
      <c r="B703" t="s">
        <v>142</v>
      </c>
      <c r="C703">
        <v>0</v>
      </c>
      <c r="D703" t="s">
        <v>856</v>
      </c>
    </row>
    <row r="704" spans="1:4" x14ac:dyDescent="0.45">
      <c r="A704" t="s">
        <v>74</v>
      </c>
      <c r="B704" t="s">
        <v>144</v>
      </c>
      <c r="C704">
        <v>0</v>
      </c>
      <c r="D704" t="s">
        <v>857</v>
      </c>
    </row>
    <row r="705" spans="1:4" x14ac:dyDescent="0.45">
      <c r="A705" t="s">
        <v>74</v>
      </c>
      <c r="B705" t="s">
        <v>146</v>
      </c>
      <c r="C705">
        <v>0</v>
      </c>
      <c r="D705" t="s">
        <v>858</v>
      </c>
    </row>
    <row r="706" spans="1:4" x14ac:dyDescent="0.45">
      <c r="A706" t="s">
        <v>74</v>
      </c>
      <c r="B706" t="s">
        <v>148</v>
      </c>
      <c r="C706">
        <v>1</v>
      </c>
      <c r="D706" t="s">
        <v>859</v>
      </c>
    </row>
    <row r="707" spans="1:4" x14ac:dyDescent="0.45">
      <c r="A707" t="s">
        <v>74</v>
      </c>
      <c r="B707" t="s">
        <v>150</v>
      </c>
      <c r="C707">
        <v>1</v>
      </c>
      <c r="D707" t="s">
        <v>860</v>
      </c>
    </row>
    <row r="708" spans="1:4" x14ac:dyDescent="0.45">
      <c r="A708" t="s">
        <v>74</v>
      </c>
      <c r="B708" t="s">
        <v>152</v>
      </c>
      <c r="C708">
        <v>1</v>
      </c>
      <c r="D708" t="s">
        <v>861</v>
      </c>
    </row>
    <row r="709" spans="1:4" x14ac:dyDescent="0.45">
      <c r="A709" t="s">
        <v>74</v>
      </c>
      <c r="B709" t="s">
        <v>154</v>
      </c>
      <c r="C709">
        <v>1</v>
      </c>
      <c r="D709" t="s">
        <v>862</v>
      </c>
    </row>
    <row r="710" spans="1:4" x14ac:dyDescent="0.45">
      <c r="A710" t="s">
        <v>74</v>
      </c>
      <c r="B710" t="s">
        <v>124</v>
      </c>
      <c r="C710">
        <v>0</v>
      </c>
      <c r="D710" t="s">
        <v>863</v>
      </c>
    </row>
    <row r="711" spans="1:4" x14ac:dyDescent="0.45">
      <c r="A711" t="s">
        <v>74</v>
      </c>
      <c r="B711" t="s">
        <v>157</v>
      </c>
      <c r="C711">
        <v>0</v>
      </c>
      <c r="D711" t="s">
        <v>864</v>
      </c>
    </row>
    <row r="712" spans="1:4" x14ac:dyDescent="0.45">
      <c r="A712" t="s">
        <v>74</v>
      </c>
      <c r="B712" t="s">
        <v>159</v>
      </c>
      <c r="C712">
        <v>1</v>
      </c>
      <c r="D712" t="s">
        <v>865</v>
      </c>
    </row>
    <row r="713" spans="1:4" x14ac:dyDescent="0.45">
      <c r="A713" t="s">
        <v>74</v>
      </c>
      <c r="B713" t="s">
        <v>161</v>
      </c>
      <c r="C713">
        <v>0</v>
      </c>
      <c r="D713" t="s">
        <v>866</v>
      </c>
    </row>
    <row r="714" spans="1:4" x14ac:dyDescent="0.45">
      <c r="A714" t="s">
        <v>74</v>
      </c>
      <c r="B714" t="s">
        <v>163</v>
      </c>
      <c r="C714">
        <v>0</v>
      </c>
      <c r="D714" t="s">
        <v>867</v>
      </c>
    </row>
    <row r="715" spans="1:4" x14ac:dyDescent="0.45">
      <c r="A715" t="s">
        <v>74</v>
      </c>
      <c r="B715" t="s">
        <v>165</v>
      </c>
      <c r="C715">
        <v>0.15</v>
      </c>
      <c r="D715" t="s">
        <v>868</v>
      </c>
    </row>
    <row r="716" spans="1:4" x14ac:dyDescent="0.45">
      <c r="A716" t="s">
        <v>74</v>
      </c>
      <c r="B716" t="s">
        <v>167</v>
      </c>
      <c r="C716">
        <v>0.15</v>
      </c>
      <c r="D716" t="s">
        <v>869</v>
      </c>
    </row>
    <row r="717" spans="1:4" x14ac:dyDescent="0.45">
      <c r="A717" t="s">
        <v>74</v>
      </c>
      <c r="B717" t="s">
        <v>169</v>
      </c>
      <c r="C717">
        <v>1</v>
      </c>
      <c r="D717" t="s">
        <v>870</v>
      </c>
    </row>
    <row r="718" spans="1:4" x14ac:dyDescent="0.45">
      <c r="A718" t="s">
        <v>74</v>
      </c>
      <c r="B718" t="s">
        <v>171</v>
      </c>
      <c r="C718">
        <v>1</v>
      </c>
      <c r="D718" t="s">
        <v>871</v>
      </c>
    </row>
    <row r="719" spans="1:4" x14ac:dyDescent="0.45">
      <c r="A719" t="s">
        <v>74</v>
      </c>
      <c r="B719" t="s">
        <v>173</v>
      </c>
      <c r="C719">
        <v>0</v>
      </c>
      <c r="D719" t="s">
        <v>872</v>
      </c>
    </row>
    <row r="720" spans="1:4" x14ac:dyDescent="0.45">
      <c r="A720" t="s">
        <v>74</v>
      </c>
      <c r="B720" t="s">
        <v>175</v>
      </c>
      <c r="C720">
        <v>1</v>
      </c>
      <c r="D720" t="s">
        <v>873</v>
      </c>
    </row>
    <row r="721" spans="1:4" x14ac:dyDescent="0.45">
      <c r="A721" t="s">
        <v>74</v>
      </c>
      <c r="B721" t="s">
        <v>177</v>
      </c>
      <c r="C721">
        <v>1</v>
      </c>
      <c r="D721" t="s">
        <v>874</v>
      </c>
    </row>
    <row r="722" spans="1:4" x14ac:dyDescent="0.45">
      <c r="A722" t="s">
        <v>68</v>
      </c>
      <c r="B722" t="s">
        <v>121</v>
      </c>
      <c r="C722">
        <v>0</v>
      </c>
      <c r="D722" t="s">
        <v>875</v>
      </c>
    </row>
    <row r="723" spans="1:4" x14ac:dyDescent="0.45">
      <c r="A723" t="s">
        <v>68</v>
      </c>
      <c r="B723" t="s">
        <v>134</v>
      </c>
      <c r="C723">
        <v>0</v>
      </c>
      <c r="D723" t="s">
        <v>876</v>
      </c>
    </row>
    <row r="724" spans="1:4" x14ac:dyDescent="0.45">
      <c r="A724" t="s">
        <v>68</v>
      </c>
      <c r="B724" t="s">
        <v>136</v>
      </c>
      <c r="C724">
        <v>0</v>
      </c>
      <c r="D724" t="s">
        <v>877</v>
      </c>
    </row>
    <row r="725" spans="1:4" x14ac:dyDescent="0.45">
      <c r="A725" t="s">
        <v>68</v>
      </c>
      <c r="B725" t="s">
        <v>138</v>
      </c>
      <c r="C725">
        <v>1</v>
      </c>
      <c r="D725" t="s">
        <v>878</v>
      </c>
    </row>
    <row r="726" spans="1:4" x14ac:dyDescent="0.45">
      <c r="A726" t="s">
        <v>68</v>
      </c>
      <c r="B726" t="s">
        <v>140</v>
      </c>
      <c r="C726">
        <v>0.9</v>
      </c>
      <c r="D726" t="s">
        <v>879</v>
      </c>
    </row>
    <row r="727" spans="1:4" x14ac:dyDescent="0.45">
      <c r="A727" t="s">
        <v>68</v>
      </c>
      <c r="B727" t="s">
        <v>142</v>
      </c>
      <c r="C727">
        <v>0</v>
      </c>
      <c r="D727" t="s">
        <v>880</v>
      </c>
    </row>
    <row r="728" spans="1:4" x14ac:dyDescent="0.45">
      <c r="A728" t="s">
        <v>68</v>
      </c>
      <c r="B728" t="s">
        <v>144</v>
      </c>
      <c r="C728">
        <v>0</v>
      </c>
      <c r="D728" t="s">
        <v>881</v>
      </c>
    </row>
    <row r="729" spans="1:4" x14ac:dyDescent="0.45">
      <c r="A729" t="s">
        <v>68</v>
      </c>
      <c r="B729" t="s">
        <v>146</v>
      </c>
      <c r="C729">
        <v>0</v>
      </c>
      <c r="D729" t="s">
        <v>882</v>
      </c>
    </row>
    <row r="730" spans="1:4" x14ac:dyDescent="0.45">
      <c r="A730" t="s">
        <v>68</v>
      </c>
      <c r="B730" t="s">
        <v>148</v>
      </c>
      <c r="C730">
        <v>1</v>
      </c>
      <c r="D730" t="s">
        <v>883</v>
      </c>
    </row>
    <row r="731" spans="1:4" x14ac:dyDescent="0.45">
      <c r="A731" t="s">
        <v>68</v>
      </c>
      <c r="B731" t="s">
        <v>150</v>
      </c>
      <c r="C731">
        <v>1</v>
      </c>
      <c r="D731" t="s">
        <v>884</v>
      </c>
    </row>
    <row r="732" spans="1:4" x14ac:dyDescent="0.45">
      <c r="A732" t="s">
        <v>68</v>
      </c>
      <c r="B732" t="s">
        <v>152</v>
      </c>
      <c r="C732">
        <v>1</v>
      </c>
      <c r="D732" t="s">
        <v>885</v>
      </c>
    </row>
    <row r="733" spans="1:4" x14ac:dyDescent="0.45">
      <c r="A733" t="s">
        <v>68</v>
      </c>
      <c r="B733" t="s">
        <v>154</v>
      </c>
      <c r="C733">
        <v>1</v>
      </c>
      <c r="D733" t="s">
        <v>886</v>
      </c>
    </row>
    <row r="734" spans="1:4" x14ac:dyDescent="0.45">
      <c r="A734" t="s">
        <v>68</v>
      </c>
      <c r="B734" t="s">
        <v>124</v>
      </c>
      <c r="C734">
        <v>0</v>
      </c>
      <c r="D734" t="s">
        <v>887</v>
      </c>
    </row>
    <row r="735" spans="1:4" x14ac:dyDescent="0.45">
      <c r="A735" t="s">
        <v>68</v>
      </c>
      <c r="B735" t="s">
        <v>157</v>
      </c>
      <c r="C735">
        <v>0</v>
      </c>
      <c r="D735" t="s">
        <v>888</v>
      </c>
    </row>
    <row r="736" spans="1:4" x14ac:dyDescent="0.45">
      <c r="A736" t="s">
        <v>68</v>
      </c>
      <c r="B736" t="s">
        <v>159</v>
      </c>
      <c r="C736">
        <v>1</v>
      </c>
      <c r="D736" t="s">
        <v>889</v>
      </c>
    </row>
    <row r="737" spans="1:4" x14ac:dyDescent="0.45">
      <c r="A737" t="s">
        <v>68</v>
      </c>
      <c r="B737" t="s">
        <v>161</v>
      </c>
      <c r="C737">
        <v>0</v>
      </c>
      <c r="D737" t="s">
        <v>890</v>
      </c>
    </row>
    <row r="738" spans="1:4" x14ac:dyDescent="0.45">
      <c r="A738" t="s">
        <v>68</v>
      </c>
      <c r="B738" t="s">
        <v>163</v>
      </c>
      <c r="C738">
        <v>0</v>
      </c>
      <c r="D738" t="s">
        <v>891</v>
      </c>
    </row>
    <row r="739" spans="1:4" x14ac:dyDescent="0.45">
      <c r="A739" t="s">
        <v>68</v>
      </c>
      <c r="B739" t="s">
        <v>165</v>
      </c>
      <c r="C739">
        <v>0.15</v>
      </c>
      <c r="D739" t="s">
        <v>892</v>
      </c>
    </row>
    <row r="740" spans="1:4" x14ac:dyDescent="0.45">
      <c r="A740" t="s">
        <v>68</v>
      </c>
      <c r="B740" t="s">
        <v>167</v>
      </c>
      <c r="C740">
        <v>0.15</v>
      </c>
      <c r="D740" t="s">
        <v>893</v>
      </c>
    </row>
    <row r="741" spans="1:4" x14ac:dyDescent="0.45">
      <c r="A741" t="s">
        <v>68</v>
      </c>
      <c r="B741" t="s">
        <v>169</v>
      </c>
      <c r="C741">
        <v>1</v>
      </c>
      <c r="D741" t="s">
        <v>894</v>
      </c>
    </row>
    <row r="742" spans="1:4" x14ac:dyDescent="0.45">
      <c r="A742" t="s">
        <v>68</v>
      </c>
      <c r="B742" t="s">
        <v>171</v>
      </c>
      <c r="C742">
        <v>1</v>
      </c>
      <c r="D742" t="s">
        <v>895</v>
      </c>
    </row>
    <row r="743" spans="1:4" x14ac:dyDescent="0.45">
      <c r="A743" t="s">
        <v>68</v>
      </c>
      <c r="B743" t="s">
        <v>173</v>
      </c>
      <c r="C743">
        <v>0</v>
      </c>
      <c r="D743" t="s">
        <v>896</v>
      </c>
    </row>
    <row r="744" spans="1:4" x14ac:dyDescent="0.45">
      <c r="A744" t="s">
        <v>68</v>
      </c>
      <c r="B744" t="s">
        <v>175</v>
      </c>
      <c r="C744">
        <v>1</v>
      </c>
      <c r="D744" t="s">
        <v>897</v>
      </c>
    </row>
    <row r="745" spans="1:4" x14ac:dyDescent="0.45">
      <c r="A745" t="s">
        <v>68</v>
      </c>
      <c r="B745" t="s">
        <v>177</v>
      </c>
      <c r="C745">
        <v>1</v>
      </c>
      <c r="D745" t="s">
        <v>898</v>
      </c>
    </row>
    <row r="746" spans="1:4" x14ac:dyDescent="0.45">
      <c r="A746" t="s">
        <v>75</v>
      </c>
      <c r="B746" t="s">
        <v>121</v>
      </c>
      <c r="C746">
        <v>0</v>
      </c>
      <c r="D746" t="s">
        <v>899</v>
      </c>
    </row>
    <row r="747" spans="1:4" x14ac:dyDescent="0.45">
      <c r="A747" t="s">
        <v>75</v>
      </c>
      <c r="B747" t="s">
        <v>134</v>
      </c>
      <c r="C747">
        <v>0</v>
      </c>
      <c r="D747" t="s">
        <v>900</v>
      </c>
    </row>
    <row r="748" spans="1:4" x14ac:dyDescent="0.45">
      <c r="A748" t="s">
        <v>75</v>
      </c>
      <c r="B748" t="s">
        <v>136</v>
      </c>
      <c r="C748">
        <v>0</v>
      </c>
      <c r="D748" t="s">
        <v>901</v>
      </c>
    </row>
    <row r="749" spans="1:4" x14ac:dyDescent="0.45">
      <c r="A749" t="s">
        <v>75</v>
      </c>
      <c r="B749" t="s">
        <v>138</v>
      </c>
      <c r="C749">
        <v>1</v>
      </c>
      <c r="D749" t="s">
        <v>902</v>
      </c>
    </row>
    <row r="750" spans="1:4" x14ac:dyDescent="0.45">
      <c r="A750" t="s">
        <v>75</v>
      </c>
      <c r="B750" t="s">
        <v>140</v>
      </c>
      <c r="C750">
        <v>0.9</v>
      </c>
      <c r="D750" t="s">
        <v>903</v>
      </c>
    </row>
    <row r="751" spans="1:4" x14ac:dyDescent="0.45">
      <c r="A751" t="s">
        <v>75</v>
      </c>
      <c r="B751" t="s">
        <v>142</v>
      </c>
      <c r="C751">
        <v>0</v>
      </c>
      <c r="D751" t="s">
        <v>904</v>
      </c>
    </row>
    <row r="752" spans="1:4" x14ac:dyDescent="0.45">
      <c r="A752" t="s">
        <v>75</v>
      </c>
      <c r="B752" t="s">
        <v>144</v>
      </c>
      <c r="C752">
        <v>0</v>
      </c>
      <c r="D752" t="s">
        <v>905</v>
      </c>
    </row>
    <row r="753" spans="1:4" x14ac:dyDescent="0.45">
      <c r="A753" t="s">
        <v>75</v>
      </c>
      <c r="B753" t="s">
        <v>146</v>
      </c>
      <c r="C753">
        <v>0</v>
      </c>
      <c r="D753" t="s">
        <v>906</v>
      </c>
    </row>
    <row r="754" spans="1:4" x14ac:dyDescent="0.45">
      <c r="A754" t="s">
        <v>75</v>
      </c>
      <c r="B754" t="s">
        <v>148</v>
      </c>
      <c r="C754">
        <v>1</v>
      </c>
      <c r="D754" t="s">
        <v>907</v>
      </c>
    </row>
    <row r="755" spans="1:4" x14ac:dyDescent="0.45">
      <c r="A755" t="s">
        <v>75</v>
      </c>
      <c r="B755" t="s">
        <v>150</v>
      </c>
      <c r="C755">
        <v>1</v>
      </c>
      <c r="D755" t="s">
        <v>908</v>
      </c>
    </row>
    <row r="756" spans="1:4" x14ac:dyDescent="0.45">
      <c r="A756" t="s">
        <v>75</v>
      </c>
      <c r="B756" t="s">
        <v>152</v>
      </c>
      <c r="C756">
        <v>1</v>
      </c>
      <c r="D756" t="s">
        <v>909</v>
      </c>
    </row>
    <row r="757" spans="1:4" x14ac:dyDescent="0.45">
      <c r="A757" t="s">
        <v>75</v>
      </c>
      <c r="B757" t="s">
        <v>154</v>
      </c>
      <c r="C757">
        <v>1</v>
      </c>
      <c r="D757" t="s">
        <v>910</v>
      </c>
    </row>
    <row r="758" spans="1:4" x14ac:dyDescent="0.45">
      <c r="A758" t="s">
        <v>75</v>
      </c>
      <c r="B758" t="s">
        <v>124</v>
      </c>
      <c r="C758">
        <v>0</v>
      </c>
      <c r="D758" t="s">
        <v>911</v>
      </c>
    </row>
    <row r="759" spans="1:4" x14ac:dyDescent="0.45">
      <c r="A759" t="s">
        <v>75</v>
      </c>
      <c r="B759" t="s">
        <v>157</v>
      </c>
      <c r="C759">
        <v>0</v>
      </c>
      <c r="D759" t="s">
        <v>912</v>
      </c>
    </row>
    <row r="760" spans="1:4" x14ac:dyDescent="0.45">
      <c r="A760" t="s">
        <v>75</v>
      </c>
      <c r="B760" t="s">
        <v>159</v>
      </c>
      <c r="C760">
        <v>1</v>
      </c>
      <c r="D760" t="s">
        <v>913</v>
      </c>
    </row>
    <row r="761" spans="1:4" x14ac:dyDescent="0.45">
      <c r="A761" t="s">
        <v>75</v>
      </c>
      <c r="B761" t="s">
        <v>161</v>
      </c>
      <c r="C761">
        <v>0</v>
      </c>
      <c r="D761" t="s">
        <v>914</v>
      </c>
    </row>
    <row r="762" spans="1:4" x14ac:dyDescent="0.45">
      <c r="A762" t="s">
        <v>75</v>
      </c>
      <c r="B762" t="s">
        <v>163</v>
      </c>
      <c r="C762">
        <v>0</v>
      </c>
      <c r="D762" t="s">
        <v>915</v>
      </c>
    </row>
    <row r="763" spans="1:4" x14ac:dyDescent="0.45">
      <c r="A763" t="s">
        <v>75</v>
      </c>
      <c r="B763" t="s">
        <v>165</v>
      </c>
      <c r="C763">
        <v>0.15</v>
      </c>
      <c r="D763" t="s">
        <v>916</v>
      </c>
    </row>
    <row r="764" spans="1:4" x14ac:dyDescent="0.45">
      <c r="A764" t="s">
        <v>75</v>
      </c>
      <c r="B764" t="s">
        <v>167</v>
      </c>
      <c r="C764">
        <v>0.15</v>
      </c>
      <c r="D764" t="s">
        <v>917</v>
      </c>
    </row>
    <row r="765" spans="1:4" x14ac:dyDescent="0.45">
      <c r="A765" t="s">
        <v>75</v>
      </c>
      <c r="B765" t="s">
        <v>169</v>
      </c>
      <c r="C765">
        <v>1</v>
      </c>
      <c r="D765" t="s">
        <v>918</v>
      </c>
    </row>
    <row r="766" spans="1:4" x14ac:dyDescent="0.45">
      <c r="A766" t="s">
        <v>75</v>
      </c>
      <c r="B766" t="s">
        <v>171</v>
      </c>
      <c r="C766">
        <v>1</v>
      </c>
      <c r="D766" t="s">
        <v>919</v>
      </c>
    </row>
    <row r="767" spans="1:4" x14ac:dyDescent="0.45">
      <c r="A767" t="s">
        <v>75</v>
      </c>
      <c r="B767" t="s">
        <v>173</v>
      </c>
      <c r="C767">
        <v>0</v>
      </c>
      <c r="D767" t="s">
        <v>920</v>
      </c>
    </row>
    <row r="768" spans="1:4" x14ac:dyDescent="0.45">
      <c r="A768" t="s">
        <v>75</v>
      </c>
      <c r="B768" t="s">
        <v>175</v>
      </c>
      <c r="C768">
        <v>1</v>
      </c>
      <c r="D768" t="s">
        <v>921</v>
      </c>
    </row>
    <row r="769" spans="1:4" x14ac:dyDescent="0.45">
      <c r="A769" t="s">
        <v>75</v>
      </c>
      <c r="B769" t="s">
        <v>177</v>
      </c>
      <c r="C769">
        <v>1</v>
      </c>
      <c r="D769" t="s">
        <v>922</v>
      </c>
    </row>
    <row r="770" spans="1:4" x14ac:dyDescent="0.45">
      <c r="A770" t="s">
        <v>81</v>
      </c>
      <c r="B770" t="s">
        <v>121</v>
      </c>
      <c r="C770">
        <v>0</v>
      </c>
      <c r="D770" t="s">
        <v>923</v>
      </c>
    </row>
    <row r="771" spans="1:4" x14ac:dyDescent="0.45">
      <c r="A771" t="s">
        <v>81</v>
      </c>
      <c r="B771" t="s">
        <v>134</v>
      </c>
      <c r="C771">
        <v>0</v>
      </c>
      <c r="D771" t="s">
        <v>924</v>
      </c>
    </row>
    <row r="772" spans="1:4" x14ac:dyDescent="0.45">
      <c r="A772" t="s">
        <v>81</v>
      </c>
      <c r="B772" t="s">
        <v>136</v>
      </c>
      <c r="C772">
        <v>0</v>
      </c>
      <c r="D772" t="s">
        <v>925</v>
      </c>
    </row>
    <row r="773" spans="1:4" x14ac:dyDescent="0.45">
      <c r="A773" t="s">
        <v>81</v>
      </c>
      <c r="B773" t="s">
        <v>138</v>
      </c>
      <c r="C773">
        <v>1</v>
      </c>
      <c r="D773" t="s">
        <v>926</v>
      </c>
    </row>
    <row r="774" spans="1:4" x14ac:dyDescent="0.45">
      <c r="A774" t="s">
        <v>81</v>
      </c>
      <c r="B774" t="s">
        <v>140</v>
      </c>
      <c r="C774">
        <v>0.9</v>
      </c>
      <c r="D774" t="s">
        <v>927</v>
      </c>
    </row>
    <row r="775" spans="1:4" x14ac:dyDescent="0.45">
      <c r="A775" t="s">
        <v>81</v>
      </c>
      <c r="B775" t="s">
        <v>142</v>
      </c>
      <c r="C775">
        <v>0</v>
      </c>
      <c r="D775" t="s">
        <v>928</v>
      </c>
    </row>
    <row r="776" spans="1:4" x14ac:dyDescent="0.45">
      <c r="A776" t="s">
        <v>81</v>
      </c>
      <c r="B776" t="s">
        <v>144</v>
      </c>
      <c r="C776">
        <v>0</v>
      </c>
      <c r="D776" t="s">
        <v>929</v>
      </c>
    </row>
    <row r="777" spans="1:4" x14ac:dyDescent="0.45">
      <c r="A777" t="s">
        <v>81</v>
      </c>
      <c r="B777" t="s">
        <v>146</v>
      </c>
      <c r="C777">
        <v>0</v>
      </c>
      <c r="D777" t="s">
        <v>930</v>
      </c>
    </row>
    <row r="778" spans="1:4" x14ac:dyDescent="0.45">
      <c r="A778" t="s">
        <v>81</v>
      </c>
      <c r="B778" t="s">
        <v>148</v>
      </c>
      <c r="C778">
        <v>1</v>
      </c>
      <c r="D778" t="s">
        <v>931</v>
      </c>
    </row>
    <row r="779" spans="1:4" x14ac:dyDescent="0.45">
      <c r="A779" t="s">
        <v>81</v>
      </c>
      <c r="B779" t="s">
        <v>150</v>
      </c>
      <c r="C779">
        <v>1</v>
      </c>
      <c r="D779" t="s">
        <v>932</v>
      </c>
    </row>
    <row r="780" spans="1:4" x14ac:dyDescent="0.45">
      <c r="A780" t="s">
        <v>81</v>
      </c>
      <c r="B780" t="s">
        <v>152</v>
      </c>
      <c r="C780">
        <v>1</v>
      </c>
      <c r="D780" t="s">
        <v>933</v>
      </c>
    </row>
    <row r="781" spans="1:4" x14ac:dyDescent="0.45">
      <c r="A781" t="s">
        <v>81</v>
      </c>
      <c r="B781" t="s">
        <v>154</v>
      </c>
      <c r="C781">
        <v>1</v>
      </c>
      <c r="D781" t="s">
        <v>934</v>
      </c>
    </row>
    <row r="782" spans="1:4" x14ac:dyDescent="0.45">
      <c r="A782" t="s">
        <v>81</v>
      </c>
      <c r="B782" t="s">
        <v>124</v>
      </c>
      <c r="C782">
        <v>0</v>
      </c>
      <c r="D782" t="s">
        <v>935</v>
      </c>
    </row>
    <row r="783" spans="1:4" x14ac:dyDescent="0.45">
      <c r="A783" t="s">
        <v>81</v>
      </c>
      <c r="B783" t="s">
        <v>157</v>
      </c>
      <c r="C783">
        <v>0</v>
      </c>
      <c r="D783" t="s">
        <v>936</v>
      </c>
    </row>
    <row r="784" spans="1:4" x14ac:dyDescent="0.45">
      <c r="A784" t="s">
        <v>81</v>
      </c>
      <c r="B784" t="s">
        <v>159</v>
      </c>
      <c r="C784">
        <v>1</v>
      </c>
      <c r="D784" t="s">
        <v>937</v>
      </c>
    </row>
    <row r="785" spans="1:4" x14ac:dyDescent="0.45">
      <c r="A785" t="s">
        <v>81</v>
      </c>
      <c r="B785" t="s">
        <v>161</v>
      </c>
      <c r="C785">
        <v>0</v>
      </c>
      <c r="D785" t="s">
        <v>938</v>
      </c>
    </row>
    <row r="786" spans="1:4" x14ac:dyDescent="0.45">
      <c r="A786" t="s">
        <v>81</v>
      </c>
      <c r="B786" t="s">
        <v>163</v>
      </c>
      <c r="C786">
        <v>0</v>
      </c>
      <c r="D786" t="s">
        <v>939</v>
      </c>
    </row>
    <row r="787" spans="1:4" x14ac:dyDescent="0.45">
      <c r="A787" t="s">
        <v>81</v>
      </c>
      <c r="B787" t="s">
        <v>165</v>
      </c>
      <c r="C787">
        <v>0.15</v>
      </c>
      <c r="D787" t="s">
        <v>940</v>
      </c>
    </row>
    <row r="788" spans="1:4" x14ac:dyDescent="0.45">
      <c r="A788" t="s">
        <v>81</v>
      </c>
      <c r="B788" t="s">
        <v>167</v>
      </c>
      <c r="C788">
        <v>0.15</v>
      </c>
      <c r="D788" t="s">
        <v>941</v>
      </c>
    </row>
    <row r="789" spans="1:4" x14ac:dyDescent="0.45">
      <c r="A789" t="s">
        <v>81</v>
      </c>
      <c r="B789" t="s">
        <v>169</v>
      </c>
      <c r="C789">
        <v>1</v>
      </c>
      <c r="D789" t="s">
        <v>942</v>
      </c>
    </row>
    <row r="790" spans="1:4" x14ac:dyDescent="0.45">
      <c r="A790" t="s">
        <v>81</v>
      </c>
      <c r="B790" t="s">
        <v>171</v>
      </c>
      <c r="C790">
        <v>1</v>
      </c>
      <c r="D790" t="s">
        <v>943</v>
      </c>
    </row>
    <row r="791" spans="1:4" x14ac:dyDescent="0.45">
      <c r="A791" t="s">
        <v>81</v>
      </c>
      <c r="B791" t="s">
        <v>173</v>
      </c>
      <c r="C791">
        <v>0</v>
      </c>
      <c r="D791" t="s">
        <v>944</v>
      </c>
    </row>
    <row r="792" spans="1:4" x14ac:dyDescent="0.45">
      <c r="A792" t="s">
        <v>81</v>
      </c>
      <c r="B792" t="s">
        <v>175</v>
      </c>
      <c r="C792">
        <v>1</v>
      </c>
      <c r="D792" t="s">
        <v>945</v>
      </c>
    </row>
    <row r="793" spans="1:4" x14ac:dyDescent="0.45">
      <c r="A793" t="s">
        <v>81</v>
      </c>
      <c r="B793" t="s">
        <v>177</v>
      </c>
      <c r="C793">
        <v>1</v>
      </c>
      <c r="D793" t="s">
        <v>946</v>
      </c>
    </row>
    <row r="794" spans="1:4" x14ac:dyDescent="0.45">
      <c r="A794" t="s">
        <v>83</v>
      </c>
      <c r="B794" t="s">
        <v>121</v>
      </c>
      <c r="C794">
        <v>0</v>
      </c>
      <c r="D794" t="s">
        <v>947</v>
      </c>
    </row>
    <row r="795" spans="1:4" x14ac:dyDescent="0.45">
      <c r="A795" t="s">
        <v>83</v>
      </c>
      <c r="B795" t="s">
        <v>134</v>
      </c>
      <c r="C795">
        <v>0</v>
      </c>
      <c r="D795" t="s">
        <v>948</v>
      </c>
    </row>
    <row r="796" spans="1:4" x14ac:dyDescent="0.45">
      <c r="A796" t="s">
        <v>83</v>
      </c>
      <c r="B796" t="s">
        <v>136</v>
      </c>
      <c r="C796">
        <v>0</v>
      </c>
      <c r="D796" t="s">
        <v>949</v>
      </c>
    </row>
    <row r="797" spans="1:4" x14ac:dyDescent="0.45">
      <c r="A797" t="s">
        <v>83</v>
      </c>
      <c r="B797" t="s">
        <v>138</v>
      </c>
      <c r="C797">
        <v>1</v>
      </c>
      <c r="D797" t="s">
        <v>950</v>
      </c>
    </row>
    <row r="798" spans="1:4" x14ac:dyDescent="0.45">
      <c r="A798" t="s">
        <v>83</v>
      </c>
      <c r="B798" t="s">
        <v>140</v>
      </c>
      <c r="C798">
        <v>0.9</v>
      </c>
      <c r="D798" t="s">
        <v>951</v>
      </c>
    </row>
    <row r="799" spans="1:4" x14ac:dyDescent="0.45">
      <c r="A799" t="s">
        <v>83</v>
      </c>
      <c r="B799" t="s">
        <v>142</v>
      </c>
      <c r="C799">
        <v>0</v>
      </c>
      <c r="D799" t="s">
        <v>952</v>
      </c>
    </row>
    <row r="800" spans="1:4" x14ac:dyDescent="0.45">
      <c r="A800" t="s">
        <v>83</v>
      </c>
      <c r="B800" t="s">
        <v>144</v>
      </c>
      <c r="C800">
        <v>0</v>
      </c>
      <c r="D800" t="s">
        <v>953</v>
      </c>
    </row>
    <row r="801" spans="1:4" x14ac:dyDescent="0.45">
      <c r="A801" t="s">
        <v>83</v>
      </c>
      <c r="B801" t="s">
        <v>146</v>
      </c>
      <c r="C801">
        <v>0</v>
      </c>
      <c r="D801" t="s">
        <v>954</v>
      </c>
    </row>
    <row r="802" spans="1:4" x14ac:dyDescent="0.45">
      <c r="A802" t="s">
        <v>83</v>
      </c>
      <c r="B802" t="s">
        <v>148</v>
      </c>
      <c r="C802">
        <v>1</v>
      </c>
      <c r="D802" t="s">
        <v>955</v>
      </c>
    </row>
    <row r="803" spans="1:4" x14ac:dyDescent="0.45">
      <c r="A803" t="s">
        <v>83</v>
      </c>
      <c r="B803" t="s">
        <v>150</v>
      </c>
      <c r="C803">
        <v>1</v>
      </c>
      <c r="D803" t="s">
        <v>956</v>
      </c>
    </row>
    <row r="804" spans="1:4" x14ac:dyDescent="0.45">
      <c r="A804" t="s">
        <v>83</v>
      </c>
      <c r="B804" t="s">
        <v>152</v>
      </c>
      <c r="C804">
        <v>1</v>
      </c>
      <c r="D804" t="s">
        <v>957</v>
      </c>
    </row>
    <row r="805" spans="1:4" x14ac:dyDescent="0.45">
      <c r="A805" t="s">
        <v>83</v>
      </c>
      <c r="B805" t="s">
        <v>154</v>
      </c>
      <c r="C805">
        <v>1</v>
      </c>
      <c r="D805" t="s">
        <v>958</v>
      </c>
    </row>
    <row r="806" spans="1:4" x14ac:dyDescent="0.45">
      <c r="A806" t="s">
        <v>83</v>
      </c>
      <c r="B806" t="s">
        <v>124</v>
      </c>
      <c r="C806">
        <v>0</v>
      </c>
      <c r="D806" t="s">
        <v>959</v>
      </c>
    </row>
    <row r="807" spans="1:4" x14ac:dyDescent="0.45">
      <c r="A807" t="s">
        <v>83</v>
      </c>
      <c r="B807" t="s">
        <v>157</v>
      </c>
      <c r="C807">
        <v>0</v>
      </c>
      <c r="D807" t="s">
        <v>960</v>
      </c>
    </row>
    <row r="808" spans="1:4" x14ac:dyDescent="0.45">
      <c r="A808" t="s">
        <v>83</v>
      </c>
      <c r="B808" t="s">
        <v>159</v>
      </c>
      <c r="C808">
        <v>1</v>
      </c>
      <c r="D808" t="s">
        <v>961</v>
      </c>
    </row>
    <row r="809" spans="1:4" x14ac:dyDescent="0.45">
      <c r="A809" t="s">
        <v>83</v>
      </c>
      <c r="B809" t="s">
        <v>161</v>
      </c>
      <c r="C809">
        <v>0</v>
      </c>
      <c r="D809" t="s">
        <v>962</v>
      </c>
    </row>
    <row r="810" spans="1:4" x14ac:dyDescent="0.45">
      <c r="A810" t="s">
        <v>83</v>
      </c>
      <c r="B810" t="s">
        <v>163</v>
      </c>
      <c r="C810">
        <v>0</v>
      </c>
      <c r="D810" t="s">
        <v>963</v>
      </c>
    </row>
    <row r="811" spans="1:4" x14ac:dyDescent="0.45">
      <c r="A811" t="s">
        <v>83</v>
      </c>
      <c r="B811" t="s">
        <v>165</v>
      </c>
      <c r="C811">
        <v>0.15</v>
      </c>
      <c r="D811" t="s">
        <v>964</v>
      </c>
    </row>
    <row r="812" spans="1:4" x14ac:dyDescent="0.45">
      <c r="A812" t="s">
        <v>83</v>
      </c>
      <c r="B812" t="s">
        <v>167</v>
      </c>
      <c r="C812">
        <v>0.15</v>
      </c>
      <c r="D812" t="s">
        <v>965</v>
      </c>
    </row>
    <row r="813" spans="1:4" x14ac:dyDescent="0.45">
      <c r="A813" t="s">
        <v>83</v>
      </c>
      <c r="B813" t="s">
        <v>169</v>
      </c>
      <c r="C813">
        <v>1</v>
      </c>
      <c r="D813" t="s">
        <v>966</v>
      </c>
    </row>
    <row r="814" spans="1:4" x14ac:dyDescent="0.45">
      <c r="A814" t="s">
        <v>83</v>
      </c>
      <c r="B814" t="s">
        <v>171</v>
      </c>
      <c r="C814">
        <v>1</v>
      </c>
      <c r="D814" t="s">
        <v>967</v>
      </c>
    </row>
    <row r="815" spans="1:4" x14ac:dyDescent="0.45">
      <c r="A815" t="s">
        <v>83</v>
      </c>
      <c r="B815" t="s">
        <v>173</v>
      </c>
      <c r="C815">
        <v>0</v>
      </c>
      <c r="D815" t="s">
        <v>968</v>
      </c>
    </row>
    <row r="816" spans="1:4" x14ac:dyDescent="0.45">
      <c r="A816" t="s">
        <v>83</v>
      </c>
      <c r="B816" t="s">
        <v>175</v>
      </c>
      <c r="C816">
        <v>1</v>
      </c>
      <c r="D816" t="s">
        <v>969</v>
      </c>
    </row>
    <row r="817" spans="1:4" x14ac:dyDescent="0.45">
      <c r="A817" t="s">
        <v>83</v>
      </c>
      <c r="B817" t="s">
        <v>177</v>
      </c>
      <c r="C817">
        <v>1</v>
      </c>
      <c r="D817" t="s">
        <v>970</v>
      </c>
    </row>
    <row r="818" spans="1:4" x14ac:dyDescent="0.45">
      <c r="A818" t="s">
        <v>85</v>
      </c>
      <c r="B818" t="s">
        <v>121</v>
      </c>
      <c r="C818">
        <v>0</v>
      </c>
      <c r="D818" t="s">
        <v>971</v>
      </c>
    </row>
    <row r="819" spans="1:4" x14ac:dyDescent="0.45">
      <c r="A819" t="s">
        <v>85</v>
      </c>
      <c r="B819" t="s">
        <v>134</v>
      </c>
      <c r="C819">
        <v>0</v>
      </c>
      <c r="D819" t="s">
        <v>972</v>
      </c>
    </row>
    <row r="820" spans="1:4" x14ac:dyDescent="0.45">
      <c r="A820" t="s">
        <v>85</v>
      </c>
      <c r="B820" t="s">
        <v>136</v>
      </c>
      <c r="C820">
        <v>0</v>
      </c>
      <c r="D820" t="s">
        <v>973</v>
      </c>
    </row>
    <row r="821" spans="1:4" x14ac:dyDescent="0.45">
      <c r="A821" t="s">
        <v>85</v>
      </c>
      <c r="B821" t="s">
        <v>138</v>
      </c>
      <c r="C821">
        <v>1</v>
      </c>
      <c r="D821" t="s">
        <v>974</v>
      </c>
    </row>
    <row r="822" spans="1:4" x14ac:dyDescent="0.45">
      <c r="A822" t="s">
        <v>85</v>
      </c>
      <c r="B822" t="s">
        <v>140</v>
      </c>
      <c r="C822">
        <v>0.9</v>
      </c>
      <c r="D822" t="s">
        <v>975</v>
      </c>
    </row>
    <row r="823" spans="1:4" x14ac:dyDescent="0.45">
      <c r="A823" t="s">
        <v>85</v>
      </c>
      <c r="B823" t="s">
        <v>142</v>
      </c>
      <c r="C823">
        <v>0</v>
      </c>
      <c r="D823" t="s">
        <v>976</v>
      </c>
    </row>
    <row r="824" spans="1:4" x14ac:dyDescent="0.45">
      <c r="A824" t="s">
        <v>85</v>
      </c>
      <c r="B824" t="s">
        <v>144</v>
      </c>
      <c r="C824">
        <v>0</v>
      </c>
      <c r="D824" t="s">
        <v>977</v>
      </c>
    </row>
    <row r="825" spans="1:4" x14ac:dyDescent="0.45">
      <c r="A825" t="s">
        <v>85</v>
      </c>
      <c r="B825" t="s">
        <v>146</v>
      </c>
      <c r="C825">
        <v>0</v>
      </c>
      <c r="D825" t="s">
        <v>978</v>
      </c>
    </row>
    <row r="826" spans="1:4" x14ac:dyDescent="0.45">
      <c r="A826" t="s">
        <v>85</v>
      </c>
      <c r="B826" t="s">
        <v>148</v>
      </c>
      <c r="C826">
        <v>1</v>
      </c>
      <c r="D826" t="s">
        <v>979</v>
      </c>
    </row>
    <row r="827" spans="1:4" x14ac:dyDescent="0.45">
      <c r="A827" t="s">
        <v>85</v>
      </c>
      <c r="B827" t="s">
        <v>150</v>
      </c>
      <c r="C827">
        <v>1</v>
      </c>
      <c r="D827" t="s">
        <v>980</v>
      </c>
    </row>
    <row r="828" spans="1:4" x14ac:dyDescent="0.45">
      <c r="A828" t="s">
        <v>85</v>
      </c>
      <c r="B828" t="s">
        <v>152</v>
      </c>
      <c r="C828">
        <v>1</v>
      </c>
      <c r="D828" t="s">
        <v>981</v>
      </c>
    </row>
    <row r="829" spans="1:4" x14ac:dyDescent="0.45">
      <c r="A829" t="s">
        <v>85</v>
      </c>
      <c r="B829" t="s">
        <v>154</v>
      </c>
      <c r="C829">
        <v>1</v>
      </c>
      <c r="D829" t="s">
        <v>982</v>
      </c>
    </row>
    <row r="830" spans="1:4" x14ac:dyDescent="0.45">
      <c r="A830" t="s">
        <v>85</v>
      </c>
      <c r="B830" t="s">
        <v>124</v>
      </c>
      <c r="C830">
        <v>0</v>
      </c>
      <c r="D830" t="s">
        <v>983</v>
      </c>
    </row>
    <row r="831" spans="1:4" x14ac:dyDescent="0.45">
      <c r="A831" t="s">
        <v>85</v>
      </c>
      <c r="B831" t="s">
        <v>157</v>
      </c>
      <c r="C831">
        <v>0</v>
      </c>
      <c r="D831" t="s">
        <v>984</v>
      </c>
    </row>
    <row r="832" spans="1:4" x14ac:dyDescent="0.45">
      <c r="A832" t="s">
        <v>85</v>
      </c>
      <c r="B832" t="s">
        <v>159</v>
      </c>
      <c r="C832">
        <v>1</v>
      </c>
      <c r="D832" t="s">
        <v>985</v>
      </c>
    </row>
    <row r="833" spans="1:4" x14ac:dyDescent="0.45">
      <c r="A833" t="s">
        <v>85</v>
      </c>
      <c r="B833" t="s">
        <v>161</v>
      </c>
      <c r="C833">
        <v>0</v>
      </c>
      <c r="D833" t="s">
        <v>986</v>
      </c>
    </row>
    <row r="834" spans="1:4" x14ac:dyDescent="0.45">
      <c r="A834" t="s">
        <v>85</v>
      </c>
      <c r="B834" t="s">
        <v>163</v>
      </c>
      <c r="C834">
        <v>0</v>
      </c>
      <c r="D834" t="s">
        <v>987</v>
      </c>
    </row>
    <row r="835" spans="1:4" x14ac:dyDescent="0.45">
      <c r="A835" t="s">
        <v>85</v>
      </c>
      <c r="B835" t="s">
        <v>165</v>
      </c>
      <c r="C835">
        <v>0.15</v>
      </c>
      <c r="D835" t="s">
        <v>988</v>
      </c>
    </row>
    <row r="836" spans="1:4" x14ac:dyDescent="0.45">
      <c r="A836" t="s">
        <v>85</v>
      </c>
      <c r="B836" t="s">
        <v>167</v>
      </c>
      <c r="C836">
        <v>0.15</v>
      </c>
      <c r="D836" t="s">
        <v>989</v>
      </c>
    </row>
    <row r="837" spans="1:4" x14ac:dyDescent="0.45">
      <c r="A837" t="s">
        <v>85</v>
      </c>
      <c r="B837" t="s">
        <v>169</v>
      </c>
      <c r="C837">
        <v>1</v>
      </c>
      <c r="D837" t="s">
        <v>990</v>
      </c>
    </row>
    <row r="838" spans="1:4" x14ac:dyDescent="0.45">
      <c r="A838" t="s">
        <v>85</v>
      </c>
      <c r="B838" t="s">
        <v>171</v>
      </c>
      <c r="C838">
        <v>1</v>
      </c>
      <c r="D838" t="s">
        <v>991</v>
      </c>
    </row>
    <row r="839" spans="1:4" x14ac:dyDescent="0.45">
      <c r="A839" t="s">
        <v>85</v>
      </c>
      <c r="B839" t="s">
        <v>173</v>
      </c>
      <c r="C839">
        <v>0</v>
      </c>
      <c r="D839" t="s">
        <v>992</v>
      </c>
    </row>
    <row r="840" spans="1:4" x14ac:dyDescent="0.45">
      <c r="A840" t="s">
        <v>85</v>
      </c>
      <c r="B840" t="s">
        <v>175</v>
      </c>
      <c r="C840">
        <v>1</v>
      </c>
      <c r="D840" t="s">
        <v>993</v>
      </c>
    </row>
    <row r="841" spans="1:4" x14ac:dyDescent="0.45">
      <c r="A841" t="s">
        <v>85</v>
      </c>
      <c r="B841" t="s">
        <v>177</v>
      </c>
      <c r="C841">
        <v>1</v>
      </c>
      <c r="D841" t="s">
        <v>994</v>
      </c>
    </row>
    <row r="842" spans="1:4" x14ac:dyDescent="0.45">
      <c r="A842" t="s">
        <v>87</v>
      </c>
      <c r="B842" t="s">
        <v>121</v>
      </c>
      <c r="C842">
        <v>0</v>
      </c>
      <c r="D842" t="s">
        <v>995</v>
      </c>
    </row>
    <row r="843" spans="1:4" x14ac:dyDescent="0.45">
      <c r="A843" t="s">
        <v>87</v>
      </c>
      <c r="B843" t="s">
        <v>134</v>
      </c>
      <c r="C843">
        <v>0</v>
      </c>
      <c r="D843" t="s">
        <v>996</v>
      </c>
    </row>
    <row r="844" spans="1:4" x14ac:dyDescent="0.45">
      <c r="A844" t="s">
        <v>87</v>
      </c>
      <c r="B844" t="s">
        <v>136</v>
      </c>
      <c r="C844">
        <v>0</v>
      </c>
      <c r="D844" t="s">
        <v>997</v>
      </c>
    </row>
    <row r="845" spans="1:4" x14ac:dyDescent="0.45">
      <c r="A845" t="s">
        <v>87</v>
      </c>
      <c r="B845" t="s">
        <v>138</v>
      </c>
      <c r="C845">
        <v>1</v>
      </c>
      <c r="D845" t="s">
        <v>998</v>
      </c>
    </row>
    <row r="846" spans="1:4" x14ac:dyDescent="0.45">
      <c r="A846" t="s">
        <v>87</v>
      </c>
      <c r="B846" t="s">
        <v>140</v>
      </c>
      <c r="C846">
        <v>0.9</v>
      </c>
      <c r="D846" t="s">
        <v>999</v>
      </c>
    </row>
    <row r="847" spans="1:4" x14ac:dyDescent="0.45">
      <c r="A847" t="s">
        <v>87</v>
      </c>
      <c r="B847" t="s">
        <v>142</v>
      </c>
      <c r="C847">
        <v>0</v>
      </c>
      <c r="D847" t="s">
        <v>1000</v>
      </c>
    </row>
    <row r="848" spans="1:4" x14ac:dyDescent="0.45">
      <c r="A848" t="s">
        <v>87</v>
      </c>
      <c r="B848" t="s">
        <v>144</v>
      </c>
      <c r="C848">
        <v>0</v>
      </c>
      <c r="D848" t="s">
        <v>1001</v>
      </c>
    </row>
    <row r="849" spans="1:4" x14ac:dyDescent="0.45">
      <c r="A849" t="s">
        <v>87</v>
      </c>
      <c r="B849" t="s">
        <v>146</v>
      </c>
      <c r="C849">
        <v>0</v>
      </c>
      <c r="D849" t="s">
        <v>1002</v>
      </c>
    </row>
    <row r="850" spans="1:4" x14ac:dyDescent="0.45">
      <c r="A850" t="s">
        <v>87</v>
      </c>
      <c r="B850" t="s">
        <v>148</v>
      </c>
      <c r="C850">
        <v>1</v>
      </c>
      <c r="D850" t="s">
        <v>1003</v>
      </c>
    </row>
    <row r="851" spans="1:4" x14ac:dyDescent="0.45">
      <c r="A851" t="s">
        <v>87</v>
      </c>
      <c r="B851" t="s">
        <v>150</v>
      </c>
      <c r="C851">
        <v>1</v>
      </c>
      <c r="D851" t="s">
        <v>1004</v>
      </c>
    </row>
    <row r="852" spans="1:4" x14ac:dyDescent="0.45">
      <c r="A852" t="s">
        <v>87</v>
      </c>
      <c r="B852" t="s">
        <v>152</v>
      </c>
      <c r="C852">
        <v>1</v>
      </c>
      <c r="D852" t="s">
        <v>1005</v>
      </c>
    </row>
    <row r="853" spans="1:4" x14ac:dyDescent="0.45">
      <c r="A853" t="s">
        <v>87</v>
      </c>
      <c r="B853" t="s">
        <v>154</v>
      </c>
      <c r="C853">
        <v>1</v>
      </c>
      <c r="D853" t="s">
        <v>1006</v>
      </c>
    </row>
    <row r="854" spans="1:4" x14ac:dyDescent="0.45">
      <c r="A854" t="s">
        <v>87</v>
      </c>
      <c r="B854" t="s">
        <v>124</v>
      </c>
      <c r="C854">
        <v>0</v>
      </c>
      <c r="D854" t="s">
        <v>1007</v>
      </c>
    </row>
    <row r="855" spans="1:4" x14ac:dyDescent="0.45">
      <c r="A855" t="s">
        <v>87</v>
      </c>
      <c r="B855" t="s">
        <v>157</v>
      </c>
      <c r="C855">
        <v>0</v>
      </c>
      <c r="D855" t="s">
        <v>1008</v>
      </c>
    </row>
    <row r="856" spans="1:4" x14ac:dyDescent="0.45">
      <c r="A856" t="s">
        <v>87</v>
      </c>
      <c r="B856" t="s">
        <v>159</v>
      </c>
      <c r="C856">
        <v>1</v>
      </c>
      <c r="D856" t="s">
        <v>1009</v>
      </c>
    </row>
    <row r="857" spans="1:4" x14ac:dyDescent="0.45">
      <c r="A857" t="s">
        <v>87</v>
      </c>
      <c r="B857" t="s">
        <v>161</v>
      </c>
      <c r="C857">
        <v>0</v>
      </c>
      <c r="D857" t="s">
        <v>1010</v>
      </c>
    </row>
    <row r="858" spans="1:4" x14ac:dyDescent="0.45">
      <c r="A858" t="s">
        <v>87</v>
      </c>
      <c r="B858" t="s">
        <v>163</v>
      </c>
      <c r="C858">
        <v>0</v>
      </c>
      <c r="D858" t="s">
        <v>1011</v>
      </c>
    </row>
    <row r="859" spans="1:4" x14ac:dyDescent="0.45">
      <c r="A859" t="s">
        <v>87</v>
      </c>
      <c r="B859" t="s">
        <v>165</v>
      </c>
      <c r="C859">
        <v>0.15</v>
      </c>
      <c r="D859" t="s">
        <v>1012</v>
      </c>
    </row>
    <row r="860" spans="1:4" x14ac:dyDescent="0.45">
      <c r="A860" t="s">
        <v>87</v>
      </c>
      <c r="B860" t="s">
        <v>167</v>
      </c>
      <c r="C860">
        <v>0.15</v>
      </c>
      <c r="D860" t="s">
        <v>1013</v>
      </c>
    </row>
    <row r="861" spans="1:4" x14ac:dyDescent="0.45">
      <c r="A861" t="s">
        <v>87</v>
      </c>
      <c r="B861" t="s">
        <v>169</v>
      </c>
      <c r="C861">
        <v>1</v>
      </c>
      <c r="D861" t="s">
        <v>1014</v>
      </c>
    </row>
    <row r="862" spans="1:4" x14ac:dyDescent="0.45">
      <c r="A862" t="s">
        <v>87</v>
      </c>
      <c r="B862" t="s">
        <v>171</v>
      </c>
      <c r="C862">
        <v>1</v>
      </c>
      <c r="D862" t="s">
        <v>1015</v>
      </c>
    </row>
    <row r="863" spans="1:4" x14ac:dyDescent="0.45">
      <c r="A863" t="s">
        <v>87</v>
      </c>
      <c r="B863" t="s">
        <v>173</v>
      </c>
      <c r="C863">
        <v>0</v>
      </c>
      <c r="D863" t="s">
        <v>1016</v>
      </c>
    </row>
    <row r="864" spans="1:4" x14ac:dyDescent="0.45">
      <c r="A864" t="s">
        <v>87</v>
      </c>
      <c r="B864" t="s">
        <v>175</v>
      </c>
      <c r="C864">
        <v>1</v>
      </c>
      <c r="D864" t="s">
        <v>1017</v>
      </c>
    </row>
    <row r="865" spans="1:4" x14ac:dyDescent="0.45">
      <c r="A865" t="s">
        <v>87</v>
      </c>
      <c r="B865" t="s">
        <v>177</v>
      </c>
      <c r="C865">
        <v>1</v>
      </c>
      <c r="D865" t="s">
        <v>1018</v>
      </c>
    </row>
    <row r="866" spans="1:4" x14ac:dyDescent="0.45">
      <c r="A866" t="s">
        <v>89</v>
      </c>
      <c r="B866" t="s">
        <v>121</v>
      </c>
      <c r="C866">
        <v>0</v>
      </c>
      <c r="D866" t="s">
        <v>1019</v>
      </c>
    </row>
    <row r="867" spans="1:4" x14ac:dyDescent="0.45">
      <c r="A867" t="s">
        <v>89</v>
      </c>
      <c r="B867" t="s">
        <v>134</v>
      </c>
      <c r="C867">
        <v>0</v>
      </c>
      <c r="D867" t="s">
        <v>1020</v>
      </c>
    </row>
    <row r="868" spans="1:4" x14ac:dyDescent="0.45">
      <c r="A868" t="s">
        <v>89</v>
      </c>
      <c r="B868" t="s">
        <v>136</v>
      </c>
      <c r="C868">
        <v>0</v>
      </c>
      <c r="D868" t="s">
        <v>1021</v>
      </c>
    </row>
    <row r="869" spans="1:4" x14ac:dyDescent="0.45">
      <c r="A869" t="s">
        <v>89</v>
      </c>
      <c r="B869" t="s">
        <v>138</v>
      </c>
      <c r="C869">
        <v>1</v>
      </c>
      <c r="D869" t="s">
        <v>1022</v>
      </c>
    </row>
    <row r="870" spans="1:4" x14ac:dyDescent="0.45">
      <c r="A870" t="s">
        <v>89</v>
      </c>
      <c r="B870" t="s">
        <v>140</v>
      </c>
      <c r="C870">
        <v>0.9</v>
      </c>
      <c r="D870" t="s">
        <v>1023</v>
      </c>
    </row>
    <row r="871" spans="1:4" x14ac:dyDescent="0.45">
      <c r="A871" t="s">
        <v>89</v>
      </c>
      <c r="B871" t="s">
        <v>142</v>
      </c>
      <c r="C871">
        <v>0</v>
      </c>
      <c r="D871" t="s">
        <v>1024</v>
      </c>
    </row>
    <row r="872" spans="1:4" x14ac:dyDescent="0.45">
      <c r="A872" t="s">
        <v>89</v>
      </c>
      <c r="B872" t="s">
        <v>144</v>
      </c>
      <c r="C872">
        <v>0</v>
      </c>
      <c r="D872" t="s">
        <v>1025</v>
      </c>
    </row>
    <row r="873" spans="1:4" x14ac:dyDescent="0.45">
      <c r="A873" t="s">
        <v>89</v>
      </c>
      <c r="B873" t="s">
        <v>146</v>
      </c>
      <c r="C873">
        <v>0</v>
      </c>
      <c r="D873" t="s">
        <v>1026</v>
      </c>
    </row>
    <row r="874" spans="1:4" x14ac:dyDescent="0.45">
      <c r="A874" t="s">
        <v>89</v>
      </c>
      <c r="B874" t="s">
        <v>148</v>
      </c>
      <c r="C874">
        <v>1</v>
      </c>
      <c r="D874" t="s">
        <v>1027</v>
      </c>
    </row>
    <row r="875" spans="1:4" x14ac:dyDescent="0.45">
      <c r="A875" t="s">
        <v>89</v>
      </c>
      <c r="B875" t="s">
        <v>150</v>
      </c>
      <c r="C875">
        <v>1</v>
      </c>
      <c r="D875" t="s">
        <v>1028</v>
      </c>
    </row>
    <row r="876" spans="1:4" x14ac:dyDescent="0.45">
      <c r="A876" t="s">
        <v>89</v>
      </c>
      <c r="B876" t="s">
        <v>152</v>
      </c>
      <c r="C876">
        <v>1</v>
      </c>
      <c r="D876" t="s">
        <v>1029</v>
      </c>
    </row>
    <row r="877" spans="1:4" x14ac:dyDescent="0.45">
      <c r="A877" t="s">
        <v>89</v>
      </c>
      <c r="B877" t="s">
        <v>154</v>
      </c>
      <c r="C877">
        <v>1</v>
      </c>
      <c r="D877" t="s">
        <v>1030</v>
      </c>
    </row>
    <row r="878" spans="1:4" x14ac:dyDescent="0.45">
      <c r="A878" t="s">
        <v>89</v>
      </c>
      <c r="B878" t="s">
        <v>124</v>
      </c>
      <c r="C878">
        <v>0</v>
      </c>
      <c r="D878" t="s">
        <v>1031</v>
      </c>
    </row>
    <row r="879" spans="1:4" x14ac:dyDescent="0.45">
      <c r="A879" t="s">
        <v>89</v>
      </c>
      <c r="B879" t="s">
        <v>157</v>
      </c>
      <c r="C879">
        <v>0</v>
      </c>
      <c r="D879" t="s">
        <v>1032</v>
      </c>
    </row>
    <row r="880" spans="1:4" x14ac:dyDescent="0.45">
      <c r="A880" t="s">
        <v>89</v>
      </c>
      <c r="B880" t="s">
        <v>159</v>
      </c>
      <c r="C880">
        <v>1</v>
      </c>
      <c r="D880" t="s">
        <v>1033</v>
      </c>
    </row>
    <row r="881" spans="1:4" x14ac:dyDescent="0.45">
      <c r="A881" t="s">
        <v>89</v>
      </c>
      <c r="B881" t="s">
        <v>161</v>
      </c>
      <c r="C881">
        <v>0</v>
      </c>
      <c r="D881" t="s">
        <v>1034</v>
      </c>
    </row>
    <row r="882" spans="1:4" x14ac:dyDescent="0.45">
      <c r="A882" t="s">
        <v>89</v>
      </c>
      <c r="B882" t="s">
        <v>163</v>
      </c>
      <c r="C882">
        <v>0</v>
      </c>
      <c r="D882" t="s">
        <v>1035</v>
      </c>
    </row>
    <row r="883" spans="1:4" x14ac:dyDescent="0.45">
      <c r="A883" t="s">
        <v>89</v>
      </c>
      <c r="B883" t="s">
        <v>165</v>
      </c>
      <c r="C883">
        <v>0.15</v>
      </c>
      <c r="D883" t="s">
        <v>1036</v>
      </c>
    </row>
    <row r="884" spans="1:4" x14ac:dyDescent="0.45">
      <c r="A884" t="s">
        <v>89</v>
      </c>
      <c r="B884" t="s">
        <v>167</v>
      </c>
      <c r="C884">
        <v>0.15</v>
      </c>
      <c r="D884" t="s">
        <v>1037</v>
      </c>
    </row>
    <row r="885" spans="1:4" x14ac:dyDescent="0.45">
      <c r="A885" t="s">
        <v>89</v>
      </c>
      <c r="B885" t="s">
        <v>169</v>
      </c>
      <c r="C885">
        <v>1</v>
      </c>
      <c r="D885" t="s">
        <v>1038</v>
      </c>
    </row>
    <row r="886" spans="1:4" x14ac:dyDescent="0.45">
      <c r="A886" t="s">
        <v>89</v>
      </c>
      <c r="B886" t="s">
        <v>171</v>
      </c>
      <c r="C886">
        <v>1</v>
      </c>
      <c r="D886" t="s">
        <v>1039</v>
      </c>
    </row>
    <row r="887" spans="1:4" x14ac:dyDescent="0.45">
      <c r="A887" t="s">
        <v>89</v>
      </c>
      <c r="B887" t="s">
        <v>173</v>
      </c>
      <c r="C887">
        <v>0</v>
      </c>
      <c r="D887" t="s">
        <v>1040</v>
      </c>
    </row>
    <row r="888" spans="1:4" x14ac:dyDescent="0.45">
      <c r="A888" t="s">
        <v>89</v>
      </c>
      <c r="B888" t="s">
        <v>175</v>
      </c>
      <c r="C888">
        <v>1</v>
      </c>
      <c r="D888" t="s">
        <v>1041</v>
      </c>
    </row>
    <row r="889" spans="1:4" x14ac:dyDescent="0.45">
      <c r="A889" t="s">
        <v>89</v>
      </c>
      <c r="B889" t="s">
        <v>177</v>
      </c>
      <c r="C889">
        <v>1</v>
      </c>
      <c r="D889" t="s">
        <v>1042</v>
      </c>
    </row>
    <row r="890" spans="1:4" x14ac:dyDescent="0.45">
      <c r="A890" t="s">
        <v>91</v>
      </c>
      <c r="B890" t="s">
        <v>121</v>
      </c>
      <c r="C890">
        <v>0</v>
      </c>
      <c r="D890" t="s">
        <v>1043</v>
      </c>
    </row>
    <row r="891" spans="1:4" x14ac:dyDescent="0.45">
      <c r="A891" t="s">
        <v>91</v>
      </c>
      <c r="B891" t="s">
        <v>134</v>
      </c>
      <c r="C891">
        <v>0</v>
      </c>
      <c r="D891" t="s">
        <v>1044</v>
      </c>
    </row>
    <row r="892" spans="1:4" x14ac:dyDescent="0.45">
      <c r="A892" t="s">
        <v>91</v>
      </c>
      <c r="B892" t="s">
        <v>136</v>
      </c>
      <c r="C892">
        <v>0</v>
      </c>
      <c r="D892" t="s">
        <v>1045</v>
      </c>
    </row>
    <row r="893" spans="1:4" x14ac:dyDescent="0.45">
      <c r="A893" t="s">
        <v>91</v>
      </c>
      <c r="B893" t="s">
        <v>138</v>
      </c>
      <c r="C893">
        <v>1</v>
      </c>
      <c r="D893" t="s">
        <v>1046</v>
      </c>
    </row>
    <row r="894" spans="1:4" x14ac:dyDescent="0.45">
      <c r="A894" t="s">
        <v>91</v>
      </c>
      <c r="B894" t="s">
        <v>140</v>
      </c>
      <c r="C894">
        <v>0.9</v>
      </c>
      <c r="D894" t="s">
        <v>1047</v>
      </c>
    </row>
    <row r="895" spans="1:4" x14ac:dyDescent="0.45">
      <c r="A895" t="s">
        <v>91</v>
      </c>
      <c r="B895" t="s">
        <v>142</v>
      </c>
      <c r="C895">
        <v>0</v>
      </c>
      <c r="D895" t="s">
        <v>1048</v>
      </c>
    </row>
    <row r="896" spans="1:4" x14ac:dyDescent="0.45">
      <c r="A896" t="s">
        <v>91</v>
      </c>
      <c r="B896" t="s">
        <v>144</v>
      </c>
      <c r="C896">
        <v>0</v>
      </c>
      <c r="D896" t="s">
        <v>1049</v>
      </c>
    </row>
    <row r="897" spans="1:4" x14ac:dyDescent="0.45">
      <c r="A897" t="s">
        <v>91</v>
      </c>
      <c r="B897" t="s">
        <v>146</v>
      </c>
      <c r="C897">
        <v>0</v>
      </c>
      <c r="D897" t="s">
        <v>1050</v>
      </c>
    </row>
    <row r="898" spans="1:4" x14ac:dyDescent="0.45">
      <c r="A898" t="s">
        <v>91</v>
      </c>
      <c r="B898" t="s">
        <v>148</v>
      </c>
      <c r="C898">
        <v>1</v>
      </c>
      <c r="D898" t="s">
        <v>1051</v>
      </c>
    </row>
    <row r="899" spans="1:4" x14ac:dyDescent="0.45">
      <c r="A899" t="s">
        <v>91</v>
      </c>
      <c r="B899" t="s">
        <v>150</v>
      </c>
      <c r="C899">
        <v>1</v>
      </c>
      <c r="D899" t="s">
        <v>1052</v>
      </c>
    </row>
    <row r="900" spans="1:4" x14ac:dyDescent="0.45">
      <c r="A900" t="s">
        <v>91</v>
      </c>
      <c r="B900" t="s">
        <v>152</v>
      </c>
      <c r="C900">
        <v>1</v>
      </c>
      <c r="D900" t="s">
        <v>1053</v>
      </c>
    </row>
    <row r="901" spans="1:4" x14ac:dyDescent="0.45">
      <c r="A901" t="s">
        <v>91</v>
      </c>
      <c r="B901" t="s">
        <v>154</v>
      </c>
      <c r="C901">
        <v>1</v>
      </c>
      <c r="D901" t="s">
        <v>1054</v>
      </c>
    </row>
    <row r="902" spans="1:4" x14ac:dyDescent="0.45">
      <c r="A902" t="s">
        <v>91</v>
      </c>
      <c r="B902" t="s">
        <v>124</v>
      </c>
      <c r="C902">
        <v>0</v>
      </c>
      <c r="D902" t="s">
        <v>1055</v>
      </c>
    </row>
    <row r="903" spans="1:4" x14ac:dyDescent="0.45">
      <c r="A903" t="s">
        <v>91</v>
      </c>
      <c r="B903" t="s">
        <v>157</v>
      </c>
      <c r="C903">
        <v>0</v>
      </c>
      <c r="D903" t="s">
        <v>1056</v>
      </c>
    </row>
    <row r="904" spans="1:4" x14ac:dyDescent="0.45">
      <c r="A904" t="s">
        <v>91</v>
      </c>
      <c r="B904" t="s">
        <v>159</v>
      </c>
      <c r="C904">
        <v>1</v>
      </c>
      <c r="D904" t="s">
        <v>1057</v>
      </c>
    </row>
    <row r="905" spans="1:4" x14ac:dyDescent="0.45">
      <c r="A905" t="s">
        <v>91</v>
      </c>
      <c r="B905" t="s">
        <v>161</v>
      </c>
      <c r="C905">
        <v>0</v>
      </c>
      <c r="D905" t="s">
        <v>1058</v>
      </c>
    </row>
    <row r="906" spans="1:4" x14ac:dyDescent="0.45">
      <c r="A906" t="s">
        <v>91</v>
      </c>
      <c r="B906" t="s">
        <v>163</v>
      </c>
      <c r="C906">
        <v>0</v>
      </c>
      <c r="D906" t="s">
        <v>1059</v>
      </c>
    </row>
    <row r="907" spans="1:4" x14ac:dyDescent="0.45">
      <c r="A907" t="s">
        <v>91</v>
      </c>
      <c r="B907" t="s">
        <v>165</v>
      </c>
      <c r="C907">
        <v>0.15</v>
      </c>
      <c r="D907" t="s">
        <v>1060</v>
      </c>
    </row>
    <row r="908" spans="1:4" x14ac:dyDescent="0.45">
      <c r="A908" t="s">
        <v>91</v>
      </c>
      <c r="B908" t="s">
        <v>167</v>
      </c>
      <c r="C908">
        <v>0.15</v>
      </c>
      <c r="D908" t="s">
        <v>1061</v>
      </c>
    </row>
    <row r="909" spans="1:4" x14ac:dyDescent="0.45">
      <c r="A909" t="s">
        <v>91</v>
      </c>
      <c r="B909" t="s">
        <v>169</v>
      </c>
      <c r="C909">
        <v>1</v>
      </c>
      <c r="D909" t="s">
        <v>1062</v>
      </c>
    </row>
    <row r="910" spans="1:4" x14ac:dyDescent="0.45">
      <c r="A910" t="s">
        <v>91</v>
      </c>
      <c r="B910" t="s">
        <v>171</v>
      </c>
      <c r="C910">
        <v>1</v>
      </c>
      <c r="D910" t="s">
        <v>1063</v>
      </c>
    </row>
    <row r="911" spans="1:4" x14ac:dyDescent="0.45">
      <c r="A911" t="s">
        <v>91</v>
      </c>
      <c r="B911" t="s">
        <v>173</v>
      </c>
      <c r="C911">
        <v>0</v>
      </c>
      <c r="D911" t="s">
        <v>1064</v>
      </c>
    </row>
    <row r="912" spans="1:4" x14ac:dyDescent="0.45">
      <c r="A912" t="s">
        <v>91</v>
      </c>
      <c r="B912" t="s">
        <v>175</v>
      </c>
      <c r="C912">
        <v>1</v>
      </c>
      <c r="D912" t="s">
        <v>1065</v>
      </c>
    </row>
    <row r="913" spans="1:4" x14ac:dyDescent="0.45">
      <c r="A913" t="s">
        <v>91</v>
      </c>
      <c r="B913" t="s">
        <v>177</v>
      </c>
      <c r="C913">
        <v>1</v>
      </c>
      <c r="D913" t="s">
        <v>1066</v>
      </c>
    </row>
    <row r="914" spans="1:4" x14ac:dyDescent="0.45">
      <c r="A914" t="s">
        <v>93</v>
      </c>
      <c r="B914" t="s">
        <v>121</v>
      </c>
      <c r="C914">
        <v>0</v>
      </c>
      <c r="D914" t="s">
        <v>1067</v>
      </c>
    </row>
    <row r="915" spans="1:4" x14ac:dyDescent="0.45">
      <c r="A915" t="s">
        <v>93</v>
      </c>
      <c r="B915" t="s">
        <v>134</v>
      </c>
      <c r="C915">
        <v>0</v>
      </c>
      <c r="D915" t="s">
        <v>1068</v>
      </c>
    </row>
    <row r="916" spans="1:4" x14ac:dyDescent="0.45">
      <c r="A916" t="s">
        <v>93</v>
      </c>
      <c r="B916" t="s">
        <v>136</v>
      </c>
      <c r="C916">
        <v>0</v>
      </c>
      <c r="D916" t="s">
        <v>1069</v>
      </c>
    </row>
    <row r="917" spans="1:4" x14ac:dyDescent="0.45">
      <c r="A917" t="s">
        <v>93</v>
      </c>
      <c r="B917" t="s">
        <v>138</v>
      </c>
      <c r="C917">
        <v>1</v>
      </c>
      <c r="D917" t="s">
        <v>1070</v>
      </c>
    </row>
    <row r="918" spans="1:4" x14ac:dyDescent="0.45">
      <c r="A918" t="s">
        <v>93</v>
      </c>
      <c r="B918" t="s">
        <v>140</v>
      </c>
      <c r="C918">
        <v>0.75</v>
      </c>
      <c r="D918" t="s">
        <v>1071</v>
      </c>
    </row>
    <row r="919" spans="1:4" x14ac:dyDescent="0.45">
      <c r="A919" t="s">
        <v>93</v>
      </c>
      <c r="B919" t="s">
        <v>142</v>
      </c>
      <c r="C919">
        <v>0</v>
      </c>
      <c r="D919" t="s">
        <v>1072</v>
      </c>
    </row>
    <row r="920" spans="1:4" x14ac:dyDescent="0.45">
      <c r="A920" t="s">
        <v>93</v>
      </c>
      <c r="B920" t="s">
        <v>144</v>
      </c>
      <c r="C920">
        <v>0</v>
      </c>
      <c r="D920" t="s">
        <v>1073</v>
      </c>
    </row>
    <row r="921" spans="1:4" x14ac:dyDescent="0.45">
      <c r="A921" t="s">
        <v>93</v>
      </c>
      <c r="B921" t="s">
        <v>146</v>
      </c>
      <c r="C921">
        <v>0</v>
      </c>
      <c r="D921" t="s">
        <v>1074</v>
      </c>
    </row>
    <row r="922" spans="1:4" x14ac:dyDescent="0.45">
      <c r="A922" t="s">
        <v>93</v>
      </c>
      <c r="B922" t="s">
        <v>148</v>
      </c>
      <c r="C922">
        <v>1</v>
      </c>
      <c r="D922" t="s">
        <v>1075</v>
      </c>
    </row>
    <row r="923" spans="1:4" x14ac:dyDescent="0.45">
      <c r="A923" t="s">
        <v>93</v>
      </c>
      <c r="B923" t="s">
        <v>150</v>
      </c>
      <c r="C923">
        <v>1</v>
      </c>
      <c r="D923" t="s">
        <v>1076</v>
      </c>
    </row>
    <row r="924" spans="1:4" x14ac:dyDescent="0.45">
      <c r="A924" t="s">
        <v>93</v>
      </c>
      <c r="B924" t="s">
        <v>152</v>
      </c>
      <c r="C924">
        <v>1</v>
      </c>
      <c r="D924" t="s">
        <v>1077</v>
      </c>
    </row>
    <row r="925" spans="1:4" x14ac:dyDescent="0.45">
      <c r="A925" t="s">
        <v>93</v>
      </c>
      <c r="B925" t="s">
        <v>154</v>
      </c>
      <c r="C925">
        <v>1</v>
      </c>
      <c r="D925" t="s">
        <v>1078</v>
      </c>
    </row>
    <row r="926" spans="1:4" x14ac:dyDescent="0.45">
      <c r="A926" t="s">
        <v>93</v>
      </c>
      <c r="B926" t="s">
        <v>124</v>
      </c>
      <c r="C926">
        <v>0</v>
      </c>
      <c r="D926" t="s">
        <v>1079</v>
      </c>
    </row>
    <row r="927" spans="1:4" x14ac:dyDescent="0.45">
      <c r="A927" t="s">
        <v>93</v>
      </c>
      <c r="B927" t="s">
        <v>157</v>
      </c>
      <c r="C927">
        <v>0</v>
      </c>
      <c r="D927" t="s">
        <v>1080</v>
      </c>
    </row>
    <row r="928" spans="1:4" x14ac:dyDescent="0.45">
      <c r="A928" t="s">
        <v>93</v>
      </c>
      <c r="B928" t="s">
        <v>159</v>
      </c>
      <c r="C928">
        <v>1</v>
      </c>
      <c r="D928" t="s">
        <v>1081</v>
      </c>
    </row>
    <row r="929" spans="1:4" x14ac:dyDescent="0.45">
      <c r="A929" t="s">
        <v>93</v>
      </c>
      <c r="B929" t="s">
        <v>161</v>
      </c>
      <c r="C929">
        <v>0</v>
      </c>
      <c r="D929" t="s">
        <v>1082</v>
      </c>
    </row>
    <row r="930" spans="1:4" x14ac:dyDescent="0.45">
      <c r="A930" t="s">
        <v>93</v>
      </c>
      <c r="B930" t="s">
        <v>163</v>
      </c>
      <c r="C930">
        <v>0</v>
      </c>
      <c r="D930" t="s">
        <v>1083</v>
      </c>
    </row>
    <row r="931" spans="1:4" x14ac:dyDescent="0.45">
      <c r="A931" t="s">
        <v>93</v>
      </c>
      <c r="B931" t="s">
        <v>165</v>
      </c>
      <c r="C931">
        <v>0.15</v>
      </c>
      <c r="D931" t="s">
        <v>1084</v>
      </c>
    </row>
    <row r="932" spans="1:4" x14ac:dyDescent="0.45">
      <c r="A932" t="s">
        <v>93</v>
      </c>
      <c r="B932" t="s">
        <v>167</v>
      </c>
      <c r="C932">
        <v>0.15</v>
      </c>
      <c r="D932" t="s">
        <v>1085</v>
      </c>
    </row>
    <row r="933" spans="1:4" x14ac:dyDescent="0.45">
      <c r="A933" t="s">
        <v>93</v>
      </c>
      <c r="B933" t="s">
        <v>169</v>
      </c>
      <c r="C933">
        <v>1</v>
      </c>
      <c r="D933" t="s">
        <v>1086</v>
      </c>
    </row>
    <row r="934" spans="1:4" x14ac:dyDescent="0.45">
      <c r="A934" t="s">
        <v>93</v>
      </c>
      <c r="B934" t="s">
        <v>171</v>
      </c>
      <c r="C934">
        <v>1</v>
      </c>
      <c r="D934" t="s">
        <v>1087</v>
      </c>
    </row>
    <row r="935" spans="1:4" x14ac:dyDescent="0.45">
      <c r="A935" t="s">
        <v>93</v>
      </c>
      <c r="B935" t="s">
        <v>173</v>
      </c>
      <c r="C935">
        <v>0</v>
      </c>
      <c r="D935" t="s">
        <v>1088</v>
      </c>
    </row>
    <row r="936" spans="1:4" x14ac:dyDescent="0.45">
      <c r="A936" t="s">
        <v>93</v>
      </c>
      <c r="B936" t="s">
        <v>175</v>
      </c>
      <c r="C936">
        <v>1</v>
      </c>
      <c r="D936" t="s">
        <v>1089</v>
      </c>
    </row>
    <row r="937" spans="1:4" x14ac:dyDescent="0.45">
      <c r="A937" t="s">
        <v>93</v>
      </c>
      <c r="B937" t="s">
        <v>177</v>
      </c>
      <c r="C937">
        <v>1</v>
      </c>
      <c r="D937" t="s">
        <v>1090</v>
      </c>
    </row>
    <row r="938" spans="1:4" x14ac:dyDescent="0.45">
      <c r="A938" t="s">
        <v>95</v>
      </c>
      <c r="B938" t="s">
        <v>121</v>
      </c>
      <c r="C938">
        <v>0</v>
      </c>
      <c r="D938" t="s">
        <v>1091</v>
      </c>
    </row>
    <row r="939" spans="1:4" x14ac:dyDescent="0.45">
      <c r="A939" t="s">
        <v>95</v>
      </c>
      <c r="B939" t="s">
        <v>134</v>
      </c>
      <c r="C939">
        <v>0</v>
      </c>
      <c r="D939" t="s">
        <v>1092</v>
      </c>
    </row>
    <row r="940" spans="1:4" x14ac:dyDescent="0.45">
      <c r="A940" t="s">
        <v>95</v>
      </c>
      <c r="B940" t="s">
        <v>136</v>
      </c>
      <c r="C940">
        <v>0</v>
      </c>
      <c r="D940" t="s">
        <v>1093</v>
      </c>
    </row>
    <row r="941" spans="1:4" x14ac:dyDescent="0.45">
      <c r="A941" t="s">
        <v>95</v>
      </c>
      <c r="B941" t="s">
        <v>138</v>
      </c>
      <c r="C941">
        <v>1</v>
      </c>
      <c r="D941" t="s">
        <v>1094</v>
      </c>
    </row>
    <row r="942" spans="1:4" x14ac:dyDescent="0.45">
      <c r="A942" t="s">
        <v>95</v>
      </c>
      <c r="B942" t="s">
        <v>140</v>
      </c>
      <c r="C942">
        <v>0.9</v>
      </c>
      <c r="D942" t="s">
        <v>1095</v>
      </c>
    </row>
    <row r="943" spans="1:4" x14ac:dyDescent="0.45">
      <c r="A943" t="s">
        <v>95</v>
      </c>
      <c r="B943" t="s">
        <v>142</v>
      </c>
      <c r="C943">
        <v>0</v>
      </c>
      <c r="D943" t="s">
        <v>1096</v>
      </c>
    </row>
    <row r="944" spans="1:4" x14ac:dyDescent="0.45">
      <c r="A944" t="s">
        <v>95</v>
      </c>
      <c r="B944" t="s">
        <v>144</v>
      </c>
      <c r="C944">
        <v>0</v>
      </c>
      <c r="D944" t="s">
        <v>1097</v>
      </c>
    </row>
    <row r="945" spans="1:4" x14ac:dyDescent="0.45">
      <c r="A945" t="s">
        <v>95</v>
      </c>
      <c r="B945" t="s">
        <v>146</v>
      </c>
      <c r="C945">
        <v>0</v>
      </c>
      <c r="D945" t="s">
        <v>1098</v>
      </c>
    </row>
    <row r="946" spans="1:4" x14ac:dyDescent="0.45">
      <c r="A946" t="s">
        <v>95</v>
      </c>
      <c r="B946" t="s">
        <v>148</v>
      </c>
      <c r="C946">
        <v>1</v>
      </c>
      <c r="D946" t="s">
        <v>1099</v>
      </c>
    </row>
    <row r="947" spans="1:4" x14ac:dyDescent="0.45">
      <c r="A947" t="s">
        <v>95</v>
      </c>
      <c r="B947" t="s">
        <v>150</v>
      </c>
      <c r="C947">
        <v>1</v>
      </c>
      <c r="D947" t="s">
        <v>1100</v>
      </c>
    </row>
    <row r="948" spans="1:4" x14ac:dyDescent="0.45">
      <c r="A948" t="s">
        <v>95</v>
      </c>
      <c r="B948" t="s">
        <v>152</v>
      </c>
      <c r="C948">
        <v>1</v>
      </c>
      <c r="D948" t="s">
        <v>1101</v>
      </c>
    </row>
    <row r="949" spans="1:4" x14ac:dyDescent="0.45">
      <c r="A949" t="s">
        <v>95</v>
      </c>
      <c r="B949" t="s">
        <v>154</v>
      </c>
      <c r="C949">
        <v>1</v>
      </c>
      <c r="D949" t="s">
        <v>1102</v>
      </c>
    </row>
    <row r="950" spans="1:4" x14ac:dyDescent="0.45">
      <c r="A950" t="s">
        <v>95</v>
      </c>
      <c r="B950" t="s">
        <v>124</v>
      </c>
      <c r="C950">
        <v>0</v>
      </c>
      <c r="D950" t="s">
        <v>1103</v>
      </c>
    </row>
    <row r="951" spans="1:4" x14ac:dyDescent="0.45">
      <c r="A951" t="s">
        <v>95</v>
      </c>
      <c r="B951" t="s">
        <v>157</v>
      </c>
      <c r="C951">
        <v>0</v>
      </c>
      <c r="D951" t="s">
        <v>1104</v>
      </c>
    </row>
    <row r="952" spans="1:4" x14ac:dyDescent="0.45">
      <c r="A952" t="s">
        <v>95</v>
      </c>
      <c r="B952" t="s">
        <v>159</v>
      </c>
      <c r="C952">
        <v>1</v>
      </c>
      <c r="D952" t="s">
        <v>1105</v>
      </c>
    </row>
    <row r="953" spans="1:4" x14ac:dyDescent="0.45">
      <c r="A953" t="s">
        <v>95</v>
      </c>
      <c r="B953" t="s">
        <v>161</v>
      </c>
      <c r="C953">
        <v>0</v>
      </c>
      <c r="D953" t="s">
        <v>1106</v>
      </c>
    </row>
    <row r="954" spans="1:4" x14ac:dyDescent="0.45">
      <c r="A954" t="s">
        <v>95</v>
      </c>
      <c r="B954" t="s">
        <v>163</v>
      </c>
      <c r="C954">
        <v>0</v>
      </c>
      <c r="D954" t="s">
        <v>1107</v>
      </c>
    </row>
    <row r="955" spans="1:4" x14ac:dyDescent="0.45">
      <c r="A955" t="s">
        <v>95</v>
      </c>
      <c r="B955" t="s">
        <v>165</v>
      </c>
      <c r="C955">
        <v>0.15</v>
      </c>
      <c r="D955" t="s">
        <v>1108</v>
      </c>
    </row>
    <row r="956" spans="1:4" x14ac:dyDescent="0.45">
      <c r="A956" t="s">
        <v>95</v>
      </c>
      <c r="B956" t="s">
        <v>167</v>
      </c>
      <c r="C956">
        <v>0.15</v>
      </c>
      <c r="D956" t="s">
        <v>1109</v>
      </c>
    </row>
    <row r="957" spans="1:4" x14ac:dyDescent="0.45">
      <c r="A957" t="s">
        <v>95</v>
      </c>
      <c r="B957" t="s">
        <v>169</v>
      </c>
      <c r="C957">
        <v>1</v>
      </c>
      <c r="D957" t="s">
        <v>1110</v>
      </c>
    </row>
    <row r="958" spans="1:4" x14ac:dyDescent="0.45">
      <c r="A958" t="s">
        <v>95</v>
      </c>
      <c r="B958" t="s">
        <v>171</v>
      </c>
      <c r="C958">
        <v>1</v>
      </c>
      <c r="D958" t="s">
        <v>1111</v>
      </c>
    </row>
    <row r="959" spans="1:4" x14ac:dyDescent="0.45">
      <c r="A959" t="s">
        <v>95</v>
      </c>
      <c r="B959" t="s">
        <v>173</v>
      </c>
      <c r="C959">
        <v>0</v>
      </c>
      <c r="D959" t="s">
        <v>1112</v>
      </c>
    </row>
    <row r="960" spans="1:4" x14ac:dyDescent="0.45">
      <c r="A960" t="s">
        <v>95</v>
      </c>
      <c r="B960" t="s">
        <v>175</v>
      </c>
      <c r="C960">
        <v>1</v>
      </c>
      <c r="D960" t="s">
        <v>1113</v>
      </c>
    </row>
    <row r="961" spans="1:4" x14ac:dyDescent="0.45">
      <c r="A961" t="s">
        <v>95</v>
      </c>
      <c r="B961" t="s">
        <v>177</v>
      </c>
      <c r="C961">
        <v>1</v>
      </c>
      <c r="D961" t="s">
        <v>1114</v>
      </c>
    </row>
    <row r="962" spans="1:4" x14ac:dyDescent="0.45">
      <c r="A962" t="s">
        <v>97</v>
      </c>
      <c r="B962" t="s">
        <v>121</v>
      </c>
      <c r="C962">
        <v>0</v>
      </c>
      <c r="D962" t="s">
        <v>1115</v>
      </c>
    </row>
    <row r="963" spans="1:4" x14ac:dyDescent="0.45">
      <c r="A963" t="s">
        <v>97</v>
      </c>
      <c r="B963" t="s">
        <v>134</v>
      </c>
      <c r="C963">
        <v>0</v>
      </c>
      <c r="D963" t="s">
        <v>1116</v>
      </c>
    </row>
    <row r="964" spans="1:4" x14ac:dyDescent="0.45">
      <c r="A964" t="s">
        <v>97</v>
      </c>
      <c r="B964" t="s">
        <v>136</v>
      </c>
      <c r="C964">
        <v>0</v>
      </c>
      <c r="D964" t="s">
        <v>1117</v>
      </c>
    </row>
    <row r="965" spans="1:4" x14ac:dyDescent="0.45">
      <c r="A965" t="s">
        <v>97</v>
      </c>
      <c r="B965" t="s">
        <v>138</v>
      </c>
      <c r="C965">
        <v>1</v>
      </c>
      <c r="D965" t="s">
        <v>1118</v>
      </c>
    </row>
    <row r="966" spans="1:4" x14ac:dyDescent="0.45">
      <c r="A966" t="s">
        <v>97</v>
      </c>
      <c r="B966" t="s">
        <v>140</v>
      </c>
      <c r="C966">
        <v>0.9</v>
      </c>
      <c r="D966" t="s">
        <v>1119</v>
      </c>
    </row>
    <row r="967" spans="1:4" x14ac:dyDescent="0.45">
      <c r="A967" t="s">
        <v>97</v>
      </c>
      <c r="B967" t="s">
        <v>142</v>
      </c>
      <c r="C967">
        <v>0</v>
      </c>
      <c r="D967" t="s">
        <v>1120</v>
      </c>
    </row>
    <row r="968" spans="1:4" x14ac:dyDescent="0.45">
      <c r="A968" t="s">
        <v>97</v>
      </c>
      <c r="B968" t="s">
        <v>144</v>
      </c>
      <c r="C968">
        <v>0</v>
      </c>
      <c r="D968" t="s">
        <v>1121</v>
      </c>
    </row>
    <row r="969" spans="1:4" x14ac:dyDescent="0.45">
      <c r="A969" t="s">
        <v>97</v>
      </c>
      <c r="B969" t="s">
        <v>146</v>
      </c>
      <c r="C969">
        <v>0</v>
      </c>
      <c r="D969" t="s">
        <v>1122</v>
      </c>
    </row>
    <row r="970" spans="1:4" x14ac:dyDescent="0.45">
      <c r="A970" t="s">
        <v>97</v>
      </c>
      <c r="B970" t="s">
        <v>148</v>
      </c>
      <c r="C970">
        <v>1</v>
      </c>
      <c r="D970" t="s">
        <v>1123</v>
      </c>
    </row>
    <row r="971" spans="1:4" x14ac:dyDescent="0.45">
      <c r="A971" t="s">
        <v>97</v>
      </c>
      <c r="B971" t="s">
        <v>150</v>
      </c>
      <c r="C971">
        <v>1</v>
      </c>
      <c r="D971" t="s">
        <v>1124</v>
      </c>
    </row>
    <row r="972" spans="1:4" x14ac:dyDescent="0.45">
      <c r="A972" t="s">
        <v>97</v>
      </c>
      <c r="B972" t="s">
        <v>152</v>
      </c>
      <c r="C972">
        <v>1</v>
      </c>
      <c r="D972" t="s">
        <v>1125</v>
      </c>
    </row>
    <row r="973" spans="1:4" x14ac:dyDescent="0.45">
      <c r="A973" t="s">
        <v>97</v>
      </c>
      <c r="B973" t="s">
        <v>154</v>
      </c>
      <c r="C973">
        <v>1</v>
      </c>
      <c r="D973" t="s">
        <v>1126</v>
      </c>
    </row>
    <row r="974" spans="1:4" x14ac:dyDescent="0.45">
      <c r="A974" t="s">
        <v>97</v>
      </c>
      <c r="B974" t="s">
        <v>124</v>
      </c>
      <c r="C974">
        <v>0</v>
      </c>
      <c r="D974" t="s">
        <v>1127</v>
      </c>
    </row>
    <row r="975" spans="1:4" x14ac:dyDescent="0.45">
      <c r="A975" t="s">
        <v>97</v>
      </c>
      <c r="B975" t="s">
        <v>157</v>
      </c>
      <c r="C975">
        <v>0</v>
      </c>
      <c r="D975" t="s">
        <v>1128</v>
      </c>
    </row>
    <row r="976" spans="1:4" x14ac:dyDescent="0.45">
      <c r="A976" t="s">
        <v>97</v>
      </c>
      <c r="B976" t="s">
        <v>159</v>
      </c>
      <c r="C976">
        <v>1</v>
      </c>
      <c r="D976" t="s">
        <v>1129</v>
      </c>
    </row>
    <row r="977" spans="1:4" x14ac:dyDescent="0.45">
      <c r="A977" t="s">
        <v>97</v>
      </c>
      <c r="B977" t="s">
        <v>161</v>
      </c>
      <c r="C977">
        <v>0</v>
      </c>
      <c r="D977" t="s">
        <v>1130</v>
      </c>
    </row>
    <row r="978" spans="1:4" x14ac:dyDescent="0.45">
      <c r="A978" t="s">
        <v>97</v>
      </c>
      <c r="B978" t="s">
        <v>163</v>
      </c>
      <c r="C978">
        <v>0</v>
      </c>
      <c r="D978" t="s">
        <v>1131</v>
      </c>
    </row>
    <row r="979" spans="1:4" x14ac:dyDescent="0.45">
      <c r="A979" t="s">
        <v>97</v>
      </c>
      <c r="B979" t="s">
        <v>165</v>
      </c>
      <c r="C979">
        <v>0.15</v>
      </c>
      <c r="D979" t="s">
        <v>1132</v>
      </c>
    </row>
    <row r="980" spans="1:4" x14ac:dyDescent="0.45">
      <c r="A980" t="s">
        <v>97</v>
      </c>
      <c r="B980" t="s">
        <v>167</v>
      </c>
      <c r="C980">
        <v>0.15</v>
      </c>
      <c r="D980" t="s">
        <v>1133</v>
      </c>
    </row>
    <row r="981" spans="1:4" x14ac:dyDescent="0.45">
      <c r="A981" t="s">
        <v>97</v>
      </c>
      <c r="B981" t="s">
        <v>169</v>
      </c>
      <c r="C981">
        <v>1</v>
      </c>
      <c r="D981" t="s">
        <v>1134</v>
      </c>
    </row>
    <row r="982" spans="1:4" x14ac:dyDescent="0.45">
      <c r="A982" t="s">
        <v>97</v>
      </c>
      <c r="B982" t="s">
        <v>171</v>
      </c>
      <c r="C982">
        <v>1</v>
      </c>
      <c r="D982" t="s">
        <v>1135</v>
      </c>
    </row>
    <row r="983" spans="1:4" x14ac:dyDescent="0.45">
      <c r="A983" t="s">
        <v>97</v>
      </c>
      <c r="B983" t="s">
        <v>173</v>
      </c>
      <c r="C983">
        <v>0</v>
      </c>
      <c r="D983" t="s">
        <v>1136</v>
      </c>
    </row>
    <row r="984" spans="1:4" x14ac:dyDescent="0.45">
      <c r="A984" t="s">
        <v>97</v>
      </c>
      <c r="B984" t="s">
        <v>175</v>
      </c>
      <c r="C984">
        <v>1</v>
      </c>
      <c r="D984" t="s">
        <v>1137</v>
      </c>
    </row>
    <row r="985" spans="1:4" x14ac:dyDescent="0.45">
      <c r="A985" t="s">
        <v>97</v>
      </c>
      <c r="B985" t="s">
        <v>177</v>
      </c>
      <c r="C985">
        <v>1</v>
      </c>
      <c r="D985" t="s">
        <v>1138</v>
      </c>
    </row>
    <row r="986" spans="1:4" x14ac:dyDescent="0.45">
      <c r="A986" t="s">
        <v>99</v>
      </c>
      <c r="B986" t="s">
        <v>121</v>
      </c>
      <c r="C986">
        <v>0</v>
      </c>
      <c r="D986" t="s">
        <v>1139</v>
      </c>
    </row>
    <row r="987" spans="1:4" x14ac:dyDescent="0.45">
      <c r="A987" t="s">
        <v>99</v>
      </c>
      <c r="B987" t="s">
        <v>134</v>
      </c>
      <c r="C987">
        <v>0</v>
      </c>
      <c r="D987" t="s">
        <v>1140</v>
      </c>
    </row>
    <row r="988" spans="1:4" x14ac:dyDescent="0.45">
      <c r="A988" t="s">
        <v>99</v>
      </c>
      <c r="B988" t="s">
        <v>136</v>
      </c>
      <c r="C988">
        <v>0</v>
      </c>
      <c r="D988" t="s">
        <v>1141</v>
      </c>
    </row>
    <row r="989" spans="1:4" x14ac:dyDescent="0.45">
      <c r="A989" t="s">
        <v>99</v>
      </c>
      <c r="B989" t="s">
        <v>138</v>
      </c>
      <c r="C989">
        <v>1</v>
      </c>
      <c r="D989" t="s">
        <v>1142</v>
      </c>
    </row>
    <row r="990" spans="1:4" x14ac:dyDescent="0.45">
      <c r="A990" t="s">
        <v>99</v>
      </c>
      <c r="B990" t="s">
        <v>140</v>
      </c>
      <c r="C990">
        <v>0.9</v>
      </c>
      <c r="D990" t="s">
        <v>1143</v>
      </c>
    </row>
    <row r="991" spans="1:4" x14ac:dyDescent="0.45">
      <c r="A991" t="s">
        <v>99</v>
      </c>
      <c r="B991" t="s">
        <v>142</v>
      </c>
      <c r="C991">
        <v>0</v>
      </c>
      <c r="D991" t="s">
        <v>1144</v>
      </c>
    </row>
    <row r="992" spans="1:4" x14ac:dyDescent="0.45">
      <c r="A992" t="s">
        <v>99</v>
      </c>
      <c r="B992" t="s">
        <v>144</v>
      </c>
      <c r="C992">
        <v>0</v>
      </c>
      <c r="D992" t="s">
        <v>1145</v>
      </c>
    </row>
    <row r="993" spans="1:4" x14ac:dyDescent="0.45">
      <c r="A993" t="s">
        <v>99</v>
      </c>
      <c r="B993" t="s">
        <v>146</v>
      </c>
      <c r="C993">
        <v>0</v>
      </c>
      <c r="D993" t="s">
        <v>1146</v>
      </c>
    </row>
    <row r="994" spans="1:4" x14ac:dyDescent="0.45">
      <c r="A994" t="s">
        <v>99</v>
      </c>
      <c r="B994" t="s">
        <v>148</v>
      </c>
      <c r="C994">
        <v>1</v>
      </c>
      <c r="D994" t="s">
        <v>1147</v>
      </c>
    </row>
    <row r="995" spans="1:4" x14ac:dyDescent="0.45">
      <c r="A995" t="s">
        <v>99</v>
      </c>
      <c r="B995" t="s">
        <v>150</v>
      </c>
      <c r="C995">
        <v>1</v>
      </c>
      <c r="D995" t="s">
        <v>1148</v>
      </c>
    </row>
    <row r="996" spans="1:4" x14ac:dyDescent="0.45">
      <c r="A996" t="s">
        <v>99</v>
      </c>
      <c r="B996" t="s">
        <v>152</v>
      </c>
      <c r="C996">
        <v>1</v>
      </c>
      <c r="D996" t="s">
        <v>1149</v>
      </c>
    </row>
    <row r="997" spans="1:4" x14ac:dyDescent="0.45">
      <c r="A997" t="s">
        <v>99</v>
      </c>
      <c r="B997" t="s">
        <v>154</v>
      </c>
      <c r="C997">
        <v>1</v>
      </c>
      <c r="D997" t="s">
        <v>1150</v>
      </c>
    </row>
    <row r="998" spans="1:4" x14ac:dyDescent="0.45">
      <c r="A998" t="s">
        <v>99</v>
      </c>
      <c r="B998" t="s">
        <v>124</v>
      </c>
      <c r="C998">
        <v>0</v>
      </c>
      <c r="D998" t="s">
        <v>1151</v>
      </c>
    </row>
    <row r="999" spans="1:4" x14ac:dyDescent="0.45">
      <c r="A999" t="s">
        <v>99</v>
      </c>
      <c r="B999" t="s">
        <v>157</v>
      </c>
      <c r="C999">
        <v>0</v>
      </c>
      <c r="D999" t="s">
        <v>1152</v>
      </c>
    </row>
    <row r="1000" spans="1:4" x14ac:dyDescent="0.45">
      <c r="A1000" t="s">
        <v>99</v>
      </c>
      <c r="B1000" t="s">
        <v>159</v>
      </c>
      <c r="C1000">
        <v>1</v>
      </c>
      <c r="D1000" t="s">
        <v>1153</v>
      </c>
    </row>
    <row r="1001" spans="1:4" x14ac:dyDescent="0.45">
      <c r="A1001" t="s">
        <v>99</v>
      </c>
      <c r="B1001" t="s">
        <v>161</v>
      </c>
      <c r="C1001">
        <v>0</v>
      </c>
      <c r="D1001" t="s">
        <v>1154</v>
      </c>
    </row>
    <row r="1002" spans="1:4" x14ac:dyDescent="0.45">
      <c r="A1002" t="s">
        <v>99</v>
      </c>
      <c r="B1002" t="s">
        <v>163</v>
      </c>
      <c r="C1002">
        <v>0</v>
      </c>
      <c r="D1002" t="s">
        <v>1155</v>
      </c>
    </row>
    <row r="1003" spans="1:4" x14ac:dyDescent="0.45">
      <c r="A1003" t="s">
        <v>99</v>
      </c>
      <c r="B1003" t="s">
        <v>165</v>
      </c>
      <c r="C1003">
        <v>0.15</v>
      </c>
      <c r="D1003" t="s">
        <v>1156</v>
      </c>
    </row>
    <row r="1004" spans="1:4" x14ac:dyDescent="0.45">
      <c r="A1004" t="s">
        <v>99</v>
      </c>
      <c r="B1004" t="s">
        <v>167</v>
      </c>
      <c r="C1004">
        <v>0.15</v>
      </c>
      <c r="D1004" t="s">
        <v>1157</v>
      </c>
    </row>
    <row r="1005" spans="1:4" x14ac:dyDescent="0.45">
      <c r="A1005" t="s">
        <v>99</v>
      </c>
      <c r="B1005" t="s">
        <v>169</v>
      </c>
      <c r="C1005">
        <v>1</v>
      </c>
      <c r="D1005" t="s">
        <v>1158</v>
      </c>
    </row>
    <row r="1006" spans="1:4" x14ac:dyDescent="0.45">
      <c r="A1006" t="s">
        <v>99</v>
      </c>
      <c r="B1006" t="s">
        <v>171</v>
      </c>
      <c r="C1006">
        <v>1</v>
      </c>
      <c r="D1006" t="s">
        <v>1159</v>
      </c>
    </row>
    <row r="1007" spans="1:4" x14ac:dyDescent="0.45">
      <c r="A1007" t="s">
        <v>99</v>
      </c>
      <c r="B1007" t="s">
        <v>173</v>
      </c>
      <c r="C1007">
        <v>0</v>
      </c>
      <c r="D1007" t="s">
        <v>1160</v>
      </c>
    </row>
    <row r="1008" spans="1:4" x14ac:dyDescent="0.45">
      <c r="A1008" t="s">
        <v>99</v>
      </c>
      <c r="B1008" t="s">
        <v>175</v>
      </c>
      <c r="C1008">
        <v>1</v>
      </c>
      <c r="D1008" t="s">
        <v>1161</v>
      </c>
    </row>
    <row r="1009" spans="1:4" x14ac:dyDescent="0.45">
      <c r="A1009" t="s">
        <v>99</v>
      </c>
      <c r="B1009" t="s">
        <v>177</v>
      </c>
      <c r="C1009">
        <v>1</v>
      </c>
      <c r="D1009" t="s">
        <v>1162</v>
      </c>
    </row>
    <row r="1010" spans="1:4" x14ac:dyDescent="0.45">
      <c r="A1010" t="s">
        <v>103</v>
      </c>
      <c r="B1010" t="s">
        <v>121</v>
      </c>
      <c r="C1010">
        <v>0</v>
      </c>
      <c r="D1010" t="s">
        <v>1163</v>
      </c>
    </row>
    <row r="1011" spans="1:4" x14ac:dyDescent="0.45">
      <c r="A1011" t="s">
        <v>103</v>
      </c>
      <c r="B1011" t="s">
        <v>134</v>
      </c>
      <c r="C1011">
        <v>0</v>
      </c>
      <c r="D1011" t="s">
        <v>1164</v>
      </c>
    </row>
    <row r="1012" spans="1:4" x14ac:dyDescent="0.45">
      <c r="A1012" t="s">
        <v>103</v>
      </c>
      <c r="B1012" t="s">
        <v>136</v>
      </c>
      <c r="C1012">
        <v>0</v>
      </c>
      <c r="D1012" t="s">
        <v>1165</v>
      </c>
    </row>
    <row r="1013" spans="1:4" x14ac:dyDescent="0.45">
      <c r="A1013" t="s">
        <v>103</v>
      </c>
      <c r="B1013" t="s">
        <v>138</v>
      </c>
      <c r="C1013">
        <v>1</v>
      </c>
      <c r="D1013" t="s">
        <v>1166</v>
      </c>
    </row>
    <row r="1014" spans="1:4" x14ac:dyDescent="0.45">
      <c r="A1014" t="s">
        <v>103</v>
      </c>
      <c r="B1014" t="s">
        <v>140</v>
      </c>
      <c r="C1014">
        <v>0.9</v>
      </c>
      <c r="D1014" t="s">
        <v>1167</v>
      </c>
    </row>
    <row r="1015" spans="1:4" x14ac:dyDescent="0.45">
      <c r="A1015" t="s">
        <v>103</v>
      </c>
      <c r="B1015" t="s">
        <v>142</v>
      </c>
      <c r="C1015">
        <v>0</v>
      </c>
      <c r="D1015" t="s">
        <v>1168</v>
      </c>
    </row>
    <row r="1016" spans="1:4" x14ac:dyDescent="0.45">
      <c r="A1016" t="s">
        <v>103</v>
      </c>
      <c r="B1016" t="s">
        <v>144</v>
      </c>
      <c r="C1016">
        <v>0</v>
      </c>
      <c r="D1016" t="s">
        <v>1169</v>
      </c>
    </row>
    <row r="1017" spans="1:4" x14ac:dyDescent="0.45">
      <c r="A1017" t="s">
        <v>103</v>
      </c>
      <c r="B1017" t="s">
        <v>146</v>
      </c>
      <c r="C1017">
        <v>0</v>
      </c>
      <c r="D1017" t="s">
        <v>1170</v>
      </c>
    </row>
    <row r="1018" spans="1:4" x14ac:dyDescent="0.45">
      <c r="A1018" t="s">
        <v>103</v>
      </c>
      <c r="B1018" t="s">
        <v>148</v>
      </c>
      <c r="C1018">
        <v>1</v>
      </c>
      <c r="D1018" t="s">
        <v>1171</v>
      </c>
    </row>
    <row r="1019" spans="1:4" x14ac:dyDescent="0.45">
      <c r="A1019" t="s">
        <v>103</v>
      </c>
      <c r="B1019" t="s">
        <v>150</v>
      </c>
      <c r="C1019">
        <v>1</v>
      </c>
      <c r="D1019" t="s">
        <v>1172</v>
      </c>
    </row>
    <row r="1020" spans="1:4" x14ac:dyDescent="0.45">
      <c r="A1020" t="s">
        <v>103</v>
      </c>
      <c r="B1020" t="s">
        <v>152</v>
      </c>
      <c r="C1020">
        <v>1</v>
      </c>
      <c r="D1020" t="s">
        <v>1173</v>
      </c>
    </row>
    <row r="1021" spans="1:4" x14ac:dyDescent="0.45">
      <c r="A1021" t="s">
        <v>103</v>
      </c>
      <c r="B1021" t="s">
        <v>154</v>
      </c>
      <c r="C1021">
        <v>1</v>
      </c>
      <c r="D1021" t="s">
        <v>1174</v>
      </c>
    </row>
    <row r="1022" spans="1:4" x14ac:dyDescent="0.45">
      <c r="A1022" t="s">
        <v>103</v>
      </c>
      <c r="B1022" t="s">
        <v>124</v>
      </c>
      <c r="C1022">
        <v>0</v>
      </c>
      <c r="D1022" t="s">
        <v>1175</v>
      </c>
    </row>
    <row r="1023" spans="1:4" x14ac:dyDescent="0.45">
      <c r="A1023" t="s">
        <v>103</v>
      </c>
      <c r="B1023" t="s">
        <v>157</v>
      </c>
      <c r="C1023">
        <v>0</v>
      </c>
      <c r="D1023" t="s">
        <v>1176</v>
      </c>
    </row>
    <row r="1024" spans="1:4" x14ac:dyDescent="0.45">
      <c r="A1024" t="s">
        <v>103</v>
      </c>
      <c r="B1024" t="s">
        <v>159</v>
      </c>
      <c r="C1024">
        <v>1</v>
      </c>
      <c r="D1024" t="s">
        <v>1177</v>
      </c>
    </row>
    <row r="1025" spans="1:4" x14ac:dyDescent="0.45">
      <c r="A1025" t="s">
        <v>103</v>
      </c>
      <c r="B1025" t="s">
        <v>161</v>
      </c>
      <c r="C1025">
        <v>0</v>
      </c>
      <c r="D1025" t="s">
        <v>1178</v>
      </c>
    </row>
    <row r="1026" spans="1:4" x14ac:dyDescent="0.45">
      <c r="A1026" t="s">
        <v>103</v>
      </c>
      <c r="B1026" t="s">
        <v>163</v>
      </c>
      <c r="C1026">
        <v>0</v>
      </c>
      <c r="D1026" t="s">
        <v>1179</v>
      </c>
    </row>
    <row r="1027" spans="1:4" x14ac:dyDescent="0.45">
      <c r="A1027" t="s">
        <v>103</v>
      </c>
      <c r="B1027" t="s">
        <v>165</v>
      </c>
      <c r="C1027">
        <v>0.15</v>
      </c>
      <c r="D1027" t="s">
        <v>1180</v>
      </c>
    </row>
    <row r="1028" spans="1:4" x14ac:dyDescent="0.45">
      <c r="A1028" t="s">
        <v>103</v>
      </c>
      <c r="B1028" t="s">
        <v>167</v>
      </c>
      <c r="C1028">
        <v>0.15</v>
      </c>
      <c r="D1028" t="s">
        <v>1181</v>
      </c>
    </row>
    <row r="1029" spans="1:4" x14ac:dyDescent="0.45">
      <c r="A1029" t="s">
        <v>103</v>
      </c>
      <c r="B1029" t="s">
        <v>169</v>
      </c>
      <c r="C1029">
        <v>1</v>
      </c>
      <c r="D1029" t="s">
        <v>1182</v>
      </c>
    </row>
    <row r="1030" spans="1:4" x14ac:dyDescent="0.45">
      <c r="A1030" t="s">
        <v>103</v>
      </c>
      <c r="B1030" t="s">
        <v>171</v>
      </c>
      <c r="C1030">
        <v>1</v>
      </c>
      <c r="D1030" t="s">
        <v>1183</v>
      </c>
    </row>
    <row r="1031" spans="1:4" x14ac:dyDescent="0.45">
      <c r="A1031" t="s">
        <v>103</v>
      </c>
      <c r="B1031" t="s">
        <v>173</v>
      </c>
      <c r="C1031">
        <v>0</v>
      </c>
      <c r="D1031" t="s">
        <v>1184</v>
      </c>
    </row>
    <row r="1032" spans="1:4" x14ac:dyDescent="0.45">
      <c r="A1032" t="s">
        <v>103</v>
      </c>
      <c r="B1032" t="s">
        <v>175</v>
      </c>
      <c r="C1032">
        <v>1</v>
      </c>
      <c r="D1032" t="s">
        <v>1185</v>
      </c>
    </row>
    <row r="1033" spans="1:4" x14ac:dyDescent="0.45">
      <c r="A1033" t="s">
        <v>103</v>
      </c>
      <c r="B1033" t="s">
        <v>177</v>
      </c>
      <c r="C1033">
        <v>1</v>
      </c>
      <c r="D1033" t="s">
        <v>1186</v>
      </c>
    </row>
    <row r="1034" spans="1:4" x14ac:dyDescent="0.45">
      <c r="A1034" t="s">
        <v>101</v>
      </c>
      <c r="B1034" t="s">
        <v>121</v>
      </c>
      <c r="C1034">
        <v>0</v>
      </c>
      <c r="D1034" t="s">
        <v>1187</v>
      </c>
    </row>
    <row r="1035" spans="1:4" x14ac:dyDescent="0.45">
      <c r="A1035" t="s">
        <v>101</v>
      </c>
      <c r="B1035" t="s">
        <v>134</v>
      </c>
      <c r="C1035">
        <v>0</v>
      </c>
      <c r="D1035" t="s">
        <v>1188</v>
      </c>
    </row>
    <row r="1036" spans="1:4" x14ac:dyDescent="0.45">
      <c r="A1036" t="s">
        <v>101</v>
      </c>
      <c r="B1036" t="s">
        <v>136</v>
      </c>
      <c r="C1036">
        <v>0</v>
      </c>
      <c r="D1036" t="s">
        <v>1189</v>
      </c>
    </row>
    <row r="1037" spans="1:4" x14ac:dyDescent="0.45">
      <c r="A1037" t="s">
        <v>101</v>
      </c>
      <c r="B1037" t="s">
        <v>138</v>
      </c>
      <c r="C1037">
        <v>1</v>
      </c>
      <c r="D1037" t="s">
        <v>1190</v>
      </c>
    </row>
    <row r="1038" spans="1:4" x14ac:dyDescent="0.45">
      <c r="A1038" t="s">
        <v>101</v>
      </c>
      <c r="B1038" t="s">
        <v>140</v>
      </c>
      <c r="C1038">
        <v>0</v>
      </c>
      <c r="D1038" t="s">
        <v>1191</v>
      </c>
    </row>
    <row r="1039" spans="1:4" x14ac:dyDescent="0.45">
      <c r="A1039" t="s">
        <v>101</v>
      </c>
      <c r="B1039" t="s">
        <v>142</v>
      </c>
      <c r="C1039">
        <v>0</v>
      </c>
      <c r="D1039" t="s">
        <v>1192</v>
      </c>
    </row>
    <row r="1040" spans="1:4" x14ac:dyDescent="0.45">
      <c r="A1040" t="s">
        <v>101</v>
      </c>
      <c r="B1040" t="s">
        <v>144</v>
      </c>
      <c r="C1040">
        <v>0</v>
      </c>
      <c r="D1040" t="s">
        <v>1193</v>
      </c>
    </row>
    <row r="1041" spans="1:4" x14ac:dyDescent="0.45">
      <c r="A1041" t="s">
        <v>101</v>
      </c>
      <c r="B1041" t="s">
        <v>146</v>
      </c>
      <c r="C1041">
        <v>0</v>
      </c>
      <c r="D1041" t="s">
        <v>1194</v>
      </c>
    </row>
    <row r="1042" spans="1:4" x14ac:dyDescent="0.45">
      <c r="A1042" t="s">
        <v>101</v>
      </c>
      <c r="B1042" t="s">
        <v>148</v>
      </c>
      <c r="C1042">
        <v>1</v>
      </c>
      <c r="D1042" t="s">
        <v>1195</v>
      </c>
    </row>
    <row r="1043" spans="1:4" x14ac:dyDescent="0.45">
      <c r="A1043" t="s">
        <v>101</v>
      </c>
      <c r="B1043" t="s">
        <v>150</v>
      </c>
      <c r="C1043">
        <v>1</v>
      </c>
      <c r="D1043" t="s">
        <v>1196</v>
      </c>
    </row>
    <row r="1044" spans="1:4" x14ac:dyDescent="0.45">
      <c r="A1044" t="s">
        <v>101</v>
      </c>
      <c r="B1044" t="s">
        <v>152</v>
      </c>
      <c r="C1044">
        <v>1</v>
      </c>
      <c r="D1044" t="s">
        <v>1197</v>
      </c>
    </row>
    <row r="1045" spans="1:4" x14ac:dyDescent="0.45">
      <c r="A1045" t="s">
        <v>101</v>
      </c>
      <c r="B1045" t="s">
        <v>154</v>
      </c>
      <c r="C1045">
        <v>1</v>
      </c>
      <c r="D1045" t="s">
        <v>1198</v>
      </c>
    </row>
    <row r="1046" spans="1:4" x14ac:dyDescent="0.45">
      <c r="A1046" t="s">
        <v>101</v>
      </c>
      <c r="B1046" t="s">
        <v>124</v>
      </c>
      <c r="C1046">
        <v>0</v>
      </c>
      <c r="D1046" t="s">
        <v>1199</v>
      </c>
    </row>
    <row r="1047" spans="1:4" x14ac:dyDescent="0.45">
      <c r="A1047" t="s">
        <v>101</v>
      </c>
      <c r="B1047" t="s">
        <v>157</v>
      </c>
      <c r="C1047">
        <v>0</v>
      </c>
      <c r="D1047" t="s">
        <v>1200</v>
      </c>
    </row>
    <row r="1048" spans="1:4" x14ac:dyDescent="0.45">
      <c r="A1048" t="s">
        <v>101</v>
      </c>
      <c r="B1048" t="s">
        <v>159</v>
      </c>
      <c r="C1048">
        <v>1</v>
      </c>
      <c r="D1048" t="s">
        <v>1201</v>
      </c>
    </row>
    <row r="1049" spans="1:4" x14ac:dyDescent="0.45">
      <c r="A1049" t="s">
        <v>101</v>
      </c>
      <c r="B1049" t="s">
        <v>161</v>
      </c>
      <c r="C1049">
        <v>0</v>
      </c>
      <c r="D1049" t="s">
        <v>1202</v>
      </c>
    </row>
    <row r="1050" spans="1:4" x14ac:dyDescent="0.45">
      <c r="A1050" t="s">
        <v>101</v>
      </c>
      <c r="B1050" t="s">
        <v>163</v>
      </c>
      <c r="C1050">
        <v>0</v>
      </c>
      <c r="D1050" t="s">
        <v>1203</v>
      </c>
    </row>
    <row r="1051" spans="1:4" x14ac:dyDescent="0.45">
      <c r="A1051" t="s">
        <v>101</v>
      </c>
      <c r="B1051" t="s">
        <v>165</v>
      </c>
      <c r="C1051">
        <v>0.15</v>
      </c>
      <c r="D1051" t="s">
        <v>1204</v>
      </c>
    </row>
    <row r="1052" spans="1:4" x14ac:dyDescent="0.45">
      <c r="A1052" t="s">
        <v>101</v>
      </c>
      <c r="B1052" t="s">
        <v>167</v>
      </c>
      <c r="C1052">
        <v>0.15</v>
      </c>
      <c r="D1052" t="s">
        <v>1205</v>
      </c>
    </row>
    <row r="1053" spans="1:4" x14ac:dyDescent="0.45">
      <c r="A1053" t="s">
        <v>101</v>
      </c>
      <c r="B1053" t="s">
        <v>169</v>
      </c>
      <c r="C1053">
        <v>1</v>
      </c>
      <c r="D1053" t="s">
        <v>1206</v>
      </c>
    </row>
    <row r="1054" spans="1:4" x14ac:dyDescent="0.45">
      <c r="A1054" t="s">
        <v>101</v>
      </c>
      <c r="B1054" t="s">
        <v>171</v>
      </c>
      <c r="C1054">
        <v>1</v>
      </c>
      <c r="D1054" t="s">
        <v>1207</v>
      </c>
    </row>
    <row r="1055" spans="1:4" x14ac:dyDescent="0.45">
      <c r="A1055" t="s">
        <v>101</v>
      </c>
      <c r="B1055" t="s">
        <v>173</v>
      </c>
      <c r="C1055">
        <v>0</v>
      </c>
      <c r="D1055" t="s">
        <v>1208</v>
      </c>
    </row>
    <row r="1056" spans="1:4" x14ac:dyDescent="0.45">
      <c r="A1056" t="s">
        <v>101</v>
      </c>
      <c r="B1056" t="s">
        <v>175</v>
      </c>
      <c r="C1056">
        <v>1</v>
      </c>
      <c r="D1056" t="s">
        <v>1209</v>
      </c>
    </row>
    <row r="1057" spans="1:4" x14ac:dyDescent="0.45">
      <c r="A1057" t="s">
        <v>101</v>
      </c>
      <c r="B1057" t="s">
        <v>177</v>
      </c>
      <c r="C1057">
        <v>1</v>
      </c>
      <c r="D1057" t="s">
        <v>1210</v>
      </c>
    </row>
    <row r="1058" spans="1:4" x14ac:dyDescent="0.45">
      <c r="A1058" t="s">
        <v>105</v>
      </c>
      <c r="B1058" t="s">
        <v>121</v>
      </c>
      <c r="C1058">
        <v>0</v>
      </c>
      <c r="D1058" t="s">
        <v>1211</v>
      </c>
    </row>
    <row r="1059" spans="1:4" x14ac:dyDescent="0.45">
      <c r="A1059" t="s">
        <v>105</v>
      </c>
      <c r="B1059" t="s">
        <v>134</v>
      </c>
      <c r="C1059">
        <v>0</v>
      </c>
      <c r="D1059" t="s">
        <v>1212</v>
      </c>
    </row>
    <row r="1060" spans="1:4" x14ac:dyDescent="0.45">
      <c r="A1060" t="s">
        <v>105</v>
      </c>
      <c r="B1060" t="s">
        <v>136</v>
      </c>
      <c r="C1060">
        <v>0</v>
      </c>
      <c r="D1060" t="s">
        <v>1213</v>
      </c>
    </row>
    <row r="1061" spans="1:4" x14ac:dyDescent="0.45">
      <c r="A1061" t="s">
        <v>105</v>
      </c>
      <c r="B1061" t="s">
        <v>138</v>
      </c>
      <c r="C1061">
        <v>1</v>
      </c>
      <c r="D1061" t="s">
        <v>1214</v>
      </c>
    </row>
    <row r="1062" spans="1:4" x14ac:dyDescent="0.45">
      <c r="A1062" t="s">
        <v>105</v>
      </c>
      <c r="B1062" t="s">
        <v>140</v>
      </c>
      <c r="C1062">
        <v>0.9</v>
      </c>
      <c r="D1062" t="s">
        <v>1215</v>
      </c>
    </row>
    <row r="1063" spans="1:4" x14ac:dyDescent="0.45">
      <c r="A1063" t="s">
        <v>105</v>
      </c>
      <c r="B1063" t="s">
        <v>142</v>
      </c>
      <c r="C1063">
        <v>0</v>
      </c>
      <c r="D1063" t="s">
        <v>1216</v>
      </c>
    </row>
    <row r="1064" spans="1:4" x14ac:dyDescent="0.45">
      <c r="A1064" t="s">
        <v>105</v>
      </c>
      <c r="B1064" t="s">
        <v>144</v>
      </c>
      <c r="C1064">
        <v>0</v>
      </c>
      <c r="D1064" t="s">
        <v>1217</v>
      </c>
    </row>
    <row r="1065" spans="1:4" x14ac:dyDescent="0.45">
      <c r="A1065" t="s">
        <v>105</v>
      </c>
      <c r="B1065" t="s">
        <v>146</v>
      </c>
      <c r="C1065">
        <v>0</v>
      </c>
      <c r="D1065" t="s">
        <v>1218</v>
      </c>
    </row>
    <row r="1066" spans="1:4" x14ac:dyDescent="0.45">
      <c r="A1066" t="s">
        <v>105</v>
      </c>
      <c r="B1066" t="s">
        <v>148</v>
      </c>
      <c r="C1066">
        <v>1</v>
      </c>
      <c r="D1066" t="s">
        <v>1219</v>
      </c>
    </row>
    <row r="1067" spans="1:4" x14ac:dyDescent="0.45">
      <c r="A1067" t="s">
        <v>105</v>
      </c>
      <c r="B1067" t="s">
        <v>150</v>
      </c>
      <c r="C1067">
        <v>1</v>
      </c>
      <c r="D1067" t="s">
        <v>1220</v>
      </c>
    </row>
    <row r="1068" spans="1:4" x14ac:dyDescent="0.45">
      <c r="A1068" t="s">
        <v>105</v>
      </c>
      <c r="B1068" t="s">
        <v>152</v>
      </c>
      <c r="C1068">
        <v>1</v>
      </c>
      <c r="D1068" t="s">
        <v>1221</v>
      </c>
    </row>
    <row r="1069" spans="1:4" x14ac:dyDescent="0.45">
      <c r="A1069" t="s">
        <v>105</v>
      </c>
      <c r="B1069" t="s">
        <v>154</v>
      </c>
      <c r="C1069">
        <v>1</v>
      </c>
      <c r="D1069" t="s">
        <v>1222</v>
      </c>
    </row>
    <row r="1070" spans="1:4" x14ac:dyDescent="0.45">
      <c r="A1070" t="s">
        <v>105</v>
      </c>
      <c r="B1070" t="s">
        <v>124</v>
      </c>
      <c r="C1070">
        <v>0</v>
      </c>
      <c r="D1070" t="s">
        <v>1223</v>
      </c>
    </row>
    <row r="1071" spans="1:4" x14ac:dyDescent="0.45">
      <c r="A1071" t="s">
        <v>105</v>
      </c>
      <c r="B1071" t="s">
        <v>157</v>
      </c>
      <c r="C1071">
        <v>0</v>
      </c>
      <c r="D1071" t="s">
        <v>1224</v>
      </c>
    </row>
    <row r="1072" spans="1:4" x14ac:dyDescent="0.45">
      <c r="A1072" t="s">
        <v>105</v>
      </c>
      <c r="B1072" t="s">
        <v>159</v>
      </c>
      <c r="C1072">
        <v>1</v>
      </c>
      <c r="D1072" t="s">
        <v>1225</v>
      </c>
    </row>
    <row r="1073" spans="1:4" x14ac:dyDescent="0.45">
      <c r="A1073" t="s">
        <v>105</v>
      </c>
      <c r="B1073" t="s">
        <v>161</v>
      </c>
      <c r="C1073">
        <v>0</v>
      </c>
      <c r="D1073" t="s">
        <v>1226</v>
      </c>
    </row>
    <row r="1074" spans="1:4" x14ac:dyDescent="0.45">
      <c r="A1074" t="s">
        <v>105</v>
      </c>
      <c r="B1074" t="s">
        <v>163</v>
      </c>
      <c r="C1074">
        <v>0</v>
      </c>
      <c r="D1074" t="s">
        <v>1227</v>
      </c>
    </row>
    <row r="1075" spans="1:4" x14ac:dyDescent="0.45">
      <c r="A1075" t="s">
        <v>105</v>
      </c>
      <c r="B1075" t="s">
        <v>165</v>
      </c>
      <c r="C1075">
        <v>0.15</v>
      </c>
      <c r="D1075" t="s">
        <v>1228</v>
      </c>
    </row>
    <row r="1076" spans="1:4" x14ac:dyDescent="0.45">
      <c r="A1076" t="s">
        <v>105</v>
      </c>
      <c r="B1076" t="s">
        <v>167</v>
      </c>
      <c r="C1076">
        <v>0.15</v>
      </c>
      <c r="D1076" t="s">
        <v>1229</v>
      </c>
    </row>
    <row r="1077" spans="1:4" x14ac:dyDescent="0.45">
      <c r="A1077" t="s">
        <v>105</v>
      </c>
      <c r="B1077" t="s">
        <v>169</v>
      </c>
      <c r="C1077">
        <v>1</v>
      </c>
      <c r="D1077" t="s">
        <v>1230</v>
      </c>
    </row>
    <row r="1078" spans="1:4" x14ac:dyDescent="0.45">
      <c r="A1078" t="s">
        <v>105</v>
      </c>
      <c r="B1078" t="s">
        <v>171</v>
      </c>
      <c r="C1078">
        <v>1</v>
      </c>
      <c r="D1078" t="s">
        <v>1231</v>
      </c>
    </row>
    <row r="1079" spans="1:4" x14ac:dyDescent="0.45">
      <c r="A1079" t="s">
        <v>105</v>
      </c>
      <c r="B1079" t="s">
        <v>173</v>
      </c>
      <c r="C1079">
        <v>0</v>
      </c>
      <c r="D1079" t="s">
        <v>1232</v>
      </c>
    </row>
    <row r="1080" spans="1:4" x14ac:dyDescent="0.45">
      <c r="A1080" t="s">
        <v>105</v>
      </c>
      <c r="B1080" t="s">
        <v>175</v>
      </c>
      <c r="C1080">
        <v>1</v>
      </c>
      <c r="D1080" t="s">
        <v>1233</v>
      </c>
    </row>
    <row r="1081" spans="1:4" x14ac:dyDescent="0.45">
      <c r="A1081" t="s">
        <v>105</v>
      </c>
      <c r="B1081" t="s">
        <v>177</v>
      </c>
      <c r="C1081">
        <v>1</v>
      </c>
      <c r="D1081" t="s">
        <v>1234</v>
      </c>
    </row>
    <row r="1082" spans="1:4" x14ac:dyDescent="0.45">
      <c r="A1082" t="s">
        <v>109</v>
      </c>
      <c r="B1082" t="s">
        <v>121</v>
      </c>
      <c r="C1082">
        <v>0</v>
      </c>
      <c r="D1082" t="s">
        <v>1235</v>
      </c>
    </row>
    <row r="1083" spans="1:4" x14ac:dyDescent="0.45">
      <c r="A1083" t="s">
        <v>109</v>
      </c>
      <c r="B1083" t="s">
        <v>134</v>
      </c>
      <c r="C1083">
        <v>0</v>
      </c>
      <c r="D1083" t="s">
        <v>1236</v>
      </c>
    </row>
    <row r="1084" spans="1:4" x14ac:dyDescent="0.45">
      <c r="A1084" t="s">
        <v>109</v>
      </c>
      <c r="B1084" t="s">
        <v>136</v>
      </c>
      <c r="C1084">
        <v>0</v>
      </c>
      <c r="D1084" t="s">
        <v>1237</v>
      </c>
    </row>
    <row r="1085" spans="1:4" x14ac:dyDescent="0.45">
      <c r="A1085" t="s">
        <v>109</v>
      </c>
      <c r="B1085" t="s">
        <v>138</v>
      </c>
      <c r="C1085">
        <v>1</v>
      </c>
      <c r="D1085" t="s">
        <v>1238</v>
      </c>
    </row>
    <row r="1086" spans="1:4" x14ac:dyDescent="0.45">
      <c r="A1086" t="s">
        <v>109</v>
      </c>
      <c r="B1086" t="s">
        <v>140</v>
      </c>
      <c r="C1086">
        <v>0.9</v>
      </c>
      <c r="D1086" t="s">
        <v>1239</v>
      </c>
    </row>
    <row r="1087" spans="1:4" x14ac:dyDescent="0.45">
      <c r="A1087" t="s">
        <v>109</v>
      </c>
      <c r="B1087" t="s">
        <v>142</v>
      </c>
      <c r="C1087">
        <v>0</v>
      </c>
      <c r="D1087" t="s">
        <v>1240</v>
      </c>
    </row>
    <row r="1088" spans="1:4" x14ac:dyDescent="0.45">
      <c r="A1088" t="s">
        <v>109</v>
      </c>
      <c r="B1088" t="s">
        <v>144</v>
      </c>
      <c r="C1088">
        <v>0</v>
      </c>
      <c r="D1088" t="s">
        <v>1241</v>
      </c>
    </row>
    <row r="1089" spans="1:4" x14ac:dyDescent="0.45">
      <c r="A1089" t="s">
        <v>109</v>
      </c>
      <c r="B1089" t="s">
        <v>146</v>
      </c>
      <c r="C1089">
        <v>0</v>
      </c>
      <c r="D1089" t="s">
        <v>1242</v>
      </c>
    </row>
    <row r="1090" spans="1:4" x14ac:dyDescent="0.45">
      <c r="A1090" t="s">
        <v>109</v>
      </c>
      <c r="B1090" t="s">
        <v>148</v>
      </c>
      <c r="C1090">
        <v>1</v>
      </c>
      <c r="D1090" t="s">
        <v>1243</v>
      </c>
    </row>
    <row r="1091" spans="1:4" x14ac:dyDescent="0.45">
      <c r="A1091" t="s">
        <v>109</v>
      </c>
      <c r="B1091" t="s">
        <v>150</v>
      </c>
      <c r="C1091">
        <v>1</v>
      </c>
      <c r="D1091" t="s">
        <v>1244</v>
      </c>
    </row>
    <row r="1092" spans="1:4" x14ac:dyDescent="0.45">
      <c r="A1092" t="s">
        <v>109</v>
      </c>
      <c r="B1092" t="s">
        <v>152</v>
      </c>
      <c r="C1092">
        <v>1</v>
      </c>
      <c r="D1092" t="s">
        <v>1245</v>
      </c>
    </row>
    <row r="1093" spans="1:4" x14ac:dyDescent="0.45">
      <c r="A1093" t="s">
        <v>109</v>
      </c>
      <c r="B1093" t="s">
        <v>154</v>
      </c>
      <c r="C1093">
        <v>1</v>
      </c>
      <c r="D1093" t="s">
        <v>1246</v>
      </c>
    </row>
    <row r="1094" spans="1:4" x14ac:dyDescent="0.45">
      <c r="A1094" t="s">
        <v>109</v>
      </c>
      <c r="B1094" t="s">
        <v>124</v>
      </c>
      <c r="C1094">
        <v>0</v>
      </c>
      <c r="D1094" t="s">
        <v>1247</v>
      </c>
    </row>
    <row r="1095" spans="1:4" x14ac:dyDescent="0.45">
      <c r="A1095" t="s">
        <v>109</v>
      </c>
      <c r="B1095" t="s">
        <v>157</v>
      </c>
      <c r="C1095">
        <v>0</v>
      </c>
      <c r="D1095" t="s">
        <v>1248</v>
      </c>
    </row>
    <row r="1096" spans="1:4" x14ac:dyDescent="0.45">
      <c r="A1096" t="s">
        <v>109</v>
      </c>
      <c r="B1096" t="s">
        <v>159</v>
      </c>
      <c r="C1096">
        <v>1</v>
      </c>
      <c r="D1096" t="s">
        <v>1249</v>
      </c>
    </row>
    <row r="1097" spans="1:4" x14ac:dyDescent="0.45">
      <c r="A1097" t="s">
        <v>109</v>
      </c>
      <c r="B1097" t="s">
        <v>161</v>
      </c>
      <c r="C1097">
        <v>0</v>
      </c>
      <c r="D1097" t="s">
        <v>1250</v>
      </c>
    </row>
    <row r="1098" spans="1:4" x14ac:dyDescent="0.45">
      <c r="A1098" t="s">
        <v>109</v>
      </c>
      <c r="B1098" t="s">
        <v>163</v>
      </c>
      <c r="C1098">
        <v>0</v>
      </c>
      <c r="D1098" t="s">
        <v>1251</v>
      </c>
    </row>
    <row r="1099" spans="1:4" x14ac:dyDescent="0.45">
      <c r="A1099" t="s">
        <v>109</v>
      </c>
      <c r="B1099" t="s">
        <v>165</v>
      </c>
      <c r="C1099">
        <v>0.15</v>
      </c>
      <c r="D1099" t="s">
        <v>1252</v>
      </c>
    </row>
    <row r="1100" spans="1:4" x14ac:dyDescent="0.45">
      <c r="A1100" t="s">
        <v>109</v>
      </c>
      <c r="B1100" t="s">
        <v>167</v>
      </c>
      <c r="C1100">
        <v>0.15</v>
      </c>
      <c r="D1100" t="s">
        <v>1253</v>
      </c>
    </row>
    <row r="1101" spans="1:4" x14ac:dyDescent="0.45">
      <c r="A1101" t="s">
        <v>109</v>
      </c>
      <c r="B1101" t="s">
        <v>169</v>
      </c>
      <c r="C1101">
        <v>1</v>
      </c>
      <c r="D1101" t="s">
        <v>1254</v>
      </c>
    </row>
    <row r="1102" spans="1:4" x14ac:dyDescent="0.45">
      <c r="A1102" t="s">
        <v>109</v>
      </c>
      <c r="B1102" t="s">
        <v>171</v>
      </c>
      <c r="C1102">
        <v>1</v>
      </c>
      <c r="D1102" t="s">
        <v>1255</v>
      </c>
    </row>
    <row r="1103" spans="1:4" x14ac:dyDescent="0.45">
      <c r="A1103" t="s">
        <v>109</v>
      </c>
      <c r="B1103" t="s">
        <v>173</v>
      </c>
      <c r="C1103">
        <v>0</v>
      </c>
      <c r="D1103" t="s">
        <v>1256</v>
      </c>
    </row>
    <row r="1104" spans="1:4" x14ac:dyDescent="0.45">
      <c r="A1104" t="s">
        <v>109</v>
      </c>
      <c r="B1104" t="s">
        <v>175</v>
      </c>
      <c r="C1104">
        <v>1</v>
      </c>
      <c r="D1104" t="s">
        <v>1257</v>
      </c>
    </row>
    <row r="1105" spans="1:4" x14ac:dyDescent="0.45">
      <c r="A1105" t="s">
        <v>109</v>
      </c>
      <c r="B1105" t="s">
        <v>177</v>
      </c>
      <c r="C1105">
        <v>1</v>
      </c>
      <c r="D1105" t="s">
        <v>1258</v>
      </c>
    </row>
    <row r="1106" spans="1:4" x14ac:dyDescent="0.45">
      <c r="A1106" t="s">
        <v>107</v>
      </c>
      <c r="B1106" t="s">
        <v>121</v>
      </c>
      <c r="C1106">
        <v>0</v>
      </c>
      <c r="D1106" t="s">
        <v>1259</v>
      </c>
    </row>
    <row r="1107" spans="1:4" x14ac:dyDescent="0.45">
      <c r="A1107" t="s">
        <v>107</v>
      </c>
      <c r="B1107" t="s">
        <v>134</v>
      </c>
      <c r="C1107">
        <v>0</v>
      </c>
      <c r="D1107" t="s">
        <v>1260</v>
      </c>
    </row>
    <row r="1108" spans="1:4" x14ac:dyDescent="0.45">
      <c r="A1108" t="s">
        <v>107</v>
      </c>
      <c r="B1108" t="s">
        <v>136</v>
      </c>
      <c r="C1108">
        <v>0</v>
      </c>
      <c r="D1108" t="s">
        <v>1261</v>
      </c>
    </row>
    <row r="1109" spans="1:4" x14ac:dyDescent="0.45">
      <c r="A1109" t="s">
        <v>107</v>
      </c>
      <c r="B1109" t="s">
        <v>138</v>
      </c>
      <c r="C1109">
        <v>1</v>
      </c>
      <c r="D1109" t="s">
        <v>1262</v>
      </c>
    </row>
    <row r="1110" spans="1:4" x14ac:dyDescent="0.45">
      <c r="A1110" t="s">
        <v>107</v>
      </c>
      <c r="B1110" t="s">
        <v>140</v>
      </c>
      <c r="C1110">
        <v>0.9</v>
      </c>
      <c r="D1110" t="s">
        <v>1263</v>
      </c>
    </row>
    <row r="1111" spans="1:4" x14ac:dyDescent="0.45">
      <c r="A1111" t="s">
        <v>107</v>
      </c>
      <c r="B1111" t="s">
        <v>142</v>
      </c>
      <c r="C1111">
        <v>0</v>
      </c>
      <c r="D1111" t="s">
        <v>1264</v>
      </c>
    </row>
    <row r="1112" spans="1:4" x14ac:dyDescent="0.45">
      <c r="A1112" t="s">
        <v>107</v>
      </c>
      <c r="B1112" t="s">
        <v>144</v>
      </c>
      <c r="C1112">
        <v>0</v>
      </c>
      <c r="D1112" t="s">
        <v>1265</v>
      </c>
    </row>
    <row r="1113" spans="1:4" x14ac:dyDescent="0.45">
      <c r="A1113" t="s">
        <v>107</v>
      </c>
      <c r="B1113" t="s">
        <v>146</v>
      </c>
      <c r="C1113">
        <v>0</v>
      </c>
      <c r="D1113" t="s">
        <v>1266</v>
      </c>
    </row>
    <row r="1114" spans="1:4" x14ac:dyDescent="0.45">
      <c r="A1114" t="s">
        <v>107</v>
      </c>
      <c r="B1114" t="s">
        <v>148</v>
      </c>
      <c r="C1114">
        <v>1</v>
      </c>
      <c r="D1114" t="s">
        <v>1267</v>
      </c>
    </row>
    <row r="1115" spans="1:4" x14ac:dyDescent="0.45">
      <c r="A1115" t="s">
        <v>107</v>
      </c>
      <c r="B1115" t="s">
        <v>150</v>
      </c>
      <c r="C1115">
        <v>1</v>
      </c>
      <c r="D1115" t="s">
        <v>1268</v>
      </c>
    </row>
    <row r="1116" spans="1:4" x14ac:dyDescent="0.45">
      <c r="A1116" t="s">
        <v>107</v>
      </c>
      <c r="B1116" t="s">
        <v>152</v>
      </c>
      <c r="C1116">
        <v>1</v>
      </c>
      <c r="D1116" t="s">
        <v>1269</v>
      </c>
    </row>
    <row r="1117" spans="1:4" x14ac:dyDescent="0.45">
      <c r="A1117" t="s">
        <v>107</v>
      </c>
      <c r="B1117" t="s">
        <v>154</v>
      </c>
      <c r="C1117">
        <v>1</v>
      </c>
      <c r="D1117" t="s">
        <v>1270</v>
      </c>
    </row>
    <row r="1118" spans="1:4" x14ac:dyDescent="0.45">
      <c r="A1118" t="s">
        <v>107</v>
      </c>
      <c r="B1118" t="s">
        <v>124</v>
      </c>
      <c r="C1118">
        <v>0</v>
      </c>
      <c r="D1118" t="s">
        <v>1271</v>
      </c>
    </row>
    <row r="1119" spans="1:4" x14ac:dyDescent="0.45">
      <c r="A1119" t="s">
        <v>107</v>
      </c>
      <c r="B1119" t="s">
        <v>157</v>
      </c>
      <c r="C1119">
        <v>0</v>
      </c>
      <c r="D1119" t="s">
        <v>1272</v>
      </c>
    </row>
    <row r="1120" spans="1:4" x14ac:dyDescent="0.45">
      <c r="A1120" t="s">
        <v>107</v>
      </c>
      <c r="B1120" t="s">
        <v>159</v>
      </c>
      <c r="C1120">
        <v>1</v>
      </c>
      <c r="D1120" t="s">
        <v>1273</v>
      </c>
    </row>
    <row r="1121" spans="1:4" x14ac:dyDescent="0.45">
      <c r="A1121" t="s">
        <v>107</v>
      </c>
      <c r="B1121" t="s">
        <v>161</v>
      </c>
      <c r="C1121">
        <v>0</v>
      </c>
      <c r="D1121" t="s">
        <v>1274</v>
      </c>
    </row>
    <row r="1122" spans="1:4" x14ac:dyDescent="0.45">
      <c r="A1122" t="s">
        <v>107</v>
      </c>
      <c r="B1122" t="s">
        <v>163</v>
      </c>
      <c r="C1122">
        <v>0</v>
      </c>
      <c r="D1122" t="s">
        <v>1275</v>
      </c>
    </row>
    <row r="1123" spans="1:4" x14ac:dyDescent="0.45">
      <c r="A1123" t="s">
        <v>107</v>
      </c>
      <c r="B1123" t="s">
        <v>165</v>
      </c>
      <c r="C1123">
        <v>0.15</v>
      </c>
      <c r="D1123" t="s">
        <v>1276</v>
      </c>
    </row>
    <row r="1124" spans="1:4" x14ac:dyDescent="0.45">
      <c r="A1124" t="s">
        <v>107</v>
      </c>
      <c r="B1124" t="s">
        <v>167</v>
      </c>
      <c r="C1124">
        <v>0.15</v>
      </c>
      <c r="D1124" t="s">
        <v>1277</v>
      </c>
    </row>
    <row r="1125" spans="1:4" x14ac:dyDescent="0.45">
      <c r="A1125" t="s">
        <v>107</v>
      </c>
      <c r="B1125" t="s">
        <v>169</v>
      </c>
      <c r="C1125">
        <v>1</v>
      </c>
      <c r="D1125" t="s">
        <v>1278</v>
      </c>
    </row>
    <row r="1126" spans="1:4" x14ac:dyDescent="0.45">
      <c r="A1126" t="s">
        <v>107</v>
      </c>
      <c r="B1126" t="s">
        <v>171</v>
      </c>
      <c r="C1126">
        <v>1</v>
      </c>
      <c r="D1126" t="s">
        <v>1279</v>
      </c>
    </row>
    <row r="1127" spans="1:4" x14ac:dyDescent="0.45">
      <c r="A1127" t="s">
        <v>107</v>
      </c>
      <c r="B1127" t="s">
        <v>173</v>
      </c>
      <c r="C1127">
        <v>0</v>
      </c>
      <c r="D1127" t="s">
        <v>1280</v>
      </c>
    </row>
    <row r="1128" spans="1:4" x14ac:dyDescent="0.45">
      <c r="A1128" t="s">
        <v>107</v>
      </c>
      <c r="B1128" t="s">
        <v>175</v>
      </c>
      <c r="C1128">
        <v>1</v>
      </c>
      <c r="D1128" t="s">
        <v>1281</v>
      </c>
    </row>
    <row r="1129" spans="1:4" x14ac:dyDescent="0.45">
      <c r="A1129" t="s">
        <v>107</v>
      </c>
      <c r="B1129" t="s">
        <v>177</v>
      </c>
      <c r="C1129">
        <v>1</v>
      </c>
      <c r="D1129" t="s">
        <v>1282</v>
      </c>
    </row>
    <row r="1130" spans="1:4" x14ac:dyDescent="0.45">
      <c r="A1130" t="s">
        <v>111</v>
      </c>
      <c r="B1130" t="s">
        <v>121</v>
      </c>
      <c r="C1130">
        <v>0</v>
      </c>
      <c r="D1130" t="s">
        <v>1283</v>
      </c>
    </row>
    <row r="1131" spans="1:4" x14ac:dyDescent="0.45">
      <c r="A1131" t="s">
        <v>111</v>
      </c>
      <c r="B1131" t="s">
        <v>134</v>
      </c>
      <c r="C1131">
        <v>0</v>
      </c>
      <c r="D1131" t="s">
        <v>1284</v>
      </c>
    </row>
    <row r="1132" spans="1:4" x14ac:dyDescent="0.45">
      <c r="A1132" t="s">
        <v>111</v>
      </c>
      <c r="B1132" t="s">
        <v>136</v>
      </c>
      <c r="C1132">
        <v>0</v>
      </c>
      <c r="D1132" t="s">
        <v>1285</v>
      </c>
    </row>
    <row r="1133" spans="1:4" x14ac:dyDescent="0.45">
      <c r="A1133" t="s">
        <v>111</v>
      </c>
      <c r="B1133" t="s">
        <v>138</v>
      </c>
      <c r="C1133">
        <v>1</v>
      </c>
      <c r="D1133" t="s">
        <v>1286</v>
      </c>
    </row>
    <row r="1134" spans="1:4" x14ac:dyDescent="0.45">
      <c r="A1134" t="s">
        <v>111</v>
      </c>
      <c r="B1134" t="s">
        <v>140</v>
      </c>
      <c r="C1134">
        <v>0.9</v>
      </c>
      <c r="D1134" t="s">
        <v>1287</v>
      </c>
    </row>
    <row r="1135" spans="1:4" x14ac:dyDescent="0.45">
      <c r="A1135" t="s">
        <v>111</v>
      </c>
      <c r="B1135" t="s">
        <v>142</v>
      </c>
      <c r="C1135">
        <v>0</v>
      </c>
      <c r="D1135" t="s">
        <v>1288</v>
      </c>
    </row>
    <row r="1136" spans="1:4" x14ac:dyDescent="0.45">
      <c r="A1136" t="s">
        <v>111</v>
      </c>
      <c r="B1136" t="s">
        <v>144</v>
      </c>
      <c r="C1136">
        <v>0</v>
      </c>
      <c r="D1136" t="s">
        <v>1289</v>
      </c>
    </row>
    <row r="1137" spans="1:4" x14ac:dyDescent="0.45">
      <c r="A1137" t="s">
        <v>111</v>
      </c>
      <c r="B1137" t="s">
        <v>146</v>
      </c>
      <c r="C1137">
        <v>0</v>
      </c>
      <c r="D1137" t="s">
        <v>1290</v>
      </c>
    </row>
    <row r="1138" spans="1:4" x14ac:dyDescent="0.45">
      <c r="A1138" t="s">
        <v>111</v>
      </c>
      <c r="B1138" t="s">
        <v>148</v>
      </c>
      <c r="C1138">
        <v>1</v>
      </c>
      <c r="D1138" t="s">
        <v>1291</v>
      </c>
    </row>
    <row r="1139" spans="1:4" x14ac:dyDescent="0.45">
      <c r="A1139" t="s">
        <v>111</v>
      </c>
      <c r="B1139" t="s">
        <v>150</v>
      </c>
      <c r="C1139">
        <v>1</v>
      </c>
      <c r="D1139" t="s">
        <v>1292</v>
      </c>
    </row>
    <row r="1140" spans="1:4" x14ac:dyDescent="0.45">
      <c r="A1140" t="s">
        <v>111</v>
      </c>
      <c r="B1140" t="s">
        <v>152</v>
      </c>
      <c r="C1140">
        <v>1</v>
      </c>
      <c r="D1140" t="s">
        <v>1293</v>
      </c>
    </row>
    <row r="1141" spans="1:4" x14ac:dyDescent="0.45">
      <c r="A1141" t="s">
        <v>111</v>
      </c>
      <c r="B1141" t="s">
        <v>154</v>
      </c>
      <c r="C1141">
        <v>1</v>
      </c>
      <c r="D1141" t="s">
        <v>1294</v>
      </c>
    </row>
    <row r="1142" spans="1:4" x14ac:dyDescent="0.45">
      <c r="A1142" t="s">
        <v>111</v>
      </c>
      <c r="B1142" t="s">
        <v>124</v>
      </c>
      <c r="C1142">
        <v>0</v>
      </c>
      <c r="D1142" t="s">
        <v>1295</v>
      </c>
    </row>
    <row r="1143" spans="1:4" x14ac:dyDescent="0.45">
      <c r="A1143" t="s">
        <v>111</v>
      </c>
      <c r="B1143" t="s">
        <v>157</v>
      </c>
      <c r="C1143">
        <v>0</v>
      </c>
      <c r="D1143" t="s">
        <v>1296</v>
      </c>
    </row>
    <row r="1144" spans="1:4" x14ac:dyDescent="0.45">
      <c r="A1144" t="s">
        <v>111</v>
      </c>
      <c r="B1144" t="s">
        <v>159</v>
      </c>
      <c r="C1144">
        <v>1</v>
      </c>
      <c r="D1144" t="s">
        <v>1297</v>
      </c>
    </row>
    <row r="1145" spans="1:4" x14ac:dyDescent="0.45">
      <c r="A1145" t="s">
        <v>111</v>
      </c>
      <c r="B1145" t="s">
        <v>161</v>
      </c>
      <c r="C1145">
        <v>0</v>
      </c>
      <c r="D1145" t="s">
        <v>1298</v>
      </c>
    </row>
    <row r="1146" spans="1:4" x14ac:dyDescent="0.45">
      <c r="A1146" t="s">
        <v>111</v>
      </c>
      <c r="B1146" t="s">
        <v>163</v>
      </c>
      <c r="C1146">
        <v>0</v>
      </c>
      <c r="D1146" t="s">
        <v>1299</v>
      </c>
    </row>
    <row r="1147" spans="1:4" x14ac:dyDescent="0.45">
      <c r="A1147" t="s">
        <v>111</v>
      </c>
      <c r="B1147" t="s">
        <v>165</v>
      </c>
      <c r="C1147">
        <v>0.15</v>
      </c>
      <c r="D1147" t="s">
        <v>1300</v>
      </c>
    </row>
    <row r="1148" spans="1:4" x14ac:dyDescent="0.45">
      <c r="A1148" t="s">
        <v>111</v>
      </c>
      <c r="B1148" t="s">
        <v>167</v>
      </c>
      <c r="C1148">
        <v>0.15</v>
      </c>
      <c r="D1148" t="s">
        <v>1301</v>
      </c>
    </row>
    <row r="1149" spans="1:4" x14ac:dyDescent="0.45">
      <c r="A1149" t="s">
        <v>111</v>
      </c>
      <c r="B1149" t="s">
        <v>169</v>
      </c>
      <c r="C1149">
        <v>1</v>
      </c>
      <c r="D1149" t="s">
        <v>1302</v>
      </c>
    </row>
    <row r="1150" spans="1:4" x14ac:dyDescent="0.45">
      <c r="A1150" t="s">
        <v>111</v>
      </c>
      <c r="B1150" t="s">
        <v>171</v>
      </c>
      <c r="C1150">
        <v>1</v>
      </c>
      <c r="D1150" t="s">
        <v>1303</v>
      </c>
    </row>
    <row r="1151" spans="1:4" x14ac:dyDescent="0.45">
      <c r="A1151" t="s">
        <v>111</v>
      </c>
      <c r="B1151" t="s">
        <v>173</v>
      </c>
      <c r="C1151">
        <v>0</v>
      </c>
      <c r="D1151" t="s">
        <v>1304</v>
      </c>
    </row>
    <row r="1152" spans="1:4" x14ac:dyDescent="0.45">
      <c r="A1152" t="s">
        <v>111</v>
      </c>
      <c r="B1152" t="s">
        <v>175</v>
      </c>
      <c r="C1152">
        <v>1</v>
      </c>
      <c r="D1152" t="s">
        <v>1305</v>
      </c>
    </row>
    <row r="1153" spans="1:4" x14ac:dyDescent="0.45">
      <c r="A1153" t="s">
        <v>111</v>
      </c>
      <c r="B1153" t="s">
        <v>177</v>
      </c>
      <c r="C1153">
        <v>1</v>
      </c>
      <c r="D1153" t="s">
        <v>1306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workbookViewId="0">
      <pane ySplit="1" topLeftCell="A24" activePane="bottomLeft" state="frozen"/>
      <selection pane="bottomLeft" activeCell="D1" sqref="D1"/>
    </sheetView>
  </sheetViews>
  <sheetFormatPr defaultRowHeight="14.25" x14ac:dyDescent="0.45"/>
  <cols>
    <col min="1" max="1" width="8" customWidth="1"/>
    <col min="2" max="3" width="10" customWidth="1"/>
    <col min="4" max="4" width="7" customWidth="1"/>
    <col min="5" max="6" width="18" customWidth="1"/>
    <col min="7" max="7" width="60" customWidth="1"/>
  </cols>
  <sheetData>
    <row r="1" spans="1:7" x14ac:dyDescent="0.45">
      <c r="A1" s="4" t="s">
        <v>130</v>
      </c>
      <c r="B1" s="4" t="s">
        <v>1307</v>
      </c>
      <c r="C1" s="4" t="s">
        <v>1308</v>
      </c>
      <c r="D1" s="4" t="s">
        <v>1309</v>
      </c>
      <c r="E1" s="4" t="s">
        <v>1310</v>
      </c>
      <c r="F1" s="4" t="s">
        <v>1311</v>
      </c>
      <c r="G1" s="4" t="s">
        <v>1312</v>
      </c>
    </row>
    <row r="2" spans="1:7" x14ac:dyDescent="0.45">
      <c r="A2" t="s">
        <v>3</v>
      </c>
      <c r="B2">
        <v>0.60250000000000004</v>
      </c>
      <c r="C2">
        <v>0</v>
      </c>
      <c r="D2">
        <v>3</v>
      </c>
      <c r="E2">
        <v>8.9999999999999998E-4</v>
      </c>
      <c r="F2">
        <v>1.32E-2</v>
      </c>
      <c r="G2" t="s">
        <v>1313</v>
      </c>
    </row>
    <row r="3" spans="1:7" x14ac:dyDescent="0.45">
      <c r="A3" t="s">
        <v>8</v>
      </c>
      <c r="B3">
        <v>0.26119999999999999</v>
      </c>
      <c r="C3">
        <v>0</v>
      </c>
      <c r="D3">
        <v>3</v>
      </c>
      <c r="E3">
        <v>1.0999999999999999E-2</v>
      </c>
      <c r="F3">
        <v>-5.1999999999999998E-3</v>
      </c>
      <c r="G3" t="s">
        <v>1313</v>
      </c>
    </row>
    <row r="4" spans="1:7" x14ac:dyDescent="0.45">
      <c r="A4" t="s">
        <v>6</v>
      </c>
      <c r="B4">
        <v>0.79210000000000003</v>
      </c>
      <c r="C4">
        <v>0</v>
      </c>
      <c r="D4">
        <v>2</v>
      </c>
      <c r="E4">
        <v>7.1999999999999998E-3</v>
      </c>
      <c r="F4">
        <v>2.3E-3</v>
      </c>
      <c r="G4" t="s">
        <v>1313</v>
      </c>
    </row>
    <row r="5" spans="1:7" x14ac:dyDescent="0.4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 t="s">
        <v>1314</v>
      </c>
    </row>
    <row r="6" spans="1:7" x14ac:dyDescent="0.45">
      <c r="A6" t="s">
        <v>16</v>
      </c>
      <c r="B6">
        <v>0</v>
      </c>
      <c r="C6">
        <v>0</v>
      </c>
      <c r="D6">
        <v>0</v>
      </c>
      <c r="E6">
        <v>0.1111</v>
      </c>
      <c r="F6">
        <v>6.0600000000000001E-2</v>
      </c>
      <c r="G6" t="s">
        <v>1315</v>
      </c>
    </row>
    <row r="7" spans="1:7" x14ac:dyDescent="0.45">
      <c r="A7" t="s">
        <v>20</v>
      </c>
      <c r="B7">
        <v>0</v>
      </c>
      <c r="C7">
        <v>0</v>
      </c>
      <c r="D7">
        <v>0</v>
      </c>
      <c r="E7">
        <v>0</v>
      </c>
      <c r="F7">
        <v>1.6999999999999999E-3</v>
      </c>
      <c r="G7" t="s">
        <v>1314</v>
      </c>
    </row>
    <row r="8" spans="1:7" x14ac:dyDescent="0.45">
      <c r="A8" t="s">
        <v>24</v>
      </c>
      <c r="B8">
        <v>0</v>
      </c>
      <c r="C8">
        <v>0</v>
      </c>
      <c r="D8">
        <v>3</v>
      </c>
      <c r="E8">
        <v>-1</v>
      </c>
      <c r="F8">
        <v>7.1400000000000005E-2</v>
      </c>
      <c r="G8" t="s">
        <v>1316</v>
      </c>
    </row>
    <row r="9" spans="1:7" x14ac:dyDescent="0.45">
      <c r="A9" t="s">
        <v>28</v>
      </c>
      <c r="B9">
        <v>0.49490000000000001</v>
      </c>
      <c r="C9">
        <v>0</v>
      </c>
      <c r="D9">
        <v>3</v>
      </c>
      <c r="E9">
        <v>1E-3</v>
      </c>
      <c r="F9">
        <v>-1E-4</v>
      </c>
      <c r="G9" t="s">
        <v>1313</v>
      </c>
    </row>
    <row r="10" spans="1:7" x14ac:dyDescent="0.45">
      <c r="A10" t="s">
        <v>32</v>
      </c>
      <c r="B10">
        <v>0.51470000000000005</v>
      </c>
      <c r="C10">
        <v>0</v>
      </c>
      <c r="D10">
        <v>3</v>
      </c>
      <c r="E10">
        <v>1.9E-3</v>
      </c>
      <c r="F10">
        <v>1.6000000000000001E-3</v>
      </c>
      <c r="G10" t="s">
        <v>1313</v>
      </c>
    </row>
    <row r="11" spans="1:7" x14ac:dyDescent="0.45">
      <c r="A11" t="s">
        <v>42</v>
      </c>
      <c r="B11">
        <v>0.17399999999999999</v>
      </c>
      <c r="C11">
        <v>0</v>
      </c>
      <c r="D11">
        <v>3</v>
      </c>
      <c r="E11">
        <v>1.72E-2</v>
      </c>
      <c r="F11">
        <v>6.7799999999999999E-2</v>
      </c>
      <c r="G11" t="s">
        <v>1313</v>
      </c>
    </row>
    <row r="12" spans="1:7" x14ac:dyDescent="0.45">
      <c r="A12" t="s">
        <v>36</v>
      </c>
      <c r="B12">
        <v>0</v>
      </c>
      <c r="C12">
        <v>0</v>
      </c>
      <c r="D12">
        <v>0</v>
      </c>
      <c r="E12">
        <v>0</v>
      </c>
      <c r="F12">
        <v>-1.44E-2</v>
      </c>
      <c r="G12" t="s">
        <v>1314</v>
      </c>
    </row>
    <row r="13" spans="1:7" x14ac:dyDescent="0.45">
      <c r="A13" t="s">
        <v>38</v>
      </c>
      <c r="B13">
        <v>0.40539999999999998</v>
      </c>
      <c r="C13">
        <v>0</v>
      </c>
      <c r="D13">
        <v>3</v>
      </c>
      <c r="E13">
        <v>1.7100000000000001E-2</v>
      </c>
      <c r="F13">
        <v>-1.7600000000000001E-2</v>
      </c>
      <c r="G13" t="s">
        <v>1313</v>
      </c>
    </row>
    <row r="14" spans="1:7" x14ac:dyDescent="0.45">
      <c r="A14" t="s">
        <v>40</v>
      </c>
      <c r="B14">
        <v>0.28199999999999997</v>
      </c>
      <c r="C14">
        <v>0</v>
      </c>
      <c r="D14">
        <v>6</v>
      </c>
      <c r="E14">
        <v>6.3E-3</v>
      </c>
      <c r="F14">
        <v>-8.0000000000000002E-3</v>
      </c>
      <c r="G14" t="s">
        <v>1317</v>
      </c>
    </row>
    <row r="15" spans="1:7" x14ac:dyDescent="0.45">
      <c r="A15" t="s">
        <v>44</v>
      </c>
      <c r="B15">
        <v>0</v>
      </c>
      <c r="C15">
        <v>0</v>
      </c>
      <c r="D15">
        <v>0</v>
      </c>
      <c r="E15">
        <v>1.1000000000000001E-3</v>
      </c>
      <c r="F15">
        <v>-6.6E-3</v>
      </c>
      <c r="G15" t="s">
        <v>1315</v>
      </c>
    </row>
    <row r="16" spans="1:7" x14ac:dyDescent="0.45">
      <c r="A16" t="s">
        <v>46</v>
      </c>
      <c r="B16">
        <v>0.56889999999999996</v>
      </c>
      <c r="C16">
        <v>0</v>
      </c>
      <c r="D16">
        <v>3</v>
      </c>
      <c r="E16">
        <v>1.21E-2</v>
      </c>
      <c r="F16">
        <v>-1.2200000000000001E-2</v>
      </c>
      <c r="G16" t="s">
        <v>1313</v>
      </c>
    </row>
    <row r="17" spans="1:7" x14ac:dyDescent="0.45">
      <c r="A17" t="s">
        <v>48</v>
      </c>
      <c r="B17">
        <v>0</v>
      </c>
      <c r="C17">
        <v>0</v>
      </c>
      <c r="D17">
        <v>0</v>
      </c>
      <c r="E17">
        <v>0.40660000000000002</v>
      </c>
      <c r="F17">
        <v>0.19800000000000001</v>
      </c>
      <c r="G17" t="s">
        <v>1315</v>
      </c>
    </row>
    <row r="18" spans="1:7" x14ac:dyDescent="0.4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1314</v>
      </c>
    </row>
    <row r="19" spans="1:7" x14ac:dyDescent="0.45">
      <c r="A19" t="s">
        <v>52</v>
      </c>
      <c r="B19">
        <v>0.31480000000000002</v>
      </c>
      <c r="C19">
        <v>0</v>
      </c>
      <c r="D19">
        <v>3</v>
      </c>
      <c r="E19">
        <v>5.9999999999999995E-4</v>
      </c>
      <c r="F19">
        <v>1.5E-3</v>
      </c>
      <c r="G19" t="s">
        <v>1313</v>
      </c>
    </row>
    <row r="20" spans="1:7" x14ac:dyDescent="0.45">
      <c r="A20" t="s">
        <v>50</v>
      </c>
      <c r="B20">
        <v>0</v>
      </c>
      <c r="C20">
        <v>0</v>
      </c>
      <c r="D20">
        <v>0</v>
      </c>
      <c r="E20">
        <v>-1</v>
      </c>
      <c r="F20">
        <v>5.7000000000000002E-3</v>
      </c>
      <c r="G20" t="s">
        <v>1314</v>
      </c>
    </row>
    <row r="21" spans="1:7" x14ac:dyDescent="0.45">
      <c r="A21" t="s">
        <v>56</v>
      </c>
      <c r="B21">
        <v>0.75760000000000005</v>
      </c>
      <c r="C21">
        <v>0</v>
      </c>
      <c r="D21">
        <v>2</v>
      </c>
      <c r="E21">
        <v>2.8500000000000001E-2</v>
      </c>
      <c r="F21">
        <v>-1.5800000000000002E-2</v>
      </c>
      <c r="G21" t="s">
        <v>1313</v>
      </c>
    </row>
    <row r="22" spans="1:7" x14ac:dyDescent="0.45">
      <c r="A22" t="s">
        <v>58</v>
      </c>
      <c r="B22">
        <v>0.64839999999999998</v>
      </c>
      <c r="C22">
        <v>0</v>
      </c>
      <c r="D22">
        <v>3</v>
      </c>
      <c r="E22">
        <v>1.9E-3</v>
      </c>
      <c r="F22">
        <v>9.9000000000000008E-3</v>
      </c>
      <c r="G22" t="s">
        <v>1313</v>
      </c>
    </row>
    <row r="23" spans="1:7" x14ac:dyDescent="0.45">
      <c r="A23" t="s">
        <v>62</v>
      </c>
      <c r="B23">
        <v>0</v>
      </c>
      <c r="C23">
        <v>0</v>
      </c>
      <c r="D23">
        <v>0</v>
      </c>
      <c r="E23">
        <v>-1.0800000000000001E-2</v>
      </c>
      <c r="F23">
        <v>5.5599999999999997E-2</v>
      </c>
      <c r="G23" t="s">
        <v>1315</v>
      </c>
    </row>
    <row r="24" spans="1:7" x14ac:dyDescent="0.45">
      <c r="A24" t="s">
        <v>60</v>
      </c>
      <c r="B24">
        <v>0.30980000000000002</v>
      </c>
      <c r="C24">
        <v>0</v>
      </c>
      <c r="D24">
        <v>3</v>
      </c>
      <c r="E24">
        <v>3.8E-3</v>
      </c>
      <c r="F24">
        <v>-2.9999999999999997E-4</v>
      </c>
      <c r="G24" t="s">
        <v>1313</v>
      </c>
    </row>
    <row r="25" spans="1:7" x14ac:dyDescent="0.45">
      <c r="A25" t="s">
        <v>64</v>
      </c>
      <c r="B25">
        <v>0</v>
      </c>
      <c r="C25">
        <v>0</v>
      </c>
      <c r="D25">
        <v>0</v>
      </c>
      <c r="E25">
        <v>-4.0000000000000002E-4</v>
      </c>
      <c r="F25">
        <v>0.33779999999999999</v>
      </c>
      <c r="G25" t="s">
        <v>1315</v>
      </c>
    </row>
    <row r="26" spans="1:7" x14ac:dyDescent="0.45">
      <c r="A26" t="s">
        <v>77</v>
      </c>
      <c r="B26">
        <v>0.66890000000000005</v>
      </c>
      <c r="C26">
        <v>0</v>
      </c>
      <c r="D26">
        <v>3</v>
      </c>
      <c r="E26">
        <v>1.2999999999999999E-3</v>
      </c>
      <c r="F26">
        <v>5.4999999999999997E-3</v>
      </c>
      <c r="G26" t="s">
        <v>1313</v>
      </c>
    </row>
    <row r="27" spans="1:7" x14ac:dyDescent="0.45">
      <c r="A27" t="s">
        <v>79</v>
      </c>
      <c r="B27">
        <v>0.62729999999999997</v>
      </c>
      <c r="C27">
        <v>0</v>
      </c>
      <c r="D27">
        <v>3</v>
      </c>
      <c r="E27">
        <v>4.5999999999999999E-3</v>
      </c>
      <c r="F27">
        <v>0.14779999999999999</v>
      </c>
      <c r="G27" t="s">
        <v>1313</v>
      </c>
    </row>
    <row r="28" spans="1:7" x14ac:dyDescent="0.45">
      <c r="A28" t="s">
        <v>66</v>
      </c>
      <c r="B28">
        <v>0</v>
      </c>
      <c r="C28">
        <v>0.74619999999999997</v>
      </c>
      <c r="D28">
        <v>3</v>
      </c>
      <c r="E28">
        <v>-2.0000000000000001E-4</v>
      </c>
      <c r="F28">
        <v>1.0200000000000001E-2</v>
      </c>
      <c r="G28" t="s">
        <v>1315</v>
      </c>
    </row>
    <row r="29" spans="1:7" x14ac:dyDescent="0.45">
      <c r="A29" t="s">
        <v>70</v>
      </c>
      <c r="B29">
        <v>0</v>
      </c>
      <c r="C29">
        <v>0.41760000000000003</v>
      </c>
      <c r="D29">
        <v>3</v>
      </c>
      <c r="E29">
        <v>1.3946000000000001</v>
      </c>
      <c r="F29">
        <v>-8.8999999999999999E-3</v>
      </c>
      <c r="G29" t="s">
        <v>1315</v>
      </c>
    </row>
    <row r="30" spans="1:7" x14ac:dyDescent="0.45">
      <c r="A30" t="s">
        <v>72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1314</v>
      </c>
    </row>
    <row r="31" spans="1:7" x14ac:dyDescent="0.45">
      <c r="A31" t="s">
        <v>74</v>
      </c>
      <c r="B31">
        <v>0.97729999999999995</v>
      </c>
      <c r="C31">
        <v>0</v>
      </c>
      <c r="D31">
        <v>2</v>
      </c>
      <c r="E31">
        <v>-7.4999999999999997E-3</v>
      </c>
      <c r="F31">
        <v>2.5399999999999999E-2</v>
      </c>
      <c r="G31" t="s">
        <v>1313</v>
      </c>
    </row>
    <row r="32" spans="1:7" x14ac:dyDescent="0.45">
      <c r="A32" t="s">
        <v>68</v>
      </c>
      <c r="B32">
        <v>0.85</v>
      </c>
      <c r="C32">
        <v>0</v>
      </c>
      <c r="D32">
        <v>1</v>
      </c>
      <c r="E32">
        <v>2.8000000000000001E-2</v>
      </c>
      <c r="F32">
        <v>4.8999999999999998E-3</v>
      </c>
      <c r="G32" t="s">
        <v>1313</v>
      </c>
    </row>
    <row r="33" spans="1:7" x14ac:dyDescent="0.45">
      <c r="A33" t="s">
        <v>75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1314</v>
      </c>
    </row>
    <row r="34" spans="1:7" x14ac:dyDescent="0.45">
      <c r="A34" t="s">
        <v>81</v>
      </c>
      <c r="B34">
        <v>0.79749999999999999</v>
      </c>
      <c r="C34">
        <v>0</v>
      </c>
      <c r="D34">
        <v>2</v>
      </c>
      <c r="E34">
        <v>1.9099999999999999E-2</v>
      </c>
      <c r="F34">
        <v>-8.0000000000000002E-3</v>
      </c>
      <c r="G34" t="s">
        <v>1313</v>
      </c>
    </row>
    <row r="35" spans="1:7" x14ac:dyDescent="0.45">
      <c r="A35" t="s">
        <v>83</v>
      </c>
      <c r="B35">
        <v>0</v>
      </c>
      <c r="C35">
        <v>0</v>
      </c>
      <c r="D35">
        <v>0</v>
      </c>
      <c r="E35">
        <v>-1.9699999999999999E-2</v>
      </c>
      <c r="F35">
        <v>8.43E-2</v>
      </c>
      <c r="G35" t="s">
        <v>1315</v>
      </c>
    </row>
    <row r="36" spans="1:7" x14ac:dyDescent="0.45">
      <c r="A36" t="s">
        <v>85</v>
      </c>
      <c r="B36">
        <v>0</v>
      </c>
      <c r="C36">
        <v>0</v>
      </c>
      <c r="D36">
        <v>0</v>
      </c>
      <c r="E36">
        <v>0</v>
      </c>
      <c r="F36">
        <v>2.7300000000000001E-2</v>
      </c>
      <c r="G36" t="s">
        <v>1314</v>
      </c>
    </row>
    <row r="37" spans="1:7" x14ac:dyDescent="0.45">
      <c r="A37" t="s">
        <v>87</v>
      </c>
      <c r="B37">
        <v>0.74329999999999996</v>
      </c>
      <c r="C37">
        <v>0</v>
      </c>
      <c r="D37">
        <v>2</v>
      </c>
      <c r="E37">
        <v>1.3299999999999999E-2</v>
      </c>
      <c r="F37">
        <v>-1.6999999999999999E-3</v>
      </c>
      <c r="G37" t="s">
        <v>1313</v>
      </c>
    </row>
    <row r="38" spans="1:7" x14ac:dyDescent="0.45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1314</v>
      </c>
    </row>
    <row r="39" spans="1:7" x14ac:dyDescent="0.45">
      <c r="A39" t="s">
        <v>91</v>
      </c>
      <c r="B39">
        <v>0.33450000000000002</v>
      </c>
      <c r="C39">
        <v>0</v>
      </c>
      <c r="D39">
        <v>3</v>
      </c>
      <c r="E39">
        <v>1.0500000000000001E-2</v>
      </c>
      <c r="F39">
        <v>-4.4999999999999997E-3</v>
      </c>
      <c r="G39" t="s">
        <v>1313</v>
      </c>
    </row>
    <row r="40" spans="1:7" x14ac:dyDescent="0.45">
      <c r="A40" t="s">
        <v>93</v>
      </c>
      <c r="B40">
        <v>0.55000000000000004</v>
      </c>
      <c r="C40">
        <v>0</v>
      </c>
      <c r="D40">
        <v>3</v>
      </c>
      <c r="E40">
        <v>1.9E-3</v>
      </c>
      <c r="F40">
        <v>7.5499999999999998E-2</v>
      </c>
      <c r="G40" t="s">
        <v>1313</v>
      </c>
    </row>
    <row r="41" spans="1:7" x14ac:dyDescent="0.45">
      <c r="A41" t="s">
        <v>95</v>
      </c>
      <c r="B41">
        <v>0.54259999999999997</v>
      </c>
      <c r="C41">
        <v>0</v>
      </c>
      <c r="D41">
        <v>3</v>
      </c>
      <c r="E41">
        <v>5.0000000000000001E-3</v>
      </c>
      <c r="F41">
        <v>6.4600000000000005E-2</v>
      </c>
      <c r="G41" t="s">
        <v>1313</v>
      </c>
    </row>
    <row r="42" spans="1:7" x14ac:dyDescent="0.45">
      <c r="A42" t="s">
        <v>97</v>
      </c>
      <c r="B42">
        <v>0.57630000000000003</v>
      </c>
      <c r="C42">
        <v>0</v>
      </c>
      <c r="D42">
        <v>3</v>
      </c>
      <c r="E42">
        <v>1.4E-3</v>
      </c>
      <c r="F42">
        <v>6.9999999999999999E-4</v>
      </c>
      <c r="G42" t="s">
        <v>1313</v>
      </c>
    </row>
    <row r="43" spans="1:7" x14ac:dyDescent="0.45">
      <c r="A43" t="s">
        <v>99</v>
      </c>
      <c r="B43">
        <v>0.85</v>
      </c>
      <c r="C43">
        <v>0</v>
      </c>
      <c r="D43">
        <v>1</v>
      </c>
      <c r="E43">
        <v>-1.6199999999999999E-2</v>
      </c>
      <c r="F43">
        <v>3.4799999999999998E-2</v>
      </c>
      <c r="G43" t="s">
        <v>1313</v>
      </c>
    </row>
    <row r="44" spans="1:7" x14ac:dyDescent="0.45">
      <c r="A44" t="s">
        <v>103</v>
      </c>
      <c r="B44">
        <v>0.6784</v>
      </c>
      <c r="C44">
        <v>0</v>
      </c>
      <c r="D44">
        <v>2</v>
      </c>
      <c r="E44">
        <v>1.3100000000000001E-2</v>
      </c>
      <c r="F44">
        <v>-6.9999999999999999E-4</v>
      </c>
      <c r="G44" t="s">
        <v>1313</v>
      </c>
    </row>
    <row r="45" spans="1:7" x14ac:dyDescent="0.45">
      <c r="A45" t="s">
        <v>101</v>
      </c>
      <c r="B45">
        <v>0</v>
      </c>
      <c r="C45">
        <v>0</v>
      </c>
      <c r="D45">
        <v>3</v>
      </c>
      <c r="E45">
        <v>0</v>
      </c>
      <c r="F45">
        <v>0</v>
      </c>
      <c r="G45" t="s">
        <v>1318</v>
      </c>
    </row>
    <row r="46" spans="1:7" x14ac:dyDescent="0.45">
      <c r="A46" t="s">
        <v>105</v>
      </c>
      <c r="B46">
        <v>0.58240000000000003</v>
      </c>
      <c r="C46">
        <v>0</v>
      </c>
      <c r="D46">
        <v>3</v>
      </c>
      <c r="E46">
        <v>-6.9999999999999999E-4</v>
      </c>
      <c r="F46">
        <v>6.4299999999999996E-2</v>
      </c>
      <c r="G46" t="s">
        <v>1319</v>
      </c>
    </row>
    <row r="47" spans="1:7" x14ac:dyDescent="0.45">
      <c r="A47" t="s">
        <v>109</v>
      </c>
      <c r="B47">
        <v>0.54330000000000001</v>
      </c>
      <c r="C47">
        <v>0</v>
      </c>
      <c r="D47">
        <v>3</v>
      </c>
      <c r="E47">
        <v>7.6E-3</v>
      </c>
      <c r="F47">
        <v>-2.8E-3</v>
      </c>
      <c r="G47" t="s">
        <v>1313</v>
      </c>
    </row>
    <row r="48" spans="1:7" x14ac:dyDescent="0.45">
      <c r="A48" t="s">
        <v>107</v>
      </c>
      <c r="B48">
        <v>0</v>
      </c>
      <c r="C48">
        <v>0</v>
      </c>
      <c r="D48">
        <v>0</v>
      </c>
      <c r="E48">
        <v>-0.02</v>
      </c>
      <c r="F48">
        <v>0.33200000000000002</v>
      </c>
      <c r="G48" t="s">
        <v>1315</v>
      </c>
    </row>
    <row r="49" spans="1:7" x14ac:dyDescent="0.45">
      <c r="A49" t="s">
        <v>111</v>
      </c>
      <c r="B49">
        <v>0</v>
      </c>
      <c r="C49">
        <v>0.56920000000000004</v>
      </c>
      <c r="D49">
        <v>3</v>
      </c>
      <c r="E49">
        <v>1.6000000000000001E-3</v>
      </c>
      <c r="F49">
        <v>1.8E-3</v>
      </c>
      <c r="G49" t="s">
        <v>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5"/>
  <sheetViews>
    <sheetView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defaultRowHeight="14.25" x14ac:dyDescent="0.45"/>
  <cols>
    <col min="1" max="1" width="34" customWidth="1"/>
  </cols>
  <sheetData>
    <row r="1" spans="1:31" x14ac:dyDescent="0.45">
      <c r="A1" t="s">
        <v>1320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121</v>
      </c>
      <c r="B2">
        <f>IFERROR(INDEX(Tuned!$B$2:$B$49,MATCH(About!$B$2,Tuned!$A$2:$A$49,0)),Keys!$C$2)</f>
        <v>0.62729999999999997</v>
      </c>
      <c r="C2">
        <f t="shared" ref="C2:L11" si="0">$B2</f>
        <v>0.62729999999999997</v>
      </c>
      <c r="D2">
        <f t="shared" si="0"/>
        <v>0.62729999999999997</v>
      </c>
      <c r="E2">
        <f t="shared" si="0"/>
        <v>0.62729999999999997</v>
      </c>
      <c r="F2">
        <f t="shared" si="0"/>
        <v>0.62729999999999997</v>
      </c>
      <c r="G2">
        <f t="shared" si="0"/>
        <v>0.62729999999999997</v>
      </c>
      <c r="H2">
        <f t="shared" si="0"/>
        <v>0.62729999999999997</v>
      </c>
      <c r="I2">
        <f t="shared" si="0"/>
        <v>0.62729999999999997</v>
      </c>
      <c r="J2">
        <f t="shared" si="0"/>
        <v>0.62729999999999997</v>
      </c>
      <c r="K2">
        <f t="shared" si="0"/>
        <v>0.62729999999999997</v>
      </c>
      <c r="L2">
        <f t="shared" si="0"/>
        <v>0.62729999999999997</v>
      </c>
      <c r="M2">
        <f t="shared" ref="M2:V11" si="1">$B2</f>
        <v>0.62729999999999997</v>
      </c>
      <c r="N2">
        <f t="shared" si="1"/>
        <v>0.62729999999999997</v>
      </c>
      <c r="O2">
        <f t="shared" si="1"/>
        <v>0.62729999999999997</v>
      </c>
      <c r="P2">
        <f t="shared" si="1"/>
        <v>0.62729999999999997</v>
      </c>
      <c r="Q2">
        <f t="shared" si="1"/>
        <v>0.62729999999999997</v>
      </c>
      <c r="R2">
        <f t="shared" si="1"/>
        <v>0.62729999999999997</v>
      </c>
      <c r="S2">
        <f t="shared" si="1"/>
        <v>0.62729999999999997</v>
      </c>
      <c r="T2">
        <f t="shared" si="1"/>
        <v>0.62729999999999997</v>
      </c>
      <c r="U2">
        <f t="shared" si="1"/>
        <v>0.62729999999999997</v>
      </c>
      <c r="V2">
        <f t="shared" si="1"/>
        <v>0.62729999999999997</v>
      </c>
      <c r="W2">
        <f t="shared" ref="W2:AE11" si="2">$B2</f>
        <v>0.62729999999999997</v>
      </c>
      <c r="X2">
        <f t="shared" si="2"/>
        <v>0.62729999999999997</v>
      </c>
      <c r="Y2">
        <f t="shared" si="2"/>
        <v>0.62729999999999997</v>
      </c>
      <c r="Z2">
        <f t="shared" si="2"/>
        <v>0.62729999999999997</v>
      </c>
      <c r="AA2">
        <f t="shared" si="2"/>
        <v>0.62729999999999997</v>
      </c>
      <c r="AB2">
        <f t="shared" si="2"/>
        <v>0.62729999999999997</v>
      </c>
      <c r="AC2">
        <f t="shared" si="2"/>
        <v>0.62729999999999997</v>
      </c>
      <c r="AD2">
        <f t="shared" si="2"/>
        <v>0.62729999999999997</v>
      </c>
      <c r="AE2">
        <f t="shared" si="2"/>
        <v>0.62729999999999997</v>
      </c>
    </row>
    <row r="3" spans="1:31" x14ac:dyDescent="0.45">
      <c r="A3" t="s">
        <v>134</v>
      </c>
      <c r="B3">
        <f>IFERROR(INDEX(Tuned!$C$2:$C$49,MATCH(About!$B$2,Tuned!$A$2:$A$49,0)),INDEX(Current_BGDPbES!$C$2:$C$1153,MATCH(About!$B$2&amp;"|"&amp;$A3,Current_BGDPbES!$D$2:$D$1153,0)))</f>
        <v>0</v>
      </c>
      <c r="C3">
        <f t="shared" si="0"/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2"/>
        <v>0</v>
      </c>
      <c r="X3">
        <f t="shared" si="2"/>
        <v>0</v>
      </c>
      <c r="Y3">
        <f t="shared" si="2"/>
        <v>0</v>
      </c>
      <c r="Z3">
        <f t="shared" si="2"/>
        <v>0</v>
      </c>
      <c r="AA3">
        <f t="shared" si="2"/>
        <v>0</v>
      </c>
      <c r="AB3">
        <f t="shared" si="2"/>
        <v>0</v>
      </c>
      <c r="AC3">
        <f t="shared" si="2"/>
        <v>0</v>
      </c>
      <c r="AD3">
        <f t="shared" si="2"/>
        <v>0</v>
      </c>
      <c r="AE3">
        <f t="shared" si="2"/>
        <v>0</v>
      </c>
    </row>
    <row r="4" spans="1:31" x14ac:dyDescent="0.45">
      <c r="A4" t="s">
        <v>136</v>
      </c>
      <c r="B4">
        <f>IFERROR(INDEX(Tuned!$C$2:$C$49,MATCH(About!$B$2,Tuned!$A$2:$A$49,0)),INDEX(Current_BGDPbES!$C$2:$C$1153,MATCH(About!$B$2&amp;"|"&amp;$A4,Current_BGDPbES!$D$2:$D$1153,0)))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2"/>
        <v>0</v>
      </c>
      <c r="X4">
        <f t="shared" si="2"/>
        <v>0</v>
      </c>
      <c r="Y4">
        <f t="shared" si="2"/>
        <v>0</v>
      </c>
      <c r="Z4">
        <f t="shared" si="2"/>
        <v>0</v>
      </c>
      <c r="AA4">
        <f t="shared" si="2"/>
        <v>0</v>
      </c>
      <c r="AB4">
        <f t="shared" si="2"/>
        <v>0</v>
      </c>
      <c r="AC4">
        <f t="shared" si="2"/>
        <v>0</v>
      </c>
      <c r="AD4">
        <f t="shared" si="2"/>
        <v>0</v>
      </c>
      <c r="AE4">
        <f t="shared" si="2"/>
        <v>0</v>
      </c>
    </row>
    <row r="5" spans="1:31" x14ac:dyDescent="0.45">
      <c r="A5" t="s">
        <v>138</v>
      </c>
      <c r="B5">
        <f>INDEX(Current_BGDPbES!$C$2:$C$1153,MATCH(About!$B$2&amp;"|"&amp;$A5,Current_BGDPbES!$D$2:$D$1153,0))</f>
        <v>1</v>
      </c>
      <c r="C5">
        <f t="shared" si="0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1"/>
        <v>1</v>
      </c>
      <c r="N5">
        <f t="shared" si="1"/>
        <v>1</v>
      </c>
      <c r="O5">
        <f t="shared" si="1"/>
        <v>1</v>
      </c>
      <c r="P5">
        <f t="shared" si="1"/>
        <v>1</v>
      </c>
      <c r="Q5">
        <f t="shared" si="1"/>
        <v>1</v>
      </c>
      <c r="R5">
        <f t="shared" si="1"/>
        <v>1</v>
      </c>
      <c r="S5">
        <f t="shared" si="1"/>
        <v>1</v>
      </c>
      <c r="T5">
        <f t="shared" si="1"/>
        <v>1</v>
      </c>
      <c r="U5">
        <f t="shared" si="1"/>
        <v>1</v>
      </c>
      <c r="V5">
        <f t="shared" si="1"/>
        <v>1</v>
      </c>
      <c r="W5">
        <f t="shared" si="2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1</v>
      </c>
      <c r="AE5">
        <f t="shared" si="2"/>
        <v>1</v>
      </c>
    </row>
    <row r="6" spans="1:31" x14ac:dyDescent="0.45">
      <c r="A6" t="s">
        <v>140</v>
      </c>
      <c r="B6">
        <f>IF(About!$B$2=Keys!$C$5,Keys!$C$6,INDEX(Current_BGDPbES!$C$2:$C$1153,MATCH(About!$B$2&amp;"|"&amp;$A6,Current_BGDPbES!$D$2:$D$1153,0)))</f>
        <v>0.9</v>
      </c>
      <c r="C6">
        <f t="shared" si="0"/>
        <v>0.9</v>
      </c>
      <c r="D6">
        <f t="shared" si="0"/>
        <v>0.9</v>
      </c>
      <c r="E6">
        <f t="shared" si="0"/>
        <v>0.9</v>
      </c>
      <c r="F6">
        <f t="shared" si="0"/>
        <v>0.9</v>
      </c>
      <c r="G6">
        <f t="shared" si="0"/>
        <v>0.9</v>
      </c>
      <c r="H6">
        <f t="shared" si="0"/>
        <v>0.9</v>
      </c>
      <c r="I6">
        <f t="shared" si="0"/>
        <v>0.9</v>
      </c>
      <c r="J6">
        <f t="shared" si="0"/>
        <v>0.9</v>
      </c>
      <c r="K6">
        <f t="shared" si="0"/>
        <v>0.9</v>
      </c>
      <c r="L6">
        <f t="shared" si="0"/>
        <v>0.9</v>
      </c>
      <c r="M6">
        <f t="shared" si="1"/>
        <v>0.9</v>
      </c>
      <c r="N6">
        <f t="shared" si="1"/>
        <v>0.9</v>
      </c>
      <c r="O6">
        <f t="shared" si="1"/>
        <v>0.9</v>
      </c>
      <c r="P6">
        <f t="shared" si="1"/>
        <v>0.9</v>
      </c>
      <c r="Q6">
        <f t="shared" si="1"/>
        <v>0.9</v>
      </c>
      <c r="R6">
        <f t="shared" si="1"/>
        <v>0.9</v>
      </c>
      <c r="S6">
        <f t="shared" si="1"/>
        <v>0.9</v>
      </c>
      <c r="T6">
        <f t="shared" si="1"/>
        <v>0.9</v>
      </c>
      <c r="U6">
        <f t="shared" si="1"/>
        <v>0.9</v>
      </c>
      <c r="V6">
        <f t="shared" si="1"/>
        <v>0.9</v>
      </c>
      <c r="W6">
        <f t="shared" si="2"/>
        <v>0.9</v>
      </c>
      <c r="X6">
        <f t="shared" si="2"/>
        <v>0.9</v>
      </c>
      <c r="Y6">
        <f t="shared" si="2"/>
        <v>0.9</v>
      </c>
      <c r="Z6">
        <f t="shared" si="2"/>
        <v>0.9</v>
      </c>
      <c r="AA6">
        <f t="shared" si="2"/>
        <v>0.9</v>
      </c>
      <c r="AB6">
        <f t="shared" si="2"/>
        <v>0.9</v>
      </c>
      <c r="AC6">
        <f t="shared" si="2"/>
        <v>0.9</v>
      </c>
      <c r="AD6">
        <f t="shared" si="2"/>
        <v>0.9</v>
      </c>
      <c r="AE6">
        <f t="shared" si="2"/>
        <v>0.9</v>
      </c>
    </row>
    <row r="7" spans="1:31" x14ac:dyDescent="0.45">
      <c r="A7" t="s">
        <v>142</v>
      </c>
      <c r="B7">
        <f>INDEX(Current_BGDPbES!$C$2:$C$1153,MATCH(About!$B$2&amp;"|"&amp;$A7,Current_BGDPbES!$D$2:$D$1153,0))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</row>
    <row r="8" spans="1:31" x14ac:dyDescent="0.45">
      <c r="A8" t="s">
        <v>144</v>
      </c>
      <c r="B8">
        <f>INDEX(Current_BGDPbES!$C$2:$C$1153,MATCH(About!$B$2&amp;"|"&amp;$A8,Current_BGDPbES!$D$2:$D$1153,0))</f>
        <v>0</v>
      </c>
      <c r="C8">
        <f t="shared" si="0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</row>
    <row r="9" spans="1:31" x14ac:dyDescent="0.45">
      <c r="A9" t="s">
        <v>146</v>
      </c>
      <c r="B9">
        <f>INDEX(Current_BGDPbES!$C$2:$C$1153,MATCH(About!$B$2&amp;"|"&amp;$A9,Current_BGDPbES!$D$2:$D$1153,0))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</row>
    <row r="10" spans="1:31" x14ac:dyDescent="0.45">
      <c r="A10" t="s">
        <v>148</v>
      </c>
      <c r="B10">
        <f>INDEX(Current_BGDPbES!$C$2:$C$1153,MATCH(About!$B$2&amp;"|"&amp;$A10,Current_BGDPbES!$D$2:$D$1153,0))</f>
        <v>1</v>
      </c>
      <c r="C10">
        <f t="shared" si="0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1"/>
        <v>1</v>
      </c>
      <c r="N10">
        <f t="shared" si="1"/>
        <v>1</v>
      </c>
      <c r="O10">
        <f t="shared" si="1"/>
        <v>1</v>
      </c>
      <c r="P10">
        <f t="shared" si="1"/>
        <v>1</v>
      </c>
      <c r="Q10">
        <f t="shared" si="1"/>
        <v>1</v>
      </c>
      <c r="R10">
        <f t="shared" si="1"/>
        <v>1</v>
      </c>
      <c r="S10">
        <f t="shared" si="1"/>
        <v>1</v>
      </c>
      <c r="T10">
        <f t="shared" si="1"/>
        <v>1</v>
      </c>
      <c r="U10">
        <f t="shared" si="1"/>
        <v>1</v>
      </c>
      <c r="V10">
        <f t="shared" si="1"/>
        <v>1</v>
      </c>
      <c r="W10">
        <f t="shared" si="2"/>
        <v>1</v>
      </c>
      <c r="X10">
        <f t="shared" si="2"/>
        <v>1</v>
      </c>
      <c r="Y10">
        <f t="shared" si="2"/>
        <v>1</v>
      </c>
      <c r="Z10">
        <f t="shared" si="2"/>
        <v>1</v>
      </c>
      <c r="AA10">
        <f t="shared" si="2"/>
        <v>1</v>
      </c>
      <c r="AB10">
        <f t="shared" si="2"/>
        <v>1</v>
      </c>
      <c r="AC10">
        <f t="shared" si="2"/>
        <v>1</v>
      </c>
      <c r="AD10">
        <f t="shared" si="2"/>
        <v>1</v>
      </c>
      <c r="AE10">
        <f t="shared" si="2"/>
        <v>1</v>
      </c>
    </row>
    <row r="11" spans="1:31" x14ac:dyDescent="0.45">
      <c r="A11" t="s">
        <v>150</v>
      </c>
      <c r="B11">
        <f>INDEX(Current_BGDPbES!$C$2:$C$1153,MATCH(About!$B$2&amp;"|"&amp;$A11,Current_BGDPbES!$D$2:$D$1153,0))</f>
        <v>1</v>
      </c>
      <c r="C11">
        <f t="shared" si="0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si="1"/>
        <v>1</v>
      </c>
      <c r="N11">
        <f t="shared" si="1"/>
        <v>1</v>
      </c>
      <c r="O11">
        <f t="shared" si="1"/>
        <v>1</v>
      </c>
      <c r="P11">
        <f t="shared" si="1"/>
        <v>1</v>
      </c>
      <c r="Q11">
        <f t="shared" si="1"/>
        <v>1</v>
      </c>
      <c r="R11">
        <f t="shared" si="1"/>
        <v>1</v>
      </c>
      <c r="S11">
        <f t="shared" si="1"/>
        <v>1</v>
      </c>
      <c r="T11">
        <f t="shared" si="1"/>
        <v>1</v>
      </c>
      <c r="U11">
        <f t="shared" si="1"/>
        <v>1</v>
      </c>
      <c r="V11">
        <f t="shared" si="1"/>
        <v>1</v>
      </c>
      <c r="W11">
        <f t="shared" si="2"/>
        <v>1</v>
      </c>
      <c r="X11">
        <f t="shared" si="2"/>
        <v>1</v>
      </c>
      <c r="Y11">
        <f t="shared" si="2"/>
        <v>1</v>
      </c>
      <c r="Z11">
        <f t="shared" si="2"/>
        <v>1</v>
      </c>
      <c r="AA11">
        <f t="shared" si="2"/>
        <v>1</v>
      </c>
      <c r="AB11">
        <f t="shared" si="2"/>
        <v>1</v>
      </c>
      <c r="AC11">
        <f t="shared" si="2"/>
        <v>1</v>
      </c>
      <c r="AD11">
        <f t="shared" si="2"/>
        <v>1</v>
      </c>
      <c r="AE11">
        <f t="shared" si="2"/>
        <v>1</v>
      </c>
    </row>
    <row r="12" spans="1:31" x14ac:dyDescent="0.45">
      <c r="A12" t="s">
        <v>152</v>
      </c>
      <c r="B12">
        <f>INDEX(Current_BGDPbES!$C$2:$C$1153,MATCH(About!$B$2&amp;"|"&amp;$A12,Current_BGDPbES!$D$2:$D$1153,0))</f>
        <v>1</v>
      </c>
      <c r="C12">
        <f t="shared" ref="C12:L25" si="3">$B12</f>
        <v>1</v>
      </c>
      <c r="D12">
        <f t="shared" si="3"/>
        <v>1</v>
      </c>
      <c r="E12">
        <f t="shared" si="3"/>
        <v>1</v>
      </c>
      <c r="F12">
        <f t="shared" si="3"/>
        <v>1</v>
      </c>
      <c r="G12">
        <f t="shared" si="3"/>
        <v>1</v>
      </c>
      <c r="H12">
        <f t="shared" si="3"/>
        <v>1</v>
      </c>
      <c r="I12">
        <f t="shared" si="3"/>
        <v>1</v>
      </c>
      <c r="J12">
        <f t="shared" si="3"/>
        <v>1</v>
      </c>
      <c r="K12">
        <f t="shared" si="3"/>
        <v>1</v>
      </c>
      <c r="L12">
        <f t="shared" si="3"/>
        <v>1</v>
      </c>
      <c r="M12">
        <f t="shared" ref="M12:V25" si="4">$B12</f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ref="W12:AE25" si="5">$B12</f>
        <v>1</v>
      </c>
      <c r="X12">
        <f t="shared" si="5"/>
        <v>1</v>
      </c>
      <c r="Y12">
        <f t="shared" si="5"/>
        <v>1</v>
      </c>
      <c r="Z12">
        <f t="shared" si="5"/>
        <v>1</v>
      </c>
      <c r="AA12">
        <f t="shared" si="5"/>
        <v>1</v>
      </c>
      <c r="AB12">
        <f t="shared" si="5"/>
        <v>1</v>
      </c>
      <c r="AC12">
        <f t="shared" si="5"/>
        <v>1</v>
      </c>
      <c r="AD12">
        <f t="shared" si="5"/>
        <v>1</v>
      </c>
      <c r="AE12">
        <f t="shared" si="5"/>
        <v>1</v>
      </c>
    </row>
    <row r="13" spans="1:31" x14ac:dyDescent="0.45">
      <c r="A13" t="s">
        <v>154</v>
      </c>
      <c r="B13">
        <f>INDEX(Current_BGDPbES!$C$2:$C$1153,MATCH(About!$B$2&amp;"|"&amp;$A13,Current_BGDPbES!$D$2:$D$1153,0))</f>
        <v>1</v>
      </c>
      <c r="C13">
        <f t="shared" si="3"/>
        <v>1</v>
      </c>
      <c r="D13">
        <f t="shared" si="3"/>
        <v>1</v>
      </c>
      <c r="E13">
        <f t="shared" si="3"/>
        <v>1</v>
      </c>
      <c r="F13">
        <f t="shared" si="3"/>
        <v>1</v>
      </c>
      <c r="G13">
        <f t="shared" si="3"/>
        <v>1</v>
      </c>
      <c r="H13">
        <f t="shared" si="3"/>
        <v>1</v>
      </c>
      <c r="I13">
        <f t="shared" si="3"/>
        <v>1</v>
      </c>
      <c r="J13">
        <f t="shared" si="3"/>
        <v>1</v>
      </c>
      <c r="K13">
        <f t="shared" si="3"/>
        <v>1</v>
      </c>
      <c r="L13">
        <f t="shared" si="3"/>
        <v>1</v>
      </c>
      <c r="M13">
        <f t="shared" si="4"/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>
        <f t="shared" si="4"/>
        <v>1</v>
      </c>
      <c r="S13">
        <f t="shared" si="4"/>
        <v>1</v>
      </c>
      <c r="T13">
        <f t="shared" si="4"/>
        <v>1</v>
      </c>
      <c r="U13">
        <f t="shared" si="4"/>
        <v>1</v>
      </c>
      <c r="V13">
        <f t="shared" si="4"/>
        <v>1</v>
      </c>
      <c r="W13">
        <f t="shared" si="5"/>
        <v>1</v>
      </c>
      <c r="X13">
        <f t="shared" si="5"/>
        <v>1</v>
      </c>
      <c r="Y13">
        <f t="shared" si="5"/>
        <v>1</v>
      </c>
      <c r="Z13">
        <f t="shared" si="5"/>
        <v>1</v>
      </c>
      <c r="AA13">
        <f t="shared" si="5"/>
        <v>1</v>
      </c>
      <c r="AB13">
        <f t="shared" si="5"/>
        <v>1</v>
      </c>
      <c r="AC13">
        <f t="shared" si="5"/>
        <v>1</v>
      </c>
      <c r="AD13">
        <f t="shared" si="5"/>
        <v>1</v>
      </c>
      <c r="AE13">
        <f t="shared" si="5"/>
        <v>1</v>
      </c>
    </row>
    <row r="14" spans="1:31" x14ac:dyDescent="0.45">
      <c r="A14" t="s">
        <v>124</v>
      </c>
      <c r="B14">
        <f>IFERROR(INDEX(Tuned!$B$2:$B$49,MATCH(About!$B$2,Tuned!$A$2:$A$49,0)),Keys!$C$2)</f>
        <v>0.62729999999999997</v>
      </c>
      <c r="C14">
        <f t="shared" si="3"/>
        <v>0.62729999999999997</v>
      </c>
      <c r="D14">
        <f t="shared" si="3"/>
        <v>0.62729999999999997</v>
      </c>
      <c r="E14">
        <f t="shared" si="3"/>
        <v>0.62729999999999997</v>
      </c>
      <c r="F14">
        <f t="shared" si="3"/>
        <v>0.62729999999999997</v>
      </c>
      <c r="G14">
        <f t="shared" si="3"/>
        <v>0.62729999999999997</v>
      </c>
      <c r="H14">
        <f t="shared" si="3"/>
        <v>0.62729999999999997</v>
      </c>
      <c r="I14">
        <f t="shared" si="3"/>
        <v>0.62729999999999997</v>
      </c>
      <c r="J14">
        <f t="shared" si="3"/>
        <v>0.62729999999999997</v>
      </c>
      <c r="K14">
        <f t="shared" si="3"/>
        <v>0.62729999999999997</v>
      </c>
      <c r="L14">
        <f t="shared" si="3"/>
        <v>0.62729999999999997</v>
      </c>
      <c r="M14">
        <f t="shared" si="4"/>
        <v>0.62729999999999997</v>
      </c>
      <c r="N14">
        <f t="shared" si="4"/>
        <v>0.62729999999999997</v>
      </c>
      <c r="O14">
        <f t="shared" si="4"/>
        <v>0.62729999999999997</v>
      </c>
      <c r="P14">
        <f t="shared" si="4"/>
        <v>0.62729999999999997</v>
      </c>
      <c r="Q14">
        <f t="shared" si="4"/>
        <v>0.62729999999999997</v>
      </c>
      <c r="R14">
        <f t="shared" si="4"/>
        <v>0.62729999999999997</v>
      </c>
      <c r="S14">
        <f t="shared" si="4"/>
        <v>0.62729999999999997</v>
      </c>
      <c r="T14">
        <f t="shared" si="4"/>
        <v>0.62729999999999997</v>
      </c>
      <c r="U14">
        <f t="shared" si="4"/>
        <v>0.62729999999999997</v>
      </c>
      <c r="V14">
        <f t="shared" si="4"/>
        <v>0.62729999999999997</v>
      </c>
      <c r="W14">
        <f t="shared" si="5"/>
        <v>0.62729999999999997</v>
      </c>
      <c r="X14">
        <f t="shared" si="5"/>
        <v>0.62729999999999997</v>
      </c>
      <c r="Y14">
        <f t="shared" si="5"/>
        <v>0.62729999999999997</v>
      </c>
      <c r="Z14">
        <f t="shared" si="5"/>
        <v>0.62729999999999997</v>
      </c>
      <c r="AA14">
        <f t="shared" si="5"/>
        <v>0.62729999999999997</v>
      </c>
      <c r="AB14">
        <f t="shared" si="5"/>
        <v>0.62729999999999997</v>
      </c>
      <c r="AC14">
        <f t="shared" si="5"/>
        <v>0.62729999999999997</v>
      </c>
      <c r="AD14">
        <f t="shared" si="5"/>
        <v>0.62729999999999997</v>
      </c>
      <c r="AE14">
        <f t="shared" si="5"/>
        <v>0.62729999999999997</v>
      </c>
    </row>
    <row r="15" spans="1:31" x14ac:dyDescent="0.45">
      <c r="A15" t="s">
        <v>157</v>
      </c>
      <c r="B15">
        <f>INDEX(Current_BGDPbES!$C$2:$C$1153,MATCH(About!$B$2&amp;"|"&amp;$A15,Current_BGDPbES!$D$2:$D$1153,0))</f>
        <v>0</v>
      </c>
      <c r="C15">
        <f t="shared" si="3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4"/>
        <v>0</v>
      </c>
      <c r="N15">
        <f t="shared" si="4"/>
        <v>0</v>
      </c>
      <c r="O15">
        <f t="shared" si="4"/>
        <v>0</v>
      </c>
      <c r="P15">
        <f t="shared" si="4"/>
        <v>0</v>
      </c>
      <c r="Q15">
        <f t="shared" si="4"/>
        <v>0</v>
      </c>
      <c r="R15">
        <f t="shared" si="4"/>
        <v>0</v>
      </c>
      <c r="S15">
        <f t="shared" si="4"/>
        <v>0</v>
      </c>
      <c r="T15">
        <f t="shared" si="4"/>
        <v>0</v>
      </c>
      <c r="U15">
        <f t="shared" si="4"/>
        <v>0</v>
      </c>
      <c r="V15">
        <f t="shared" si="4"/>
        <v>0</v>
      </c>
      <c r="W15">
        <f t="shared" si="5"/>
        <v>0</v>
      </c>
      <c r="X15">
        <f t="shared" si="5"/>
        <v>0</v>
      </c>
      <c r="Y15">
        <f t="shared" si="5"/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 t="shared" si="5"/>
        <v>0</v>
      </c>
      <c r="AD15">
        <f t="shared" si="5"/>
        <v>0</v>
      </c>
      <c r="AE15">
        <f t="shared" si="5"/>
        <v>0</v>
      </c>
    </row>
    <row r="16" spans="1:31" x14ac:dyDescent="0.45">
      <c r="A16" t="s">
        <v>159</v>
      </c>
      <c r="B16">
        <f>INDEX(Current_BGDPbES!$C$2:$C$1153,MATCH(About!$B$2&amp;"|"&amp;$A16,Current_BGDPbES!$D$2:$D$1153,0))</f>
        <v>1</v>
      </c>
      <c r="C16">
        <f t="shared" si="3"/>
        <v>1</v>
      </c>
      <c r="D16">
        <f t="shared" si="3"/>
        <v>1</v>
      </c>
      <c r="E16">
        <f t="shared" si="3"/>
        <v>1</v>
      </c>
      <c r="F16">
        <f t="shared" si="3"/>
        <v>1</v>
      </c>
      <c r="G16">
        <f t="shared" si="3"/>
        <v>1</v>
      </c>
      <c r="H16">
        <f t="shared" si="3"/>
        <v>1</v>
      </c>
      <c r="I16">
        <f t="shared" si="3"/>
        <v>1</v>
      </c>
      <c r="J16">
        <f t="shared" si="3"/>
        <v>1</v>
      </c>
      <c r="K16">
        <f t="shared" si="3"/>
        <v>1</v>
      </c>
      <c r="L16">
        <f t="shared" si="3"/>
        <v>1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1</v>
      </c>
      <c r="Q16">
        <f t="shared" si="4"/>
        <v>1</v>
      </c>
      <c r="R16">
        <f t="shared" si="4"/>
        <v>1</v>
      </c>
      <c r="S16">
        <f t="shared" si="4"/>
        <v>1</v>
      </c>
      <c r="T16">
        <f t="shared" si="4"/>
        <v>1</v>
      </c>
      <c r="U16">
        <f t="shared" si="4"/>
        <v>1</v>
      </c>
      <c r="V16">
        <f t="shared" si="4"/>
        <v>1</v>
      </c>
      <c r="W16">
        <f t="shared" si="5"/>
        <v>1</v>
      </c>
      <c r="X16">
        <f t="shared" si="5"/>
        <v>1</v>
      </c>
      <c r="Y16">
        <f t="shared" si="5"/>
        <v>1</v>
      </c>
      <c r="Z16">
        <f t="shared" si="5"/>
        <v>1</v>
      </c>
      <c r="AA16">
        <f t="shared" si="5"/>
        <v>1</v>
      </c>
      <c r="AB16">
        <f t="shared" si="5"/>
        <v>1</v>
      </c>
      <c r="AC16">
        <f t="shared" si="5"/>
        <v>1</v>
      </c>
      <c r="AD16">
        <f t="shared" si="5"/>
        <v>1</v>
      </c>
      <c r="AE16">
        <f t="shared" si="5"/>
        <v>1</v>
      </c>
    </row>
    <row r="17" spans="1:31" x14ac:dyDescent="0.45">
      <c r="A17" t="s">
        <v>161</v>
      </c>
      <c r="B17">
        <f>INDEX(Current_BGDPbES!$C$2:$C$1153,MATCH(About!$B$2&amp;"|"&amp;$A17,Current_BGDPbES!$D$2:$D$1153,0))</f>
        <v>0</v>
      </c>
      <c r="C17">
        <f t="shared" si="3"/>
        <v>0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</row>
    <row r="18" spans="1:31" x14ac:dyDescent="0.45">
      <c r="A18" t="s">
        <v>163</v>
      </c>
      <c r="B18">
        <f>INDEX(Current_BGDPbES!$C$2:$C$1153,MATCH(About!$B$2&amp;"|"&amp;$A18,Current_BGDPbES!$D$2:$D$1153,0))</f>
        <v>0</v>
      </c>
      <c r="C18">
        <f t="shared" si="3"/>
        <v>0</v>
      </c>
      <c r="D18">
        <f t="shared" si="3"/>
        <v>0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3"/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0</v>
      </c>
      <c r="Q18">
        <f t="shared" si="4"/>
        <v>0</v>
      </c>
      <c r="R18">
        <f t="shared" si="4"/>
        <v>0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4"/>
        <v>0</v>
      </c>
      <c r="W18">
        <f t="shared" si="5"/>
        <v>0</v>
      </c>
      <c r="X18">
        <f t="shared" si="5"/>
        <v>0</v>
      </c>
      <c r="Y18">
        <f t="shared" si="5"/>
        <v>0</v>
      </c>
      <c r="Z18">
        <f t="shared" si="5"/>
        <v>0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0</v>
      </c>
      <c r="AE18">
        <f t="shared" si="5"/>
        <v>0</v>
      </c>
    </row>
    <row r="19" spans="1:31" x14ac:dyDescent="0.45">
      <c r="A19" t="s">
        <v>165</v>
      </c>
      <c r="B19">
        <f>INDEX(Current_BGDPbES!$C$2:$C$1153,MATCH(About!$B$2&amp;"|"&amp;$A19,Current_BGDPbES!$D$2:$D$1153,0))</f>
        <v>0.15</v>
      </c>
      <c r="C19">
        <f t="shared" si="3"/>
        <v>0.15</v>
      </c>
      <c r="D19">
        <f t="shared" si="3"/>
        <v>0.15</v>
      </c>
      <c r="E19">
        <f t="shared" si="3"/>
        <v>0.15</v>
      </c>
      <c r="F19">
        <f t="shared" si="3"/>
        <v>0.15</v>
      </c>
      <c r="G19">
        <f t="shared" si="3"/>
        <v>0.15</v>
      </c>
      <c r="H19">
        <f t="shared" si="3"/>
        <v>0.15</v>
      </c>
      <c r="I19">
        <f t="shared" si="3"/>
        <v>0.15</v>
      </c>
      <c r="J19">
        <f t="shared" si="3"/>
        <v>0.15</v>
      </c>
      <c r="K19">
        <f t="shared" si="3"/>
        <v>0.15</v>
      </c>
      <c r="L19">
        <f t="shared" si="3"/>
        <v>0.15</v>
      </c>
      <c r="M19">
        <f t="shared" si="4"/>
        <v>0.15</v>
      </c>
      <c r="N19">
        <f t="shared" si="4"/>
        <v>0.15</v>
      </c>
      <c r="O19">
        <f t="shared" si="4"/>
        <v>0.15</v>
      </c>
      <c r="P19">
        <f t="shared" si="4"/>
        <v>0.15</v>
      </c>
      <c r="Q19">
        <f t="shared" si="4"/>
        <v>0.15</v>
      </c>
      <c r="R19">
        <f t="shared" si="4"/>
        <v>0.15</v>
      </c>
      <c r="S19">
        <f t="shared" si="4"/>
        <v>0.15</v>
      </c>
      <c r="T19">
        <f t="shared" si="4"/>
        <v>0.15</v>
      </c>
      <c r="U19">
        <f t="shared" si="4"/>
        <v>0.15</v>
      </c>
      <c r="V19">
        <f t="shared" si="4"/>
        <v>0.15</v>
      </c>
      <c r="W19">
        <f t="shared" si="5"/>
        <v>0.15</v>
      </c>
      <c r="X19">
        <f t="shared" si="5"/>
        <v>0.15</v>
      </c>
      <c r="Y19">
        <f t="shared" si="5"/>
        <v>0.15</v>
      </c>
      <c r="Z19">
        <f t="shared" si="5"/>
        <v>0.15</v>
      </c>
      <c r="AA19">
        <f t="shared" si="5"/>
        <v>0.15</v>
      </c>
      <c r="AB19">
        <f t="shared" si="5"/>
        <v>0.15</v>
      </c>
      <c r="AC19">
        <f t="shared" si="5"/>
        <v>0.15</v>
      </c>
      <c r="AD19">
        <f t="shared" si="5"/>
        <v>0.15</v>
      </c>
      <c r="AE19">
        <f t="shared" si="5"/>
        <v>0.15</v>
      </c>
    </row>
    <row r="20" spans="1:31" x14ac:dyDescent="0.45">
      <c r="A20" t="s">
        <v>167</v>
      </c>
      <c r="B20">
        <f>INDEX(Current_BGDPbES!$C$2:$C$1153,MATCH(About!$B$2&amp;"|"&amp;$A20,Current_BGDPbES!$D$2:$D$1153,0))</f>
        <v>0.15</v>
      </c>
      <c r="C20">
        <f t="shared" si="3"/>
        <v>0.15</v>
      </c>
      <c r="D20">
        <f t="shared" si="3"/>
        <v>0.15</v>
      </c>
      <c r="E20">
        <f t="shared" si="3"/>
        <v>0.15</v>
      </c>
      <c r="F20">
        <f t="shared" si="3"/>
        <v>0.15</v>
      </c>
      <c r="G20">
        <f t="shared" si="3"/>
        <v>0.15</v>
      </c>
      <c r="H20">
        <f t="shared" si="3"/>
        <v>0.15</v>
      </c>
      <c r="I20">
        <f t="shared" si="3"/>
        <v>0.15</v>
      </c>
      <c r="J20">
        <f t="shared" si="3"/>
        <v>0.15</v>
      </c>
      <c r="K20">
        <f t="shared" si="3"/>
        <v>0.15</v>
      </c>
      <c r="L20">
        <f t="shared" si="3"/>
        <v>0.15</v>
      </c>
      <c r="M20">
        <f t="shared" si="4"/>
        <v>0.15</v>
      </c>
      <c r="N20">
        <f t="shared" si="4"/>
        <v>0.15</v>
      </c>
      <c r="O20">
        <f t="shared" si="4"/>
        <v>0.15</v>
      </c>
      <c r="P20">
        <f t="shared" si="4"/>
        <v>0.15</v>
      </c>
      <c r="Q20">
        <f t="shared" si="4"/>
        <v>0.15</v>
      </c>
      <c r="R20">
        <f t="shared" si="4"/>
        <v>0.15</v>
      </c>
      <c r="S20">
        <f t="shared" si="4"/>
        <v>0.15</v>
      </c>
      <c r="T20">
        <f t="shared" si="4"/>
        <v>0.15</v>
      </c>
      <c r="U20">
        <f t="shared" si="4"/>
        <v>0.15</v>
      </c>
      <c r="V20">
        <f t="shared" si="4"/>
        <v>0.15</v>
      </c>
      <c r="W20">
        <f t="shared" si="5"/>
        <v>0.15</v>
      </c>
      <c r="X20">
        <f t="shared" si="5"/>
        <v>0.15</v>
      </c>
      <c r="Y20">
        <f t="shared" si="5"/>
        <v>0.15</v>
      </c>
      <c r="Z20">
        <f t="shared" si="5"/>
        <v>0.15</v>
      </c>
      <c r="AA20">
        <f t="shared" si="5"/>
        <v>0.15</v>
      </c>
      <c r="AB20">
        <f t="shared" si="5"/>
        <v>0.15</v>
      </c>
      <c r="AC20">
        <f t="shared" si="5"/>
        <v>0.15</v>
      </c>
      <c r="AD20">
        <f t="shared" si="5"/>
        <v>0.15</v>
      </c>
      <c r="AE20">
        <f t="shared" si="5"/>
        <v>0.15</v>
      </c>
    </row>
    <row r="21" spans="1:31" x14ac:dyDescent="0.45">
      <c r="A21" t="s">
        <v>169</v>
      </c>
      <c r="B21">
        <f>INDEX(Current_BGDPbES!$C$2:$C$1153,MATCH(About!$B$2&amp;"|"&amp;$A21,Current_BGDPbES!$D$2:$D$1153,0))</f>
        <v>1</v>
      </c>
      <c r="C21">
        <f t="shared" si="3"/>
        <v>1</v>
      </c>
      <c r="D21">
        <f t="shared" si="3"/>
        <v>1</v>
      </c>
      <c r="E21">
        <f t="shared" si="3"/>
        <v>1</v>
      </c>
      <c r="F21">
        <f t="shared" si="3"/>
        <v>1</v>
      </c>
      <c r="G21">
        <f t="shared" si="3"/>
        <v>1</v>
      </c>
      <c r="H21">
        <f t="shared" si="3"/>
        <v>1</v>
      </c>
      <c r="I21">
        <f t="shared" si="3"/>
        <v>1</v>
      </c>
      <c r="J21">
        <f t="shared" si="3"/>
        <v>1</v>
      </c>
      <c r="K21">
        <f t="shared" si="3"/>
        <v>1</v>
      </c>
      <c r="L21">
        <f t="shared" si="3"/>
        <v>1</v>
      </c>
      <c r="M21">
        <f t="shared" si="4"/>
        <v>1</v>
      </c>
      <c r="N21">
        <f t="shared" si="4"/>
        <v>1</v>
      </c>
      <c r="O21">
        <f t="shared" si="4"/>
        <v>1</v>
      </c>
      <c r="P21">
        <f t="shared" si="4"/>
        <v>1</v>
      </c>
      <c r="Q21">
        <f t="shared" si="4"/>
        <v>1</v>
      </c>
      <c r="R21">
        <f t="shared" si="4"/>
        <v>1</v>
      </c>
      <c r="S21">
        <f t="shared" si="4"/>
        <v>1</v>
      </c>
      <c r="T21">
        <f t="shared" si="4"/>
        <v>1</v>
      </c>
      <c r="U21">
        <f t="shared" si="4"/>
        <v>1</v>
      </c>
      <c r="V21">
        <f t="shared" si="4"/>
        <v>1</v>
      </c>
      <c r="W21">
        <f t="shared" si="5"/>
        <v>1</v>
      </c>
      <c r="X21">
        <f t="shared" si="5"/>
        <v>1</v>
      </c>
      <c r="Y21">
        <f t="shared" si="5"/>
        <v>1</v>
      </c>
      <c r="Z21">
        <f t="shared" si="5"/>
        <v>1</v>
      </c>
      <c r="AA21">
        <f t="shared" si="5"/>
        <v>1</v>
      </c>
      <c r="AB21">
        <f t="shared" si="5"/>
        <v>1</v>
      </c>
      <c r="AC21">
        <f t="shared" si="5"/>
        <v>1</v>
      </c>
      <c r="AD21">
        <f t="shared" si="5"/>
        <v>1</v>
      </c>
      <c r="AE21">
        <f t="shared" si="5"/>
        <v>1</v>
      </c>
    </row>
    <row r="22" spans="1:31" x14ac:dyDescent="0.45">
      <c r="A22" t="s">
        <v>171</v>
      </c>
      <c r="B22">
        <f>INDEX(Current_BGDPbES!$C$2:$C$1153,MATCH(About!$B$2&amp;"|"&amp;$A22,Current_BGDPbES!$D$2:$D$1153,0))</f>
        <v>1</v>
      </c>
      <c r="C22">
        <f t="shared" si="3"/>
        <v>1</v>
      </c>
      <c r="D22">
        <f t="shared" si="3"/>
        <v>1</v>
      </c>
      <c r="E22">
        <f t="shared" si="3"/>
        <v>1</v>
      </c>
      <c r="F22">
        <f t="shared" si="3"/>
        <v>1</v>
      </c>
      <c r="G22">
        <f t="shared" si="3"/>
        <v>1</v>
      </c>
      <c r="H22">
        <f t="shared" si="3"/>
        <v>1</v>
      </c>
      <c r="I22">
        <f t="shared" si="3"/>
        <v>1</v>
      </c>
      <c r="J22">
        <f t="shared" si="3"/>
        <v>1</v>
      </c>
      <c r="K22">
        <f t="shared" si="3"/>
        <v>1</v>
      </c>
      <c r="L22">
        <f t="shared" si="3"/>
        <v>1</v>
      </c>
      <c r="M22">
        <f t="shared" si="4"/>
        <v>1</v>
      </c>
      <c r="N22">
        <f t="shared" si="4"/>
        <v>1</v>
      </c>
      <c r="O22">
        <f t="shared" si="4"/>
        <v>1</v>
      </c>
      <c r="P22">
        <f t="shared" si="4"/>
        <v>1</v>
      </c>
      <c r="Q22">
        <f t="shared" si="4"/>
        <v>1</v>
      </c>
      <c r="R22">
        <f t="shared" si="4"/>
        <v>1</v>
      </c>
      <c r="S22">
        <f t="shared" si="4"/>
        <v>1</v>
      </c>
      <c r="T22">
        <f t="shared" si="4"/>
        <v>1</v>
      </c>
      <c r="U22">
        <f t="shared" si="4"/>
        <v>1</v>
      </c>
      <c r="V22">
        <f t="shared" si="4"/>
        <v>1</v>
      </c>
      <c r="W22">
        <f t="shared" si="5"/>
        <v>1</v>
      </c>
      <c r="X22">
        <f t="shared" si="5"/>
        <v>1</v>
      </c>
      <c r="Y22">
        <f t="shared" si="5"/>
        <v>1</v>
      </c>
      <c r="Z22">
        <f t="shared" si="5"/>
        <v>1</v>
      </c>
      <c r="AA22">
        <f t="shared" si="5"/>
        <v>1</v>
      </c>
      <c r="AB22">
        <f t="shared" si="5"/>
        <v>1</v>
      </c>
      <c r="AC22">
        <f t="shared" si="5"/>
        <v>1</v>
      </c>
      <c r="AD22">
        <f t="shared" si="5"/>
        <v>1</v>
      </c>
      <c r="AE22">
        <f t="shared" si="5"/>
        <v>1</v>
      </c>
    </row>
    <row r="23" spans="1:31" x14ac:dyDescent="0.45">
      <c r="A23" t="s">
        <v>173</v>
      </c>
      <c r="B23">
        <f>INDEX(Current_BGDPbES!$C$2:$C$1153,MATCH(About!$B$2&amp;"|"&amp;$A23,Current_BGDPbES!$D$2:$D$1153,0))</f>
        <v>0</v>
      </c>
      <c r="C23">
        <f t="shared" si="3"/>
        <v>0</v>
      </c>
      <c r="D23">
        <f t="shared" si="3"/>
        <v>0</v>
      </c>
      <c r="E23">
        <f t="shared" si="3"/>
        <v>0</v>
      </c>
      <c r="F23">
        <f t="shared" si="3"/>
        <v>0</v>
      </c>
      <c r="G23">
        <f t="shared" si="3"/>
        <v>0</v>
      </c>
      <c r="H23">
        <f t="shared" si="3"/>
        <v>0</v>
      </c>
      <c r="I23">
        <f t="shared" si="3"/>
        <v>0</v>
      </c>
      <c r="J23">
        <f t="shared" si="3"/>
        <v>0</v>
      </c>
      <c r="K23">
        <f t="shared" si="3"/>
        <v>0</v>
      </c>
      <c r="L23">
        <f t="shared" si="3"/>
        <v>0</v>
      </c>
      <c r="M23">
        <f t="shared" si="4"/>
        <v>0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0</v>
      </c>
      <c r="R23">
        <f t="shared" si="4"/>
        <v>0</v>
      </c>
      <c r="S23">
        <f t="shared" si="4"/>
        <v>0</v>
      </c>
      <c r="T23">
        <f t="shared" si="4"/>
        <v>0</v>
      </c>
      <c r="U23">
        <f t="shared" si="4"/>
        <v>0</v>
      </c>
      <c r="V23">
        <f t="shared" si="4"/>
        <v>0</v>
      </c>
      <c r="W23">
        <f t="shared" si="5"/>
        <v>0</v>
      </c>
      <c r="X23">
        <f t="shared" si="5"/>
        <v>0</v>
      </c>
      <c r="Y23">
        <f t="shared" si="5"/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 t="shared" si="5"/>
        <v>0</v>
      </c>
      <c r="AE23">
        <f t="shared" si="5"/>
        <v>0</v>
      </c>
    </row>
    <row r="24" spans="1:31" x14ac:dyDescent="0.45">
      <c r="A24" t="s">
        <v>175</v>
      </c>
      <c r="B24">
        <f>INDEX(Current_BGDPbES!$C$2:$C$1153,MATCH(About!$B$2&amp;"|"&amp;$A24,Current_BGDPbES!$D$2:$D$1153,0))</f>
        <v>1</v>
      </c>
      <c r="C24">
        <f t="shared" si="3"/>
        <v>1</v>
      </c>
      <c r="D24">
        <f t="shared" si="3"/>
        <v>1</v>
      </c>
      <c r="E24">
        <f t="shared" si="3"/>
        <v>1</v>
      </c>
      <c r="F24">
        <f t="shared" si="3"/>
        <v>1</v>
      </c>
      <c r="G24">
        <f t="shared" si="3"/>
        <v>1</v>
      </c>
      <c r="H24">
        <f t="shared" si="3"/>
        <v>1</v>
      </c>
      <c r="I24">
        <f t="shared" si="3"/>
        <v>1</v>
      </c>
      <c r="J24">
        <f t="shared" si="3"/>
        <v>1</v>
      </c>
      <c r="K24">
        <f t="shared" si="3"/>
        <v>1</v>
      </c>
      <c r="L24">
        <f t="shared" si="3"/>
        <v>1</v>
      </c>
      <c r="M24">
        <f t="shared" si="4"/>
        <v>1</v>
      </c>
      <c r="N24">
        <f t="shared" si="4"/>
        <v>1</v>
      </c>
      <c r="O24">
        <f t="shared" si="4"/>
        <v>1</v>
      </c>
      <c r="P24">
        <f t="shared" si="4"/>
        <v>1</v>
      </c>
      <c r="Q24">
        <f t="shared" si="4"/>
        <v>1</v>
      </c>
      <c r="R24">
        <f t="shared" si="4"/>
        <v>1</v>
      </c>
      <c r="S24">
        <f t="shared" si="4"/>
        <v>1</v>
      </c>
      <c r="T24">
        <f t="shared" si="4"/>
        <v>1</v>
      </c>
      <c r="U24">
        <f t="shared" si="4"/>
        <v>1</v>
      </c>
      <c r="V24">
        <f t="shared" si="4"/>
        <v>1</v>
      </c>
      <c r="W24">
        <f t="shared" si="5"/>
        <v>1</v>
      </c>
      <c r="X24">
        <f t="shared" si="5"/>
        <v>1</v>
      </c>
      <c r="Y24">
        <f t="shared" si="5"/>
        <v>1</v>
      </c>
      <c r="Z24">
        <f t="shared" si="5"/>
        <v>1</v>
      </c>
      <c r="AA24">
        <f t="shared" si="5"/>
        <v>1</v>
      </c>
      <c r="AB24">
        <f t="shared" si="5"/>
        <v>1</v>
      </c>
      <c r="AC24">
        <f t="shared" si="5"/>
        <v>1</v>
      </c>
      <c r="AD24">
        <f t="shared" si="5"/>
        <v>1</v>
      </c>
      <c r="AE24">
        <f t="shared" si="5"/>
        <v>1</v>
      </c>
    </row>
    <row r="25" spans="1:31" x14ac:dyDescent="0.45">
      <c r="A25" t="s">
        <v>177</v>
      </c>
      <c r="B25">
        <f>INDEX(Current_BGDPbES!$C$2:$C$1153,MATCH(About!$B$2&amp;"|"&amp;$A25,Current_BGDPbES!$D$2:$D$1153,0))</f>
        <v>1</v>
      </c>
      <c r="C25">
        <f t="shared" si="3"/>
        <v>1</v>
      </c>
      <c r="D25">
        <f t="shared" si="3"/>
        <v>1</v>
      </c>
      <c r="E25">
        <f t="shared" si="3"/>
        <v>1</v>
      </c>
      <c r="F25">
        <f t="shared" si="3"/>
        <v>1</v>
      </c>
      <c r="G25">
        <f t="shared" si="3"/>
        <v>1</v>
      </c>
      <c r="H25">
        <f t="shared" si="3"/>
        <v>1</v>
      </c>
      <c r="I25">
        <f t="shared" si="3"/>
        <v>1</v>
      </c>
      <c r="J25">
        <f t="shared" si="3"/>
        <v>1</v>
      </c>
      <c r="K25">
        <f t="shared" si="3"/>
        <v>1</v>
      </c>
      <c r="L25">
        <f t="shared" si="3"/>
        <v>1</v>
      </c>
      <c r="M25">
        <f t="shared" si="4"/>
        <v>1</v>
      </c>
      <c r="N25">
        <f t="shared" si="4"/>
        <v>1</v>
      </c>
      <c r="O25">
        <f t="shared" si="4"/>
        <v>1</v>
      </c>
      <c r="P25">
        <f t="shared" si="4"/>
        <v>1</v>
      </c>
      <c r="Q25">
        <f t="shared" si="4"/>
        <v>1</v>
      </c>
      <c r="R25">
        <f t="shared" si="4"/>
        <v>1</v>
      </c>
      <c r="S25">
        <f t="shared" si="4"/>
        <v>1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1</v>
      </c>
      <c r="AA25">
        <f t="shared" si="5"/>
        <v>1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Keys</vt:lpstr>
      <vt:lpstr>Current_BGDPbES</vt:lpstr>
      <vt:lpstr>Tuned</vt:lpstr>
      <vt:lpstr>BGDPbES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2026-07-23T20:41:43Z</dcterms:created>
  <dcterms:modified xsi:type="dcterms:W3CDTF">2026-07-23T21:18:40Z</dcterms:modified>
</cp:coreProperties>
</file>