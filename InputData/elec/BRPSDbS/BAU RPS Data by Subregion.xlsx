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BRPSDbS\"/>
    </mc:Choice>
  </mc:AlternateContent>
  <xr:revisionPtr revIDLastSave="0" documentId="8_{0C13F337-CF08-49A3-9BB9-A4ED88F58B6C}" xr6:coauthVersionLast="47" xr6:coauthVersionMax="47" xr10:uidLastSave="{00000000-0000-0000-0000-000000000000}"/>
  <bookViews>
    <workbookView xWindow="1635" yWindow="450" windowWidth="18285" windowHeight="16635" firstSheet="6" activeTab="7" xr2:uid="{CC99B517-D3B6-4CA2-B118-7521DA1FD525}"/>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2" i="2" l="1"/>
  <c r="S42" i="2" s="1"/>
  <c r="T42" i="2" s="1"/>
  <c r="U42" i="2" s="1"/>
  <c r="V42" i="2" s="1"/>
  <c r="W42" i="2" s="1"/>
  <c r="X42" i="2" s="1"/>
  <c r="Y42" i="2" s="1"/>
  <c r="Z42" i="2" s="1"/>
  <c r="Q42" i="2"/>
  <c r="AC42" i="2"/>
  <c r="AD42" i="2"/>
  <c r="AE42" i="2" s="1"/>
  <c r="AF42" i="2" s="1"/>
  <c r="AG42" i="2" s="1"/>
  <c r="AH42" i="2" s="1"/>
  <c r="AI42" i="2" s="1"/>
  <c r="AJ42" i="2" s="1"/>
  <c r="AK42" i="2" s="1"/>
  <c r="AL42" i="2" s="1"/>
  <c r="AM42" i="2" s="1"/>
  <c r="AN42" i="2" s="1"/>
  <c r="AO42" i="2" s="1"/>
  <c r="AP42" i="2" s="1"/>
  <c r="AQ42" i="2" s="1"/>
  <c r="AR42" i="2" s="1"/>
  <c r="AB42" i="2"/>
  <c r="AA42" i="2"/>
  <c r="N42" i="2"/>
  <c r="O42" i="2"/>
  <c r="P42" i="2"/>
  <c r="B78" i="4"/>
  <c r="A42" i="7"/>
  <c r="F42" i="7" s="1"/>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50" i="7"/>
  <c r="BI50" i="7" s="1"/>
  <c r="A53" i="7"/>
  <c r="X53" i="7" s="1"/>
  <c r="A54" i="7"/>
  <c r="Q54" i="7" s="1"/>
  <c r="A55" i="7"/>
  <c r="J55" i="7" s="1"/>
  <c r="A56" i="7"/>
  <c r="AI56" i="7" s="1"/>
  <c r="A57" i="7"/>
  <c r="BH57" i="7" s="1"/>
  <c r="A58" i="7"/>
  <c r="BA58" i="7" s="1"/>
  <c r="A59" i="7"/>
  <c r="N59" i="7" s="1"/>
  <c r="A60" i="7"/>
  <c r="E60" i="7" s="1"/>
  <c r="A61" i="7"/>
  <c r="P61" i="7" s="1"/>
  <c r="G53" i="2"/>
  <c r="A52" i="7" s="1"/>
  <c r="AU52" i="7" s="1"/>
  <c r="G4" i="2"/>
  <c r="A3" i="7" s="1"/>
  <c r="G6" i="2"/>
  <c r="A5" i="7" s="1"/>
  <c r="D5" i="7" s="1"/>
  <c r="G13" i="2"/>
  <c r="A12" i="7" s="1"/>
  <c r="D12" i="7" s="1"/>
  <c r="G15" i="2"/>
  <c r="A14" i="7" s="1"/>
  <c r="D14" i="7" s="1"/>
  <c r="G18" i="2"/>
  <c r="A17" i="7" s="1"/>
  <c r="D17" i="7" s="1"/>
  <c r="G19" i="2"/>
  <c r="G20" i="2"/>
  <c r="A19" i="7" s="1"/>
  <c r="G21" i="2"/>
  <c r="A20" i="7" s="1"/>
  <c r="G27" i="2"/>
  <c r="A26" i="7" s="1"/>
  <c r="G29" i="2"/>
  <c r="A28" i="7" s="1"/>
  <c r="AN28" i="7" s="1"/>
  <c r="G30" i="2"/>
  <c r="A29" i="7" s="1"/>
  <c r="D29" i="7" s="1"/>
  <c r="G37" i="2"/>
  <c r="A36" i="7" s="1"/>
  <c r="D36" i="7" s="1"/>
  <c r="G39" i="2"/>
  <c r="A38" i="7" s="1"/>
  <c r="D38" i="7" s="1"/>
  <c r="G43" i="2"/>
  <c r="G44" i="2"/>
  <c r="A43" i="7" s="1"/>
  <c r="G45" i="2"/>
  <c r="A44" i="7" s="1"/>
  <c r="BS44" i="7" s="1"/>
  <c r="G47" i="2"/>
  <c r="A46" i="7" s="1"/>
  <c r="CC46" i="7" s="1"/>
  <c r="G51" i="2"/>
  <c r="G3" i="2"/>
  <c r="A2" i="7" s="1"/>
  <c r="D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I42" i="2"/>
  <c r="J42" i="2" s="1"/>
  <c r="K42" i="2" s="1"/>
  <c r="L42" i="2" s="1"/>
  <c r="M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U42" i="7" l="1"/>
  <c r="BP42" i="7"/>
  <c r="Y42" i="7"/>
  <c r="BY42" i="7"/>
  <c r="BM42" i="7"/>
  <c r="AS42" i="7"/>
  <c r="BH42" i="7"/>
  <c r="Q42" i="7"/>
  <c r="BV61" i="7"/>
  <c r="BE42" i="7"/>
  <c r="M42" i="7"/>
  <c r="CA60" i="7"/>
  <c r="BV55" i="7"/>
  <c r="AR42" i="7"/>
  <c r="CC42" i="7"/>
  <c r="AK42" i="7"/>
  <c r="AJ42" i="7"/>
  <c r="BN61" i="7"/>
  <c r="AU60" i="7"/>
  <c r="BX42" i="7"/>
  <c r="BA42" i="7"/>
  <c r="AG42" i="7"/>
  <c r="L42" i="7"/>
  <c r="BF61" i="7"/>
  <c r="O60" i="7"/>
  <c r="Y54" i="7"/>
  <c r="BU42" i="7"/>
  <c r="AZ42" i="7"/>
  <c r="AC42" i="7"/>
  <c r="I42" i="7"/>
  <c r="AX61" i="7"/>
  <c r="BJ59" i="7"/>
  <c r="AN53" i="7"/>
  <c r="BQ42" i="7"/>
  <c r="AW42" i="7"/>
  <c r="AB42" i="7"/>
  <c r="E42" i="7"/>
  <c r="D58" i="7"/>
  <c r="AP61" i="7"/>
  <c r="AD59" i="7"/>
  <c r="BC52" i="7"/>
  <c r="D50" i="7"/>
  <c r="AH61" i="7"/>
  <c r="BY58" i="7"/>
  <c r="U50" i="7"/>
  <c r="Z61" i="7"/>
  <c r="AC58" i="7"/>
  <c r="BI42" i="7"/>
  <c r="AO42" i="7"/>
  <c r="T42" i="7"/>
  <c r="CD61" i="7"/>
  <c r="R61" i="7"/>
  <c r="AR57" i="7"/>
  <c r="J46" i="7"/>
  <c r="R46" i="7"/>
  <c r="Z46" i="7"/>
  <c r="AH46" i="7"/>
  <c r="AP46" i="7"/>
  <c r="AX46" i="7"/>
  <c r="BF46" i="7"/>
  <c r="BN46" i="7"/>
  <c r="K46" i="7"/>
  <c r="S46" i="7"/>
  <c r="AA46" i="7"/>
  <c r="AI46" i="7"/>
  <c r="AQ46" i="7"/>
  <c r="AY46" i="7"/>
  <c r="BG46" i="7"/>
  <c r="BO46" i="7"/>
  <c r="BW46" i="7"/>
  <c r="L46" i="7"/>
  <c r="T46" i="7"/>
  <c r="AB46" i="7"/>
  <c r="AJ46" i="7"/>
  <c r="AR46" i="7"/>
  <c r="AZ46" i="7"/>
  <c r="BH46" i="7"/>
  <c r="BP46" i="7"/>
  <c r="F46" i="7"/>
  <c r="N46" i="7"/>
  <c r="V46" i="7"/>
  <c r="AD46" i="7"/>
  <c r="AL46" i="7"/>
  <c r="AT46" i="7"/>
  <c r="BB46" i="7"/>
  <c r="BJ46" i="7"/>
  <c r="BR46" i="7"/>
  <c r="G46" i="7"/>
  <c r="O46" i="7"/>
  <c r="W46" i="7"/>
  <c r="AE46" i="7"/>
  <c r="X46" i="7"/>
  <c r="AO46" i="7"/>
  <c r="BE46" i="7"/>
  <c r="BU46" i="7"/>
  <c r="CD46" i="7"/>
  <c r="E46" i="7"/>
  <c r="Y46" i="7"/>
  <c r="AS46" i="7"/>
  <c r="BI46" i="7"/>
  <c r="BV46" i="7"/>
  <c r="CE46" i="7"/>
  <c r="H46" i="7"/>
  <c r="AC46" i="7"/>
  <c r="AU46" i="7"/>
  <c r="BK46" i="7"/>
  <c r="BX46" i="7"/>
  <c r="I46" i="7"/>
  <c r="AF46" i="7"/>
  <c r="AV46" i="7"/>
  <c r="BL46" i="7"/>
  <c r="BY46" i="7"/>
  <c r="M46" i="7"/>
  <c r="AG46" i="7"/>
  <c r="AW46" i="7"/>
  <c r="BM46" i="7"/>
  <c r="BZ46" i="7"/>
  <c r="P46" i="7"/>
  <c r="AK46" i="7"/>
  <c r="BA46" i="7"/>
  <c r="BQ46" i="7"/>
  <c r="CA46" i="7"/>
  <c r="Q46" i="7"/>
  <c r="AM46" i="7"/>
  <c r="BC46" i="7"/>
  <c r="BS46" i="7"/>
  <c r="CB46" i="7"/>
  <c r="H26" i="7"/>
  <c r="P26" i="7"/>
  <c r="X26" i="7"/>
  <c r="AF26" i="7"/>
  <c r="AN26" i="7"/>
  <c r="AV26" i="7"/>
  <c r="BD26" i="7"/>
  <c r="BL26" i="7"/>
  <c r="BT26" i="7"/>
  <c r="I26" i="7"/>
  <c r="Q26" i="7"/>
  <c r="Y26" i="7"/>
  <c r="AG26" i="7"/>
  <c r="AO26" i="7"/>
  <c r="AW26" i="7"/>
  <c r="BE26" i="7"/>
  <c r="BM26" i="7"/>
  <c r="BU26" i="7"/>
  <c r="E26" i="7"/>
  <c r="O26" i="7"/>
  <c r="AA26" i="7"/>
  <c r="AK26" i="7"/>
  <c r="AU26" i="7"/>
  <c r="BG26" i="7"/>
  <c r="BQ26" i="7"/>
  <c r="CA26" i="7"/>
  <c r="F26" i="7"/>
  <c r="R26" i="7"/>
  <c r="AB26" i="7"/>
  <c r="AL26" i="7"/>
  <c r="AX26" i="7"/>
  <c r="BH26" i="7"/>
  <c r="BR26" i="7"/>
  <c r="CB26" i="7"/>
  <c r="G26" i="7"/>
  <c r="S26" i="7"/>
  <c r="AC26" i="7"/>
  <c r="AM26" i="7"/>
  <c r="AY26" i="7"/>
  <c r="BI26" i="7"/>
  <c r="BS26" i="7"/>
  <c r="CC26" i="7"/>
  <c r="K26" i="7"/>
  <c r="U26" i="7"/>
  <c r="AE26" i="7"/>
  <c r="AQ26" i="7"/>
  <c r="BA26" i="7"/>
  <c r="BK26" i="7"/>
  <c r="BW26" i="7"/>
  <c r="CE26" i="7"/>
  <c r="L26" i="7"/>
  <c r="V26" i="7"/>
  <c r="AH26" i="7"/>
  <c r="AR26" i="7"/>
  <c r="BB26" i="7"/>
  <c r="BN26" i="7"/>
  <c r="BX26" i="7"/>
  <c r="N26" i="7"/>
  <c r="AS26" i="7"/>
  <c r="BV26" i="7"/>
  <c r="T26" i="7"/>
  <c r="AT26" i="7"/>
  <c r="BY26" i="7"/>
  <c r="W26" i="7"/>
  <c r="AZ26" i="7"/>
  <c r="BZ26" i="7"/>
  <c r="Z26" i="7"/>
  <c r="BC26" i="7"/>
  <c r="CD26" i="7"/>
  <c r="AD26" i="7"/>
  <c r="BF26" i="7"/>
  <c r="AI26" i="7"/>
  <c r="BJ26" i="7"/>
  <c r="J26" i="7"/>
  <c r="AJ26" i="7"/>
  <c r="BO26" i="7"/>
  <c r="AP26" i="7"/>
  <c r="BP26" i="7"/>
  <c r="J3" i="7"/>
  <c r="R3" i="7"/>
  <c r="Z3" i="7"/>
  <c r="AH3" i="7"/>
  <c r="AP3" i="7"/>
  <c r="AX3" i="7"/>
  <c r="BF3" i="7"/>
  <c r="L3" i="7"/>
  <c r="T3" i="7"/>
  <c r="AB3" i="7"/>
  <c r="AJ3" i="7"/>
  <c r="AR3" i="7"/>
  <c r="AZ3" i="7"/>
  <c r="BH3" i="7"/>
  <c r="BP3" i="7"/>
  <c r="BX3" i="7"/>
  <c r="F3" i="7"/>
  <c r="N3" i="7"/>
  <c r="V3" i="7"/>
  <c r="AD3" i="7"/>
  <c r="AL3" i="7"/>
  <c r="AT3" i="7"/>
  <c r="BB3" i="7"/>
  <c r="BJ3" i="7"/>
  <c r="BR3" i="7"/>
  <c r="BZ3" i="7"/>
  <c r="G3" i="7"/>
  <c r="O3" i="7"/>
  <c r="W3" i="7"/>
  <c r="AE3" i="7"/>
  <c r="AM3" i="7"/>
  <c r="AU3" i="7"/>
  <c r="BC3" i="7"/>
  <c r="BK3" i="7"/>
  <c r="BS3" i="7"/>
  <c r="CA3" i="7"/>
  <c r="H3" i="7"/>
  <c r="P3" i="7"/>
  <c r="X3" i="7"/>
  <c r="AF3" i="7"/>
  <c r="AN3" i="7"/>
  <c r="AV3" i="7"/>
  <c r="BD3" i="7"/>
  <c r="BL3" i="7"/>
  <c r="BT3" i="7"/>
  <c r="CB3" i="7"/>
  <c r="I3" i="7"/>
  <c r="Q3" i="7"/>
  <c r="Y3" i="7"/>
  <c r="AG3" i="7"/>
  <c r="AO3" i="7"/>
  <c r="AW3" i="7"/>
  <c r="BE3" i="7"/>
  <c r="BM3" i="7"/>
  <c r="BU3" i="7"/>
  <c r="CC3" i="7"/>
  <c r="M3" i="7"/>
  <c r="AS3" i="7"/>
  <c r="BV3" i="7"/>
  <c r="S3" i="7"/>
  <c r="AY3" i="7"/>
  <c r="BW3" i="7"/>
  <c r="U3" i="7"/>
  <c r="BA3" i="7"/>
  <c r="BY3" i="7"/>
  <c r="AA3" i="7"/>
  <c r="BG3" i="7"/>
  <c r="CD3" i="7"/>
  <c r="AC3" i="7"/>
  <c r="BI3" i="7"/>
  <c r="CE3" i="7"/>
  <c r="AI3" i="7"/>
  <c r="BN3" i="7"/>
  <c r="E3" i="7"/>
  <c r="AK3" i="7"/>
  <c r="BO3" i="7"/>
  <c r="BQ3" i="7"/>
  <c r="K3" i="7"/>
  <c r="AQ3" i="7"/>
  <c r="K55" i="7"/>
  <c r="S55" i="7"/>
  <c r="AA55" i="7"/>
  <c r="AI55" i="7"/>
  <c r="AQ55" i="7"/>
  <c r="AY55" i="7"/>
  <c r="BG55" i="7"/>
  <c r="BO55" i="7"/>
  <c r="BW55" i="7"/>
  <c r="CE55" i="7"/>
  <c r="L55" i="7"/>
  <c r="T55" i="7"/>
  <c r="AB55" i="7"/>
  <c r="AJ55" i="7"/>
  <c r="AR55" i="7"/>
  <c r="AZ55" i="7"/>
  <c r="BH55" i="7"/>
  <c r="BP55" i="7"/>
  <c r="BX55" i="7"/>
  <c r="E55" i="7"/>
  <c r="M55" i="7"/>
  <c r="U55" i="7"/>
  <c r="AC55" i="7"/>
  <c r="AK55" i="7"/>
  <c r="AS55" i="7"/>
  <c r="BA55" i="7"/>
  <c r="BI55" i="7"/>
  <c r="BQ55" i="7"/>
  <c r="BY55" i="7"/>
  <c r="F55" i="7"/>
  <c r="N55" i="7"/>
  <c r="V55" i="7"/>
  <c r="AD55" i="7"/>
  <c r="AL55" i="7"/>
  <c r="AT55" i="7"/>
  <c r="BB55" i="7"/>
  <c r="BJ55" i="7"/>
  <c r="BR55" i="7"/>
  <c r="BZ55" i="7"/>
  <c r="G55" i="7"/>
  <c r="O55" i="7"/>
  <c r="W55" i="7"/>
  <c r="AE55" i="7"/>
  <c r="AM55" i="7"/>
  <c r="AU55" i="7"/>
  <c r="BC55" i="7"/>
  <c r="BK55" i="7"/>
  <c r="BS55" i="7"/>
  <c r="CA55" i="7"/>
  <c r="H55" i="7"/>
  <c r="P55" i="7"/>
  <c r="X55" i="7"/>
  <c r="AF55" i="7"/>
  <c r="AN55" i="7"/>
  <c r="AV55" i="7"/>
  <c r="BD55" i="7"/>
  <c r="BL55" i="7"/>
  <c r="BT55" i="7"/>
  <c r="CB55" i="7"/>
  <c r="I55" i="7"/>
  <c r="Q55" i="7"/>
  <c r="Y55" i="7"/>
  <c r="AG55" i="7"/>
  <c r="AO55" i="7"/>
  <c r="AW55" i="7"/>
  <c r="BE55" i="7"/>
  <c r="BM55" i="7"/>
  <c r="BU55" i="7"/>
  <c r="CC55" i="7"/>
  <c r="D57" i="7"/>
  <c r="CC61" i="7"/>
  <c r="BU61" i="7"/>
  <c r="BM61" i="7"/>
  <c r="BE61" i="7"/>
  <c r="AW61" i="7"/>
  <c r="AO61" i="7"/>
  <c r="AG61" i="7"/>
  <c r="Y61" i="7"/>
  <c r="Q61" i="7"/>
  <c r="BY60" i="7"/>
  <c r="AS60" i="7"/>
  <c r="M60" i="7"/>
  <c r="BH59" i="7"/>
  <c r="AB59" i="7"/>
  <c r="BW58" i="7"/>
  <c r="U58" i="7"/>
  <c r="AJ57" i="7"/>
  <c r="AY56" i="7"/>
  <c r="BN55" i="7"/>
  <c r="CC54" i="7"/>
  <c r="AF53" i="7"/>
  <c r="BY50" i="7"/>
  <c r="M50" i="7"/>
  <c r="BT46" i="7"/>
  <c r="I28" i="7"/>
  <c r="Q28" i="7"/>
  <c r="Y28" i="7"/>
  <c r="AG28" i="7"/>
  <c r="AO28" i="7"/>
  <c r="AW28" i="7"/>
  <c r="BE28" i="7"/>
  <c r="BM28" i="7"/>
  <c r="BU28" i="7"/>
  <c r="CC28" i="7"/>
  <c r="J28" i="7"/>
  <c r="R28" i="7"/>
  <c r="Z28" i="7"/>
  <c r="AH28" i="7"/>
  <c r="AP28" i="7"/>
  <c r="AX28" i="7"/>
  <c r="BF28" i="7"/>
  <c r="BN28" i="7"/>
  <c r="BV28" i="7"/>
  <c r="CD28" i="7"/>
  <c r="K28" i="7"/>
  <c r="S28" i="7"/>
  <c r="AA28" i="7"/>
  <c r="AI28" i="7"/>
  <c r="AQ28" i="7"/>
  <c r="AY28" i="7"/>
  <c r="BG28" i="7"/>
  <c r="BO28" i="7"/>
  <c r="BW28" i="7"/>
  <c r="CE28" i="7"/>
  <c r="E28" i="7"/>
  <c r="M28" i="7"/>
  <c r="U28" i="7"/>
  <c r="AC28" i="7"/>
  <c r="AK28" i="7"/>
  <c r="AS28" i="7"/>
  <c r="BA28" i="7"/>
  <c r="BI28" i="7"/>
  <c r="BQ28" i="7"/>
  <c r="BY28" i="7"/>
  <c r="F28" i="7"/>
  <c r="N28" i="7"/>
  <c r="V28" i="7"/>
  <c r="AD28" i="7"/>
  <c r="AL28" i="7"/>
  <c r="AT28" i="7"/>
  <c r="BB28" i="7"/>
  <c r="BJ28" i="7"/>
  <c r="BR28" i="7"/>
  <c r="BZ28" i="7"/>
  <c r="W28" i="7"/>
  <c r="AR28" i="7"/>
  <c r="BL28" i="7"/>
  <c r="X28" i="7"/>
  <c r="AU28" i="7"/>
  <c r="BP28" i="7"/>
  <c r="G28" i="7"/>
  <c r="AB28" i="7"/>
  <c r="AV28" i="7"/>
  <c r="BS28" i="7"/>
  <c r="H28" i="7"/>
  <c r="AE28" i="7"/>
  <c r="AZ28" i="7"/>
  <c r="BT28" i="7"/>
  <c r="L28" i="7"/>
  <c r="AF28" i="7"/>
  <c r="BC28" i="7"/>
  <c r="BX28" i="7"/>
  <c r="O28" i="7"/>
  <c r="AJ28" i="7"/>
  <c r="BD28" i="7"/>
  <c r="CA28" i="7"/>
  <c r="P28" i="7"/>
  <c r="AM28" i="7"/>
  <c r="BH28" i="7"/>
  <c r="CB28" i="7"/>
  <c r="BK28" i="7"/>
  <c r="T28" i="7"/>
  <c r="G44" i="7"/>
  <c r="O44" i="7"/>
  <c r="H44" i="7"/>
  <c r="P44" i="7"/>
  <c r="X44" i="7"/>
  <c r="AF44" i="7"/>
  <c r="AN44" i="7"/>
  <c r="AV44" i="7"/>
  <c r="BD44" i="7"/>
  <c r="BL44" i="7"/>
  <c r="BT44" i="7"/>
  <c r="CB44" i="7"/>
  <c r="I44" i="7"/>
  <c r="Q44" i="7"/>
  <c r="Y44" i="7"/>
  <c r="AG44" i="7"/>
  <c r="AO44" i="7"/>
  <c r="AW44" i="7"/>
  <c r="BE44" i="7"/>
  <c r="BM44" i="7"/>
  <c r="BU44" i="7"/>
  <c r="CC44" i="7"/>
  <c r="J44" i="7"/>
  <c r="R44" i="7"/>
  <c r="Z44" i="7"/>
  <c r="AH44" i="7"/>
  <c r="AP44" i="7"/>
  <c r="AX44" i="7"/>
  <c r="BF44" i="7"/>
  <c r="BN44" i="7"/>
  <c r="BV44" i="7"/>
  <c r="CD44" i="7"/>
  <c r="L44" i="7"/>
  <c r="T44" i="7"/>
  <c r="AB44" i="7"/>
  <c r="AJ44" i="7"/>
  <c r="AR44" i="7"/>
  <c r="AZ44" i="7"/>
  <c r="BH44" i="7"/>
  <c r="BP44" i="7"/>
  <c r="BX44" i="7"/>
  <c r="E44" i="7"/>
  <c r="M44" i="7"/>
  <c r="U44" i="7"/>
  <c r="AC44" i="7"/>
  <c r="AK44" i="7"/>
  <c r="AS44" i="7"/>
  <c r="BA44" i="7"/>
  <c r="BI44" i="7"/>
  <c r="BQ44" i="7"/>
  <c r="BY44" i="7"/>
  <c r="F44" i="7"/>
  <c r="AE44" i="7"/>
  <c r="BB44" i="7"/>
  <c r="BW44" i="7"/>
  <c r="K44" i="7"/>
  <c r="AI44" i="7"/>
  <c r="BC44" i="7"/>
  <c r="BZ44" i="7"/>
  <c r="N44" i="7"/>
  <c r="AL44" i="7"/>
  <c r="BG44" i="7"/>
  <c r="CA44" i="7"/>
  <c r="S44" i="7"/>
  <c r="AM44" i="7"/>
  <c r="BJ44" i="7"/>
  <c r="CE44" i="7"/>
  <c r="V44" i="7"/>
  <c r="AQ44" i="7"/>
  <c r="BK44" i="7"/>
  <c r="W44" i="7"/>
  <c r="AT44" i="7"/>
  <c r="BO44" i="7"/>
  <c r="AA44" i="7"/>
  <c r="AU44" i="7"/>
  <c r="BR44" i="7"/>
  <c r="G20" i="7"/>
  <c r="O20" i="7"/>
  <c r="W20" i="7"/>
  <c r="AE20" i="7"/>
  <c r="AM20" i="7"/>
  <c r="AU20" i="7"/>
  <c r="BC20" i="7"/>
  <c r="BK20" i="7"/>
  <c r="BS20" i="7"/>
  <c r="CA20" i="7"/>
  <c r="I20" i="7"/>
  <c r="Q20" i="7"/>
  <c r="Y20" i="7"/>
  <c r="AG20" i="7"/>
  <c r="AO20" i="7"/>
  <c r="AW20" i="7"/>
  <c r="BE20" i="7"/>
  <c r="BM20" i="7"/>
  <c r="BU20" i="7"/>
  <c r="CC20" i="7"/>
  <c r="K20" i="7"/>
  <c r="S20" i="7"/>
  <c r="AA20" i="7"/>
  <c r="AI20" i="7"/>
  <c r="AQ20" i="7"/>
  <c r="AY20" i="7"/>
  <c r="BG20" i="7"/>
  <c r="BO20" i="7"/>
  <c r="BW20" i="7"/>
  <c r="CE20" i="7"/>
  <c r="L20" i="7"/>
  <c r="T20" i="7"/>
  <c r="AB20" i="7"/>
  <c r="AJ20" i="7"/>
  <c r="AR20" i="7"/>
  <c r="AZ20" i="7"/>
  <c r="BH20" i="7"/>
  <c r="BP20" i="7"/>
  <c r="BX20" i="7"/>
  <c r="E20" i="7"/>
  <c r="M20" i="7"/>
  <c r="U20" i="7"/>
  <c r="AC20" i="7"/>
  <c r="AK20" i="7"/>
  <c r="AS20" i="7"/>
  <c r="BA20" i="7"/>
  <c r="BI20" i="7"/>
  <c r="BQ20" i="7"/>
  <c r="BY20" i="7"/>
  <c r="F20" i="7"/>
  <c r="Z20" i="7"/>
  <c r="AV20" i="7"/>
  <c r="BR20" i="7"/>
  <c r="H20" i="7"/>
  <c r="AD20" i="7"/>
  <c r="AX20" i="7"/>
  <c r="BT20" i="7"/>
  <c r="J20" i="7"/>
  <c r="AF20" i="7"/>
  <c r="BB20" i="7"/>
  <c r="BV20" i="7"/>
  <c r="P20" i="7"/>
  <c r="AL20" i="7"/>
  <c r="BF20" i="7"/>
  <c r="CB20" i="7"/>
  <c r="R20" i="7"/>
  <c r="AN20" i="7"/>
  <c r="BJ20" i="7"/>
  <c r="CD20" i="7"/>
  <c r="AP20" i="7"/>
  <c r="AT20" i="7"/>
  <c r="BD20" i="7"/>
  <c r="N20" i="7"/>
  <c r="BN20" i="7"/>
  <c r="V20" i="7"/>
  <c r="BZ20" i="7"/>
  <c r="X20" i="7"/>
  <c r="AH20" i="7"/>
  <c r="BL20" i="7"/>
  <c r="H52" i="7"/>
  <c r="P52" i="7"/>
  <c r="X52" i="7"/>
  <c r="AF52" i="7"/>
  <c r="AN52" i="7"/>
  <c r="AV52" i="7"/>
  <c r="BD52" i="7"/>
  <c r="BL52" i="7"/>
  <c r="BT52" i="7"/>
  <c r="CB52" i="7"/>
  <c r="I52" i="7"/>
  <c r="Q52" i="7"/>
  <c r="Y52" i="7"/>
  <c r="AG52" i="7"/>
  <c r="AO52" i="7"/>
  <c r="AW52" i="7"/>
  <c r="BE52" i="7"/>
  <c r="BM52" i="7"/>
  <c r="BU52" i="7"/>
  <c r="CC52" i="7"/>
  <c r="J52" i="7"/>
  <c r="R52" i="7"/>
  <c r="Z52" i="7"/>
  <c r="AH52" i="7"/>
  <c r="AP52" i="7"/>
  <c r="AX52" i="7"/>
  <c r="BF52" i="7"/>
  <c r="BN52" i="7"/>
  <c r="BV52" i="7"/>
  <c r="CD52" i="7"/>
  <c r="K52" i="7"/>
  <c r="S52" i="7"/>
  <c r="AA52" i="7"/>
  <c r="AI52" i="7"/>
  <c r="AQ52" i="7"/>
  <c r="AY52" i="7"/>
  <c r="BG52" i="7"/>
  <c r="BO52" i="7"/>
  <c r="BW52" i="7"/>
  <c r="CE52" i="7"/>
  <c r="L52" i="7"/>
  <c r="T52" i="7"/>
  <c r="AB52" i="7"/>
  <c r="AJ52" i="7"/>
  <c r="AR52" i="7"/>
  <c r="AZ52" i="7"/>
  <c r="BH52" i="7"/>
  <c r="BP52" i="7"/>
  <c r="BX52" i="7"/>
  <c r="E52" i="7"/>
  <c r="M52" i="7"/>
  <c r="U52" i="7"/>
  <c r="AC52" i="7"/>
  <c r="AK52" i="7"/>
  <c r="AS52" i="7"/>
  <c r="BA52" i="7"/>
  <c r="BI52" i="7"/>
  <c r="BQ52" i="7"/>
  <c r="BY52" i="7"/>
  <c r="F52" i="7"/>
  <c r="N52" i="7"/>
  <c r="V52" i="7"/>
  <c r="AD52" i="7"/>
  <c r="AL52" i="7"/>
  <c r="AT52" i="7"/>
  <c r="BB52" i="7"/>
  <c r="BJ52" i="7"/>
  <c r="BR52" i="7"/>
  <c r="BZ52" i="7"/>
  <c r="J54" i="7"/>
  <c r="R54" i="7"/>
  <c r="Z54" i="7"/>
  <c r="AH54" i="7"/>
  <c r="AP54" i="7"/>
  <c r="AX54" i="7"/>
  <c r="BF54" i="7"/>
  <c r="BN54" i="7"/>
  <c r="BV54" i="7"/>
  <c r="CD54" i="7"/>
  <c r="K54" i="7"/>
  <c r="S54" i="7"/>
  <c r="AA54" i="7"/>
  <c r="AI54" i="7"/>
  <c r="AQ54" i="7"/>
  <c r="AY54" i="7"/>
  <c r="BG54" i="7"/>
  <c r="BO54" i="7"/>
  <c r="BW54" i="7"/>
  <c r="CE54" i="7"/>
  <c r="L54" i="7"/>
  <c r="T54" i="7"/>
  <c r="AB54" i="7"/>
  <c r="AJ54" i="7"/>
  <c r="AR54" i="7"/>
  <c r="AZ54" i="7"/>
  <c r="BH54" i="7"/>
  <c r="BP54" i="7"/>
  <c r="BX54" i="7"/>
  <c r="E54" i="7"/>
  <c r="M54" i="7"/>
  <c r="U54" i="7"/>
  <c r="AC54" i="7"/>
  <c r="AK54" i="7"/>
  <c r="AS54" i="7"/>
  <c r="BA54" i="7"/>
  <c r="BI54" i="7"/>
  <c r="BQ54" i="7"/>
  <c r="BY54" i="7"/>
  <c r="F54" i="7"/>
  <c r="N54" i="7"/>
  <c r="V54" i="7"/>
  <c r="AD54" i="7"/>
  <c r="AL54" i="7"/>
  <c r="AT54" i="7"/>
  <c r="BB54" i="7"/>
  <c r="BJ54" i="7"/>
  <c r="BR54" i="7"/>
  <c r="BZ54" i="7"/>
  <c r="G54" i="7"/>
  <c r="O54" i="7"/>
  <c r="W54" i="7"/>
  <c r="AE54" i="7"/>
  <c r="AM54" i="7"/>
  <c r="AU54" i="7"/>
  <c r="BC54" i="7"/>
  <c r="BK54" i="7"/>
  <c r="BS54" i="7"/>
  <c r="CA54" i="7"/>
  <c r="H54" i="7"/>
  <c r="P54" i="7"/>
  <c r="X54" i="7"/>
  <c r="AF54" i="7"/>
  <c r="AN54" i="7"/>
  <c r="AV54" i="7"/>
  <c r="BD54" i="7"/>
  <c r="BL54" i="7"/>
  <c r="BT54" i="7"/>
  <c r="CB54" i="7"/>
  <c r="D56" i="7"/>
  <c r="CB61" i="7"/>
  <c r="BT61" i="7"/>
  <c r="BL61" i="7"/>
  <c r="BD61" i="7"/>
  <c r="AV61" i="7"/>
  <c r="AN61" i="7"/>
  <c r="AF61" i="7"/>
  <c r="X61" i="7"/>
  <c r="BS60" i="7"/>
  <c r="AM60" i="7"/>
  <c r="G60" i="7"/>
  <c r="BB59" i="7"/>
  <c r="V59" i="7"/>
  <c r="BQ58" i="7"/>
  <c r="M58" i="7"/>
  <c r="AB57" i="7"/>
  <c r="AQ56" i="7"/>
  <c r="BF55" i="7"/>
  <c r="BU54" i="7"/>
  <c r="I54" i="7"/>
  <c r="AM52" i="7"/>
  <c r="BQ50" i="7"/>
  <c r="E50" i="7"/>
  <c r="BD46" i="7"/>
  <c r="AY44" i="7"/>
  <c r="AB36" i="7"/>
  <c r="M26" i="7"/>
  <c r="F43" i="7"/>
  <c r="N43" i="7"/>
  <c r="V43" i="7"/>
  <c r="AD43" i="7"/>
  <c r="AL43" i="7"/>
  <c r="AT43" i="7"/>
  <c r="BB43" i="7"/>
  <c r="BJ43" i="7"/>
  <c r="BR43" i="7"/>
  <c r="BZ43" i="7"/>
  <c r="G43" i="7"/>
  <c r="O43" i="7"/>
  <c r="W43" i="7"/>
  <c r="AE43" i="7"/>
  <c r="AM43" i="7"/>
  <c r="AU43" i="7"/>
  <c r="BC43" i="7"/>
  <c r="BK43" i="7"/>
  <c r="BS43" i="7"/>
  <c r="CA43" i="7"/>
  <c r="H43" i="7"/>
  <c r="P43" i="7"/>
  <c r="X43" i="7"/>
  <c r="AF43" i="7"/>
  <c r="AN43" i="7"/>
  <c r="AV43" i="7"/>
  <c r="BD43" i="7"/>
  <c r="BL43" i="7"/>
  <c r="BT43" i="7"/>
  <c r="CB43" i="7"/>
  <c r="I43" i="7"/>
  <c r="Q43" i="7"/>
  <c r="Y43" i="7"/>
  <c r="AG43" i="7"/>
  <c r="AO43" i="7"/>
  <c r="AW43" i="7"/>
  <c r="BE43" i="7"/>
  <c r="BM43" i="7"/>
  <c r="BU43" i="7"/>
  <c r="CC43" i="7"/>
  <c r="J43" i="7"/>
  <c r="R43" i="7"/>
  <c r="Z43" i="7"/>
  <c r="AH43" i="7"/>
  <c r="AP43" i="7"/>
  <c r="AX43" i="7"/>
  <c r="BF43" i="7"/>
  <c r="BN43" i="7"/>
  <c r="BV43" i="7"/>
  <c r="K43" i="7"/>
  <c r="S43" i="7"/>
  <c r="AA43" i="7"/>
  <c r="AI43" i="7"/>
  <c r="AQ43" i="7"/>
  <c r="AY43" i="7"/>
  <c r="BG43" i="7"/>
  <c r="BO43" i="7"/>
  <c r="BW43" i="7"/>
  <c r="CE43" i="7"/>
  <c r="L43" i="7"/>
  <c r="T43" i="7"/>
  <c r="AB43" i="7"/>
  <c r="AJ43" i="7"/>
  <c r="AR43" i="7"/>
  <c r="AZ43" i="7"/>
  <c r="BH43" i="7"/>
  <c r="BP43" i="7"/>
  <c r="BX43" i="7"/>
  <c r="AC43" i="7"/>
  <c r="AK43" i="7"/>
  <c r="AS43" i="7"/>
  <c r="BA43" i="7"/>
  <c r="BI43" i="7"/>
  <c r="E43" i="7"/>
  <c r="BQ43" i="7"/>
  <c r="M43" i="7"/>
  <c r="BY43" i="7"/>
  <c r="F19" i="7"/>
  <c r="N19" i="7"/>
  <c r="V19" i="7"/>
  <c r="AD19" i="7"/>
  <c r="AL19" i="7"/>
  <c r="AT19" i="7"/>
  <c r="BB19" i="7"/>
  <c r="BJ19" i="7"/>
  <c r="BR19" i="7"/>
  <c r="BZ19" i="7"/>
  <c r="H19" i="7"/>
  <c r="P19" i="7"/>
  <c r="X19" i="7"/>
  <c r="AF19" i="7"/>
  <c r="AN19" i="7"/>
  <c r="AV19" i="7"/>
  <c r="BD19" i="7"/>
  <c r="BL19" i="7"/>
  <c r="BT19" i="7"/>
  <c r="CB19" i="7"/>
  <c r="J19" i="7"/>
  <c r="R19" i="7"/>
  <c r="Z19" i="7"/>
  <c r="AH19" i="7"/>
  <c r="AP19" i="7"/>
  <c r="AX19" i="7"/>
  <c r="BF19" i="7"/>
  <c r="BN19" i="7"/>
  <c r="BV19" i="7"/>
  <c r="CD19" i="7"/>
  <c r="K19" i="7"/>
  <c r="S19" i="7"/>
  <c r="AA19" i="7"/>
  <c r="AI19" i="7"/>
  <c r="AQ19" i="7"/>
  <c r="AY19" i="7"/>
  <c r="BG19" i="7"/>
  <c r="BO19" i="7"/>
  <c r="BW19" i="7"/>
  <c r="CE19" i="7"/>
  <c r="L19" i="7"/>
  <c r="T19" i="7"/>
  <c r="AB19" i="7"/>
  <c r="AJ19" i="7"/>
  <c r="AR19" i="7"/>
  <c r="AZ19" i="7"/>
  <c r="BH19" i="7"/>
  <c r="BP19" i="7"/>
  <c r="BX19" i="7"/>
  <c r="U19" i="7"/>
  <c r="AO19" i="7"/>
  <c r="BK19" i="7"/>
  <c r="W19" i="7"/>
  <c r="AS19" i="7"/>
  <c r="BM19" i="7"/>
  <c r="E19" i="7"/>
  <c r="Y19" i="7"/>
  <c r="AU19" i="7"/>
  <c r="BQ19" i="7"/>
  <c r="I19" i="7"/>
  <c r="AE19" i="7"/>
  <c r="BA19" i="7"/>
  <c r="BU19" i="7"/>
  <c r="M19" i="7"/>
  <c r="AG19" i="7"/>
  <c r="BC19" i="7"/>
  <c r="BY19" i="7"/>
  <c r="G19" i="7"/>
  <c r="BI19" i="7"/>
  <c r="O19" i="7"/>
  <c r="BS19" i="7"/>
  <c r="Q19" i="7"/>
  <c r="CA19" i="7"/>
  <c r="AK19" i="7"/>
  <c r="AM19" i="7"/>
  <c r="AW19" i="7"/>
  <c r="BE19" i="7"/>
  <c r="CC19" i="7"/>
  <c r="I61" i="7"/>
  <c r="J61" i="7"/>
  <c r="K61" i="7"/>
  <c r="L61" i="7"/>
  <c r="E61" i="7"/>
  <c r="G61" i="7"/>
  <c r="I53" i="7"/>
  <c r="Q53" i="7"/>
  <c r="Y53" i="7"/>
  <c r="AG53" i="7"/>
  <c r="AO53" i="7"/>
  <c r="AW53" i="7"/>
  <c r="BE53" i="7"/>
  <c r="BM53" i="7"/>
  <c r="BU53" i="7"/>
  <c r="CC53" i="7"/>
  <c r="J53" i="7"/>
  <c r="R53" i="7"/>
  <c r="Z53" i="7"/>
  <c r="AH53" i="7"/>
  <c r="AP53" i="7"/>
  <c r="AX53" i="7"/>
  <c r="BF53" i="7"/>
  <c r="BN53" i="7"/>
  <c r="BV53" i="7"/>
  <c r="CD53" i="7"/>
  <c r="K53" i="7"/>
  <c r="S53" i="7"/>
  <c r="AA53" i="7"/>
  <c r="AI53" i="7"/>
  <c r="AQ53" i="7"/>
  <c r="AY53" i="7"/>
  <c r="BG53" i="7"/>
  <c r="BO53" i="7"/>
  <c r="BW53" i="7"/>
  <c r="CE53" i="7"/>
  <c r="L53" i="7"/>
  <c r="T53" i="7"/>
  <c r="AB53" i="7"/>
  <c r="AJ53" i="7"/>
  <c r="AR53" i="7"/>
  <c r="AZ53" i="7"/>
  <c r="BH53" i="7"/>
  <c r="BP53" i="7"/>
  <c r="BX53" i="7"/>
  <c r="E53" i="7"/>
  <c r="M53" i="7"/>
  <c r="U53" i="7"/>
  <c r="AC53" i="7"/>
  <c r="AK53" i="7"/>
  <c r="AS53" i="7"/>
  <c r="BA53" i="7"/>
  <c r="BI53" i="7"/>
  <c r="BQ53" i="7"/>
  <c r="BY53" i="7"/>
  <c r="F53" i="7"/>
  <c r="N53" i="7"/>
  <c r="V53" i="7"/>
  <c r="AD53" i="7"/>
  <c r="AL53" i="7"/>
  <c r="AT53" i="7"/>
  <c r="BB53" i="7"/>
  <c r="BJ53" i="7"/>
  <c r="BR53" i="7"/>
  <c r="BZ53" i="7"/>
  <c r="G53" i="7"/>
  <c r="O53" i="7"/>
  <c r="W53" i="7"/>
  <c r="AE53" i="7"/>
  <c r="AM53" i="7"/>
  <c r="AU53" i="7"/>
  <c r="BC53" i="7"/>
  <c r="BK53" i="7"/>
  <c r="BS53" i="7"/>
  <c r="CA53" i="7"/>
  <c r="D55" i="7"/>
  <c r="CA61" i="7"/>
  <c r="BS61" i="7"/>
  <c r="BK61" i="7"/>
  <c r="BC61" i="7"/>
  <c r="AU61" i="7"/>
  <c r="AM61" i="7"/>
  <c r="AE61" i="7"/>
  <c r="W61" i="7"/>
  <c r="O61" i="7"/>
  <c r="BQ60" i="7"/>
  <c r="AK60" i="7"/>
  <c r="AZ59" i="7"/>
  <c r="T59" i="7"/>
  <c r="BO58" i="7"/>
  <c r="E58" i="7"/>
  <c r="T57" i="7"/>
  <c r="AX55" i="7"/>
  <c r="BM54" i="7"/>
  <c r="CB53" i="7"/>
  <c r="P53" i="7"/>
  <c r="AE52" i="7"/>
  <c r="AN46" i="7"/>
  <c r="AD44" i="7"/>
  <c r="AC19" i="7"/>
  <c r="L56" i="7"/>
  <c r="T56" i="7"/>
  <c r="AB56" i="7"/>
  <c r="AJ56" i="7"/>
  <c r="AR56" i="7"/>
  <c r="AZ56" i="7"/>
  <c r="BH56" i="7"/>
  <c r="BP56" i="7"/>
  <c r="BX56" i="7"/>
  <c r="E56" i="7"/>
  <c r="M56" i="7"/>
  <c r="U56" i="7"/>
  <c r="AC56" i="7"/>
  <c r="AK56" i="7"/>
  <c r="AS56" i="7"/>
  <c r="BA56" i="7"/>
  <c r="BI56" i="7"/>
  <c r="BQ56" i="7"/>
  <c r="BY56" i="7"/>
  <c r="F56" i="7"/>
  <c r="N56" i="7"/>
  <c r="V56" i="7"/>
  <c r="AD56" i="7"/>
  <c r="AL56" i="7"/>
  <c r="AT56" i="7"/>
  <c r="BB56" i="7"/>
  <c r="BJ56" i="7"/>
  <c r="BR56" i="7"/>
  <c r="BZ56" i="7"/>
  <c r="G56" i="7"/>
  <c r="O56" i="7"/>
  <c r="W56" i="7"/>
  <c r="AE56" i="7"/>
  <c r="AM56" i="7"/>
  <c r="AU56" i="7"/>
  <c r="BC56" i="7"/>
  <c r="BK56" i="7"/>
  <c r="BS56" i="7"/>
  <c r="CA56" i="7"/>
  <c r="H56" i="7"/>
  <c r="P56" i="7"/>
  <c r="X56" i="7"/>
  <c r="AF56" i="7"/>
  <c r="AN56" i="7"/>
  <c r="AV56" i="7"/>
  <c r="BD56" i="7"/>
  <c r="BL56" i="7"/>
  <c r="BT56" i="7"/>
  <c r="CB56" i="7"/>
  <c r="I56" i="7"/>
  <c r="Q56" i="7"/>
  <c r="Y56" i="7"/>
  <c r="AG56" i="7"/>
  <c r="AO56" i="7"/>
  <c r="AW56" i="7"/>
  <c r="BE56" i="7"/>
  <c r="BM56" i="7"/>
  <c r="BU56" i="7"/>
  <c r="CC56" i="7"/>
  <c r="J56" i="7"/>
  <c r="R56" i="7"/>
  <c r="Z56" i="7"/>
  <c r="AH56" i="7"/>
  <c r="AP56" i="7"/>
  <c r="AX56" i="7"/>
  <c r="BF56" i="7"/>
  <c r="BN56" i="7"/>
  <c r="BV56" i="7"/>
  <c r="CD56" i="7"/>
  <c r="H60" i="7"/>
  <c r="P60" i="7"/>
  <c r="X60" i="7"/>
  <c r="AF60" i="7"/>
  <c r="AN60" i="7"/>
  <c r="AV60" i="7"/>
  <c r="BD60" i="7"/>
  <c r="BL60" i="7"/>
  <c r="BT60" i="7"/>
  <c r="CB60" i="7"/>
  <c r="I60" i="7"/>
  <c r="Q60" i="7"/>
  <c r="Y60" i="7"/>
  <c r="AG60" i="7"/>
  <c r="AO60" i="7"/>
  <c r="AW60" i="7"/>
  <c r="BE60" i="7"/>
  <c r="BM60" i="7"/>
  <c r="BU60" i="7"/>
  <c r="CC60" i="7"/>
  <c r="J60" i="7"/>
  <c r="R60" i="7"/>
  <c r="Z60" i="7"/>
  <c r="AH60" i="7"/>
  <c r="AP60" i="7"/>
  <c r="AX60" i="7"/>
  <c r="BF60" i="7"/>
  <c r="BN60" i="7"/>
  <c r="BV60" i="7"/>
  <c r="CD60" i="7"/>
  <c r="K60" i="7"/>
  <c r="S60" i="7"/>
  <c r="AA60" i="7"/>
  <c r="AI60" i="7"/>
  <c r="AQ60" i="7"/>
  <c r="AY60" i="7"/>
  <c r="BG60" i="7"/>
  <c r="BO60" i="7"/>
  <c r="BW60" i="7"/>
  <c r="CE60" i="7"/>
  <c r="L60" i="7"/>
  <c r="T60" i="7"/>
  <c r="AB60" i="7"/>
  <c r="AJ60" i="7"/>
  <c r="AR60" i="7"/>
  <c r="AZ60" i="7"/>
  <c r="BH60" i="7"/>
  <c r="BP60" i="7"/>
  <c r="BX60" i="7"/>
  <c r="F60" i="7"/>
  <c r="N60" i="7"/>
  <c r="V60" i="7"/>
  <c r="AD60" i="7"/>
  <c r="AL60" i="7"/>
  <c r="AT60" i="7"/>
  <c r="BB60" i="7"/>
  <c r="BJ60" i="7"/>
  <c r="BR60" i="7"/>
  <c r="BZ60" i="7"/>
  <c r="F50" i="7"/>
  <c r="N50" i="7"/>
  <c r="V50" i="7"/>
  <c r="AD50" i="7"/>
  <c r="AL50" i="7"/>
  <c r="AT50" i="7"/>
  <c r="BB50" i="7"/>
  <c r="BJ50" i="7"/>
  <c r="BR50" i="7"/>
  <c r="BZ50" i="7"/>
  <c r="G50" i="7"/>
  <c r="O50" i="7"/>
  <c r="W50" i="7"/>
  <c r="AE50" i="7"/>
  <c r="AM50" i="7"/>
  <c r="AU50" i="7"/>
  <c r="BC50" i="7"/>
  <c r="BK50" i="7"/>
  <c r="BS50" i="7"/>
  <c r="CA50" i="7"/>
  <c r="H50" i="7"/>
  <c r="P50" i="7"/>
  <c r="X50" i="7"/>
  <c r="AF50" i="7"/>
  <c r="AN50" i="7"/>
  <c r="AV50" i="7"/>
  <c r="BD50" i="7"/>
  <c r="BL50" i="7"/>
  <c r="BT50" i="7"/>
  <c r="CB50" i="7"/>
  <c r="I50" i="7"/>
  <c r="Q50" i="7"/>
  <c r="Y50" i="7"/>
  <c r="AG50" i="7"/>
  <c r="AO50" i="7"/>
  <c r="AW50" i="7"/>
  <c r="BE50" i="7"/>
  <c r="BM50" i="7"/>
  <c r="BU50" i="7"/>
  <c r="CC50" i="7"/>
  <c r="J50" i="7"/>
  <c r="R50" i="7"/>
  <c r="Z50" i="7"/>
  <c r="AH50" i="7"/>
  <c r="AP50" i="7"/>
  <c r="AX50" i="7"/>
  <c r="BF50" i="7"/>
  <c r="BN50" i="7"/>
  <c r="BV50" i="7"/>
  <c r="CD50" i="7"/>
  <c r="K50" i="7"/>
  <c r="S50" i="7"/>
  <c r="AA50" i="7"/>
  <c r="AI50" i="7"/>
  <c r="AQ50" i="7"/>
  <c r="AY50" i="7"/>
  <c r="BG50" i="7"/>
  <c r="BO50" i="7"/>
  <c r="BW50" i="7"/>
  <c r="CE50" i="7"/>
  <c r="L50" i="7"/>
  <c r="T50" i="7"/>
  <c r="AB50" i="7"/>
  <c r="AJ50" i="7"/>
  <c r="AR50" i="7"/>
  <c r="AZ50" i="7"/>
  <c r="BH50" i="7"/>
  <c r="BP50" i="7"/>
  <c r="BX50" i="7"/>
  <c r="D54" i="7"/>
  <c r="D46" i="7"/>
  <c r="BZ61" i="7"/>
  <c r="BR61" i="7"/>
  <c r="BJ61" i="7"/>
  <c r="BB61" i="7"/>
  <c r="AT61" i="7"/>
  <c r="AL61" i="7"/>
  <c r="AD61" i="7"/>
  <c r="V61" i="7"/>
  <c r="N61" i="7"/>
  <c r="BK60" i="7"/>
  <c r="AE60" i="7"/>
  <c r="BZ59" i="7"/>
  <c r="AT59" i="7"/>
  <c r="BI58" i="7"/>
  <c r="BX57" i="7"/>
  <c r="L57" i="7"/>
  <c r="AA56" i="7"/>
  <c r="AP55" i="7"/>
  <c r="BE54" i="7"/>
  <c r="BT53" i="7"/>
  <c r="H53" i="7"/>
  <c r="W52" i="7"/>
  <c r="BA50" i="7"/>
  <c r="U46" i="7"/>
  <c r="CD43" i="7"/>
  <c r="F5" i="7"/>
  <c r="N5" i="7"/>
  <c r="V5" i="7"/>
  <c r="AD5" i="7"/>
  <c r="AL5" i="7"/>
  <c r="AT5" i="7"/>
  <c r="BB5" i="7"/>
  <c r="BJ5" i="7"/>
  <c r="BR5" i="7"/>
  <c r="BZ5" i="7"/>
  <c r="H5" i="7"/>
  <c r="P5" i="7"/>
  <c r="X5" i="7"/>
  <c r="AF5" i="7"/>
  <c r="AN5" i="7"/>
  <c r="AV5" i="7"/>
  <c r="BD5" i="7"/>
  <c r="BL5" i="7"/>
  <c r="BT5" i="7"/>
  <c r="CB5" i="7"/>
  <c r="I5" i="7"/>
  <c r="Q5" i="7"/>
  <c r="Y5" i="7"/>
  <c r="AG5" i="7"/>
  <c r="AO5" i="7"/>
  <c r="AW5" i="7"/>
  <c r="BE5" i="7"/>
  <c r="BM5" i="7"/>
  <c r="BU5" i="7"/>
  <c r="CC5" i="7"/>
  <c r="J5" i="7"/>
  <c r="R5" i="7"/>
  <c r="Z5" i="7"/>
  <c r="AH5" i="7"/>
  <c r="AP5" i="7"/>
  <c r="AX5" i="7"/>
  <c r="BF5" i="7"/>
  <c r="BN5" i="7"/>
  <c r="BV5" i="7"/>
  <c r="CD5" i="7"/>
  <c r="K5" i="7"/>
  <c r="S5" i="7"/>
  <c r="AA5" i="7"/>
  <c r="AI5" i="7"/>
  <c r="AQ5" i="7"/>
  <c r="AY5" i="7"/>
  <c r="BG5" i="7"/>
  <c r="BO5" i="7"/>
  <c r="BW5" i="7"/>
  <c r="CE5" i="7"/>
  <c r="U5" i="7"/>
  <c r="AR5" i="7"/>
  <c r="BK5" i="7"/>
  <c r="W5" i="7"/>
  <c r="AS5" i="7"/>
  <c r="BP5" i="7"/>
  <c r="E5" i="7"/>
  <c r="AB5" i="7"/>
  <c r="AU5" i="7"/>
  <c r="BQ5" i="7"/>
  <c r="G5" i="7"/>
  <c r="AC5" i="7"/>
  <c r="AZ5" i="7"/>
  <c r="BS5" i="7"/>
  <c r="L5" i="7"/>
  <c r="AE5" i="7"/>
  <c r="BA5" i="7"/>
  <c r="BX5" i="7"/>
  <c r="M5" i="7"/>
  <c r="AJ5" i="7"/>
  <c r="BC5" i="7"/>
  <c r="BY5" i="7"/>
  <c r="O5" i="7"/>
  <c r="AK5" i="7"/>
  <c r="BH5" i="7"/>
  <c r="CA5" i="7"/>
  <c r="T5" i="7"/>
  <c r="AM5" i="7"/>
  <c r="BI5" i="7"/>
  <c r="G38" i="7"/>
  <c r="O38" i="7"/>
  <c r="W38" i="7"/>
  <c r="AE38" i="7"/>
  <c r="AM38" i="7"/>
  <c r="AU38" i="7"/>
  <c r="BC38" i="7"/>
  <c r="BK38" i="7"/>
  <c r="BS38" i="7"/>
  <c r="CA38" i="7"/>
  <c r="H38" i="7"/>
  <c r="P38" i="7"/>
  <c r="X38" i="7"/>
  <c r="AF38" i="7"/>
  <c r="AN38" i="7"/>
  <c r="AV38" i="7"/>
  <c r="BD38" i="7"/>
  <c r="BL38" i="7"/>
  <c r="BT38" i="7"/>
  <c r="CB38" i="7"/>
  <c r="I38" i="7"/>
  <c r="Q38" i="7"/>
  <c r="Y38" i="7"/>
  <c r="AG38" i="7"/>
  <c r="AO38" i="7"/>
  <c r="AW38" i="7"/>
  <c r="BE38" i="7"/>
  <c r="BM38" i="7"/>
  <c r="BU38" i="7"/>
  <c r="CC38" i="7"/>
  <c r="J38" i="7"/>
  <c r="R38" i="7"/>
  <c r="Z38" i="7"/>
  <c r="AH38" i="7"/>
  <c r="AP38" i="7"/>
  <c r="AX38" i="7"/>
  <c r="BF38" i="7"/>
  <c r="BN38" i="7"/>
  <c r="BV38" i="7"/>
  <c r="CD38" i="7"/>
  <c r="K38" i="7"/>
  <c r="S38" i="7"/>
  <c r="AA38" i="7"/>
  <c r="AI38" i="7"/>
  <c r="AQ38" i="7"/>
  <c r="AY38" i="7"/>
  <c r="BG38" i="7"/>
  <c r="BO38" i="7"/>
  <c r="BW38" i="7"/>
  <c r="CE38" i="7"/>
  <c r="L38" i="7"/>
  <c r="T38" i="7"/>
  <c r="AB38" i="7"/>
  <c r="AJ38" i="7"/>
  <c r="AR38" i="7"/>
  <c r="AZ38" i="7"/>
  <c r="BH38" i="7"/>
  <c r="BP38" i="7"/>
  <c r="BX38" i="7"/>
  <c r="E38" i="7"/>
  <c r="M38" i="7"/>
  <c r="U38" i="7"/>
  <c r="AC38" i="7"/>
  <c r="AK38" i="7"/>
  <c r="AS38" i="7"/>
  <c r="BA38" i="7"/>
  <c r="BI38" i="7"/>
  <c r="BQ38" i="7"/>
  <c r="BY38" i="7"/>
  <c r="F38" i="7"/>
  <c r="BR38" i="7"/>
  <c r="N38" i="7"/>
  <c r="BZ38" i="7"/>
  <c r="V38" i="7"/>
  <c r="AD38" i="7"/>
  <c r="AL38" i="7"/>
  <c r="AT38" i="7"/>
  <c r="BB38" i="7"/>
  <c r="L17" i="7"/>
  <c r="T17" i="7"/>
  <c r="AB17" i="7"/>
  <c r="AJ17" i="7"/>
  <c r="AR17" i="7"/>
  <c r="AZ17" i="7"/>
  <c r="BH17" i="7"/>
  <c r="BP17" i="7"/>
  <c r="BX17" i="7"/>
  <c r="F17" i="7"/>
  <c r="N17" i="7"/>
  <c r="V17" i="7"/>
  <c r="AD17" i="7"/>
  <c r="AL17" i="7"/>
  <c r="AT17" i="7"/>
  <c r="BB17" i="7"/>
  <c r="BJ17" i="7"/>
  <c r="BR17" i="7"/>
  <c r="BZ17" i="7"/>
  <c r="H17" i="7"/>
  <c r="P17" i="7"/>
  <c r="X17" i="7"/>
  <c r="AF17" i="7"/>
  <c r="AN17" i="7"/>
  <c r="AV17" i="7"/>
  <c r="BD17" i="7"/>
  <c r="BL17" i="7"/>
  <c r="BT17" i="7"/>
  <c r="CB17" i="7"/>
  <c r="I17" i="7"/>
  <c r="Q17" i="7"/>
  <c r="Y17" i="7"/>
  <c r="AG17" i="7"/>
  <c r="AO17" i="7"/>
  <c r="AW17" i="7"/>
  <c r="BE17" i="7"/>
  <c r="BM17" i="7"/>
  <c r="BU17" i="7"/>
  <c r="CC17" i="7"/>
  <c r="J17" i="7"/>
  <c r="R17" i="7"/>
  <c r="Z17" i="7"/>
  <c r="AH17" i="7"/>
  <c r="AP17" i="7"/>
  <c r="AX17" i="7"/>
  <c r="BF17" i="7"/>
  <c r="BN17" i="7"/>
  <c r="BV17" i="7"/>
  <c r="CD17" i="7"/>
  <c r="G17" i="7"/>
  <c r="AC17" i="7"/>
  <c r="AY17" i="7"/>
  <c r="BS17" i="7"/>
  <c r="K17" i="7"/>
  <c r="AE17" i="7"/>
  <c r="BA17" i="7"/>
  <c r="BW17" i="7"/>
  <c r="M17" i="7"/>
  <c r="AI17" i="7"/>
  <c r="BC17" i="7"/>
  <c r="BY17" i="7"/>
  <c r="S17" i="7"/>
  <c r="AM17" i="7"/>
  <c r="BI17" i="7"/>
  <c r="CE17" i="7"/>
  <c r="U17" i="7"/>
  <c r="AQ17" i="7"/>
  <c r="BK17" i="7"/>
  <c r="AU17" i="7"/>
  <c r="BG17" i="7"/>
  <c r="E17" i="7"/>
  <c r="BO17" i="7"/>
  <c r="W17" i="7"/>
  <c r="CA17" i="7"/>
  <c r="AA17" i="7"/>
  <c r="AS17" i="7"/>
  <c r="BQ17" i="7"/>
  <c r="O17" i="7"/>
  <c r="AK17" i="7"/>
  <c r="G59" i="7"/>
  <c r="O59" i="7"/>
  <c r="W59" i="7"/>
  <c r="AE59" i="7"/>
  <c r="AM59" i="7"/>
  <c r="AU59" i="7"/>
  <c r="BC59" i="7"/>
  <c r="BK59" i="7"/>
  <c r="BS59" i="7"/>
  <c r="CA59" i="7"/>
  <c r="H59" i="7"/>
  <c r="P59" i="7"/>
  <c r="X59" i="7"/>
  <c r="AF59" i="7"/>
  <c r="AN59" i="7"/>
  <c r="AV59" i="7"/>
  <c r="BD59" i="7"/>
  <c r="BL59" i="7"/>
  <c r="BT59" i="7"/>
  <c r="CB59" i="7"/>
  <c r="I59" i="7"/>
  <c r="Q59" i="7"/>
  <c r="Y59" i="7"/>
  <c r="AG59" i="7"/>
  <c r="AO59" i="7"/>
  <c r="AW59" i="7"/>
  <c r="BE59" i="7"/>
  <c r="BM59" i="7"/>
  <c r="BU59" i="7"/>
  <c r="CC59" i="7"/>
  <c r="J59" i="7"/>
  <c r="R59" i="7"/>
  <c r="Z59" i="7"/>
  <c r="AH59" i="7"/>
  <c r="AP59" i="7"/>
  <c r="AX59" i="7"/>
  <c r="BF59" i="7"/>
  <c r="BN59" i="7"/>
  <c r="BV59" i="7"/>
  <c r="CD59" i="7"/>
  <c r="K59" i="7"/>
  <c r="S59" i="7"/>
  <c r="AA59" i="7"/>
  <c r="AI59" i="7"/>
  <c r="AQ59" i="7"/>
  <c r="AY59" i="7"/>
  <c r="BG59" i="7"/>
  <c r="BO59" i="7"/>
  <c r="BW59" i="7"/>
  <c r="CE59" i="7"/>
  <c r="E59" i="7"/>
  <c r="M59" i="7"/>
  <c r="U59" i="7"/>
  <c r="AC59" i="7"/>
  <c r="AK59" i="7"/>
  <c r="AS59" i="7"/>
  <c r="BA59" i="7"/>
  <c r="BI59" i="7"/>
  <c r="BQ59" i="7"/>
  <c r="BY59" i="7"/>
  <c r="E18" i="7"/>
  <c r="M18" i="7"/>
  <c r="U18" i="7"/>
  <c r="AC18" i="7"/>
  <c r="AK18" i="7"/>
  <c r="AS18" i="7"/>
  <c r="BA18" i="7"/>
  <c r="BI18" i="7"/>
  <c r="BQ18" i="7"/>
  <c r="BY18" i="7"/>
  <c r="G18" i="7"/>
  <c r="O18" i="7"/>
  <c r="W18" i="7"/>
  <c r="AE18" i="7"/>
  <c r="AM18" i="7"/>
  <c r="AU18" i="7"/>
  <c r="BC18" i="7"/>
  <c r="BK18" i="7"/>
  <c r="BS18" i="7"/>
  <c r="CA18" i="7"/>
  <c r="I18" i="7"/>
  <c r="Q18" i="7"/>
  <c r="Y18" i="7"/>
  <c r="AG18" i="7"/>
  <c r="AO18" i="7"/>
  <c r="AW18" i="7"/>
  <c r="BE18" i="7"/>
  <c r="BM18" i="7"/>
  <c r="BU18" i="7"/>
  <c r="CC18" i="7"/>
  <c r="J18" i="7"/>
  <c r="R18" i="7"/>
  <c r="Z18" i="7"/>
  <c r="AH18" i="7"/>
  <c r="AP18" i="7"/>
  <c r="AX18" i="7"/>
  <c r="BF18" i="7"/>
  <c r="BN18" i="7"/>
  <c r="BV18" i="7"/>
  <c r="CD18" i="7"/>
  <c r="K18" i="7"/>
  <c r="S18" i="7"/>
  <c r="AA18" i="7"/>
  <c r="AI18" i="7"/>
  <c r="AQ18" i="7"/>
  <c r="AY18" i="7"/>
  <c r="BG18" i="7"/>
  <c r="BO18" i="7"/>
  <c r="BW18" i="7"/>
  <c r="CE18" i="7"/>
  <c r="N18" i="7"/>
  <c r="AJ18" i="7"/>
  <c r="BD18" i="7"/>
  <c r="BZ18" i="7"/>
  <c r="P18" i="7"/>
  <c r="AL18" i="7"/>
  <c r="BH18" i="7"/>
  <c r="CB18" i="7"/>
  <c r="T18" i="7"/>
  <c r="AN18" i="7"/>
  <c r="BJ18" i="7"/>
  <c r="X18" i="7"/>
  <c r="AT18" i="7"/>
  <c r="BP18" i="7"/>
  <c r="F18" i="7"/>
  <c r="AB18" i="7"/>
  <c r="AV18" i="7"/>
  <c r="BR18" i="7"/>
  <c r="AD18" i="7"/>
  <c r="AF18" i="7"/>
  <c r="AR18" i="7"/>
  <c r="BB18" i="7"/>
  <c r="H18" i="7"/>
  <c r="BL18" i="7"/>
  <c r="L18" i="7"/>
  <c r="V18" i="7"/>
  <c r="AZ18" i="7"/>
  <c r="BT18" i="7"/>
  <c r="BX18" i="7"/>
  <c r="D61" i="7"/>
  <c r="D53" i="7"/>
  <c r="D28" i="7"/>
  <c r="D20" i="7"/>
  <c r="BY61" i="7"/>
  <c r="BQ61" i="7"/>
  <c r="BI61" i="7"/>
  <c r="BA61" i="7"/>
  <c r="AS61" i="7"/>
  <c r="AK61" i="7"/>
  <c r="AC61" i="7"/>
  <c r="U61" i="7"/>
  <c r="M61" i="7"/>
  <c r="BI60" i="7"/>
  <c r="AC60" i="7"/>
  <c r="BX59" i="7"/>
  <c r="AR59" i="7"/>
  <c r="L59" i="7"/>
  <c r="BP57" i="7"/>
  <c r="CE56" i="7"/>
  <c r="S56" i="7"/>
  <c r="AH55" i="7"/>
  <c r="AW54" i="7"/>
  <c r="BL53" i="7"/>
  <c r="CA52" i="7"/>
  <c r="O52" i="7"/>
  <c r="AS50" i="7"/>
  <c r="U43" i="7"/>
  <c r="BG56" i="7"/>
  <c r="E36" i="7"/>
  <c r="M36" i="7"/>
  <c r="U36" i="7"/>
  <c r="AC36" i="7"/>
  <c r="AK36" i="7"/>
  <c r="AS36" i="7"/>
  <c r="BA36" i="7"/>
  <c r="BI36" i="7"/>
  <c r="BQ36" i="7"/>
  <c r="BY36" i="7"/>
  <c r="F36" i="7"/>
  <c r="N36" i="7"/>
  <c r="V36" i="7"/>
  <c r="AD36" i="7"/>
  <c r="AL36" i="7"/>
  <c r="AT36" i="7"/>
  <c r="BB36" i="7"/>
  <c r="BJ36" i="7"/>
  <c r="BR36" i="7"/>
  <c r="BZ36" i="7"/>
  <c r="G36" i="7"/>
  <c r="O36" i="7"/>
  <c r="W36" i="7"/>
  <c r="AE36" i="7"/>
  <c r="AM36" i="7"/>
  <c r="AU36" i="7"/>
  <c r="BC36" i="7"/>
  <c r="BK36" i="7"/>
  <c r="BS36" i="7"/>
  <c r="CA36" i="7"/>
  <c r="H36" i="7"/>
  <c r="P36" i="7"/>
  <c r="X36" i="7"/>
  <c r="AF36" i="7"/>
  <c r="AN36" i="7"/>
  <c r="AV36" i="7"/>
  <c r="BD36" i="7"/>
  <c r="BL36" i="7"/>
  <c r="BT36" i="7"/>
  <c r="CB36" i="7"/>
  <c r="I36" i="7"/>
  <c r="Q36" i="7"/>
  <c r="Y36" i="7"/>
  <c r="AG36" i="7"/>
  <c r="AO36" i="7"/>
  <c r="AW36" i="7"/>
  <c r="BE36" i="7"/>
  <c r="BM36" i="7"/>
  <c r="BU36" i="7"/>
  <c r="CC36" i="7"/>
  <c r="J36" i="7"/>
  <c r="R36" i="7"/>
  <c r="Z36" i="7"/>
  <c r="AH36" i="7"/>
  <c r="AP36" i="7"/>
  <c r="AX36" i="7"/>
  <c r="BF36" i="7"/>
  <c r="BN36" i="7"/>
  <c r="BV36" i="7"/>
  <c r="CD36" i="7"/>
  <c r="K36" i="7"/>
  <c r="S36" i="7"/>
  <c r="AA36" i="7"/>
  <c r="AI36" i="7"/>
  <c r="AQ36" i="7"/>
  <c r="AY36" i="7"/>
  <c r="BG36" i="7"/>
  <c r="BO36" i="7"/>
  <c r="BW36" i="7"/>
  <c r="CE36" i="7"/>
  <c r="AJ36" i="7"/>
  <c r="AR36" i="7"/>
  <c r="AZ36" i="7"/>
  <c r="BH36" i="7"/>
  <c r="BP36" i="7"/>
  <c r="L36" i="7"/>
  <c r="BX36" i="7"/>
  <c r="T36" i="7"/>
  <c r="J14" i="7"/>
  <c r="R14" i="7"/>
  <c r="Z14" i="7"/>
  <c r="AH14" i="7"/>
  <c r="AP14" i="7"/>
  <c r="AX14" i="7"/>
  <c r="BF14" i="7"/>
  <c r="BN14" i="7"/>
  <c r="BV14" i="7"/>
  <c r="CD14" i="7"/>
  <c r="L14" i="7"/>
  <c r="T14" i="7"/>
  <c r="AB14" i="7"/>
  <c r="AJ14" i="7"/>
  <c r="AR14" i="7"/>
  <c r="AZ14" i="7"/>
  <c r="BH14" i="7"/>
  <c r="BP14" i="7"/>
  <c r="BX14" i="7"/>
  <c r="E14" i="7"/>
  <c r="M14" i="7"/>
  <c r="U14" i="7"/>
  <c r="AC14" i="7"/>
  <c r="AK14" i="7"/>
  <c r="AS14" i="7"/>
  <c r="BA14" i="7"/>
  <c r="BI14" i="7"/>
  <c r="BQ14" i="7"/>
  <c r="BY14" i="7"/>
  <c r="G14" i="7"/>
  <c r="O14" i="7"/>
  <c r="W14" i="7"/>
  <c r="AE14" i="7"/>
  <c r="AM14" i="7"/>
  <c r="AU14" i="7"/>
  <c r="BC14" i="7"/>
  <c r="BK14" i="7"/>
  <c r="BS14" i="7"/>
  <c r="CA14" i="7"/>
  <c r="H14" i="7"/>
  <c r="P14" i="7"/>
  <c r="X14" i="7"/>
  <c r="AF14" i="7"/>
  <c r="AN14" i="7"/>
  <c r="AV14" i="7"/>
  <c r="BD14" i="7"/>
  <c r="BL14" i="7"/>
  <c r="BT14" i="7"/>
  <c r="CB14" i="7"/>
  <c r="S14" i="7"/>
  <c r="AO14" i="7"/>
  <c r="BJ14" i="7"/>
  <c r="CE14" i="7"/>
  <c r="Y14" i="7"/>
  <c r="AT14" i="7"/>
  <c r="BO14" i="7"/>
  <c r="I14" i="7"/>
  <c r="AD14" i="7"/>
  <c r="AY14" i="7"/>
  <c r="BU14" i="7"/>
  <c r="K14" i="7"/>
  <c r="AG14" i="7"/>
  <c r="BB14" i="7"/>
  <c r="BW14" i="7"/>
  <c r="N14" i="7"/>
  <c r="AI14" i="7"/>
  <c r="BE14" i="7"/>
  <c r="BZ14" i="7"/>
  <c r="AL14" i="7"/>
  <c r="AQ14" i="7"/>
  <c r="AW14" i="7"/>
  <c r="F14" i="7"/>
  <c r="BM14" i="7"/>
  <c r="Q14" i="7"/>
  <c r="BR14" i="7"/>
  <c r="V14" i="7"/>
  <c r="AA14" i="7"/>
  <c r="BG14" i="7"/>
  <c r="CC14" i="7"/>
  <c r="F58" i="7"/>
  <c r="N58" i="7"/>
  <c r="V58" i="7"/>
  <c r="AD58" i="7"/>
  <c r="AL58" i="7"/>
  <c r="AT58" i="7"/>
  <c r="BB58" i="7"/>
  <c r="BJ58" i="7"/>
  <c r="BR58" i="7"/>
  <c r="BZ58" i="7"/>
  <c r="G58" i="7"/>
  <c r="O58" i="7"/>
  <c r="W58" i="7"/>
  <c r="AE58" i="7"/>
  <c r="AM58" i="7"/>
  <c r="AU58" i="7"/>
  <c r="BC58" i="7"/>
  <c r="BK58" i="7"/>
  <c r="BS58" i="7"/>
  <c r="CA58" i="7"/>
  <c r="H58" i="7"/>
  <c r="P58" i="7"/>
  <c r="X58" i="7"/>
  <c r="AF58" i="7"/>
  <c r="AN58" i="7"/>
  <c r="AV58" i="7"/>
  <c r="BD58" i="7"/>
  <c r="BL58" i="7"/>
  <c r="BT58" i="7"/>
  <c r="CB58" i="7"/>
  <c r="I58" i="7"/>
  <c r="Q58" i="7"/>
  <c r="Y58" i="7"/>
  <c r="AG58" i="7"/>
  <c r="AO58" i="7"/>
  <c r="AW58" i="7"/>
  <c r="BE58" i="7"/>
  <c r="BM58" i="7"/>
  <c r="BU58" i="7"/>
  <c r="CC58" i="7"/>
  <c r="J58" i="7"/>
  <c r="R58" i="7"/>
  <c r="Z58" i="7"/>
  <c r="AH58" i="7"/>
  <c r="AP58" i="7"/>
  <c r="AX58" i="7"/>
  <c r="BF58" i="7"/>
  <c r="BN58" i="7"/>
  <c r="BV58" i="7"/>
  <c r="CD58" i="7"/>
  <c r="K58" i="7"/>
  <c r="S58" i="7"/>
  <c r="AA58" i="7"/>
  <c r="AI58" i="7"/>
  <c r="AQ58" i="7"/>
  <c r="AY58" i="7"/>
  <c r="BG58" i="7"/>
  <c r="L58" i="7"/>
  <c r="T58" i="7"/>
  <c r="AB58" i="7"/>
  <c r="AJ58" i="7"/>
  <c r="AR58" i="7"/>
  <c r="AZ58" i="7"/>
  <c r="BH58" i="7"/>
  <c r="BP58" i="7"/>
  <c r="BX58" i="7"/>
  <c r="K10" i="7"/>
  <c r="S10" i="7"/>
  <c r="AA10" i="7"/>
  <c r="AI10" i="7"/>
  <c r="AQ10" i="7"/>
  <c r="E10" i="7"/>
  <c r="M10" i="7"/>
  <c r="U10" i="7"/>
  <c r="AC10" i="7"/>
  <c r="AK10" i="7"/>
  <c r="AS10" i="7"/>
  <c r="G10" i="7"/>
  <c r="O10" i="7"/>
  <c r="W10" i="7"/>
  <c r="AE10" i="7"/>
  <c r="AM10" i="7"/>
  <c r="AU10" i="7"/>
  <c r="H10" i="7"/>
  <c r="P10" i="7"/>
  <c r="X10" i="7"/>
  <c r="AF10" i="7"/>
  <c r="AN10" i="7"/>
  <c r="AV10" i="7"/>
  <c r="J10" i="7"/>
  <c r="Z10" i="7"/>
  <c r="AP10" i="7"/>
  <c r="BB10" i="7"/>
  <c r="BJ10" i="7"/>
  <c r="BR10" i="7"/>
  <c r="BZ10" i="7"/>
  <c r="N10" i="7"/>
  <c r="AD10" i="7"/>
  <c r="AT10" i="7"/>
  <c r="BD10" i="7"/>
  <c r="BL10" i="7"/>
  <c r="BT10" i="7"/>
  <c r="CB10" i="7"/>
  <c r="Q10" i="7"/>
  <c r="AG10" i="7"/>
  <c r="AW10" i="7"/>
  <c r="BE10" i="7"/>
  <c r="BM10" i="7"/>
  <c r="BU10" i="7"/>
  <c r="CC10" i="7"/>
  <c r="T10" i="7"/>
  <c r="AJ10" i="7"/>
  <c r="AY10" i="7"/>
  <c r="BG10" i="7"/>
  <c r="BO10" i="7"/>
  <c r="BW10" i="7"/>
  <c r="CE10" i="7"/>
  <c r="F10" i="7"/>
  <c r="V10" i="7"/>
  <c r="AL10" i="7"/>
  <c r="AZ10" i="7"/>
  <c r="BH10" i="7"/>
  <c r="BP10" i="7"/>
  <c r="BX10" i="7"/>
  <c r="Y10" i="7"/>
  <c r="BF10" i="7"/>
  <c r="CA10" i="7"/>
  <c r="AH10" i="7"/>
  <c r="BK10" i="7"/>
  <c r="AR10" i="7"/>
  <c r="BQ10" i="7"/>
  <c r="I10" i="7"/>
  <c r="AX10" i="7"/>
  <c r="BS10" i="7"/>
  <c r="L10" i="7"/>
  <c r="BA10" i="7"/>
  <c r="BV10" i="7"/>
  <c r="BN10" i="7"/>
  <c r="BY10" i="7"/>
  <c r="CD10" i="7"/>
  <c r="AB10" i="7"/>
  <c r="AO10" i="7"/>
  <c r="R10" i="7"/>
  <c r="BC10" i="7"/>
  <c r="BI10" i="7"/>
  <c r="D60" i="7"/>
  <c r="D52" i="7"/>
  <c r="D44" i="7"/>
  <c r="D19" i="7"/>
  <c r="D3" i="7"/>
  <c r="BX61" i="7"/>
  <c r="BP61" i="7"/>
  <c r="BH61" i="7"/>
  <c r="AZ61" i="7"/>
  <c r="AR61" i="7"/>
  <c r="AJ61" i="7"/>
  <c r="AB61" i="7"/>
  <c r="T61" i="7"/>
  <c r="H61" i="7"/>
  <c r="BC60" i="7"/>
  <c r="W60" i="7"/>
  <c r="BR59" i="7"/>
  <c r="AL59" i="7"/>
  <c r="F59" i="7"/>
  <c r="AS58" i="7"/>
  <c r="BW56" i="7"/>
  <c r="K56" i="7"/>
  <c r="Z55" i="7"/>
  <c r="AO54" i="7"/>
  <c r="BD53" i="7"/>
  <c r="BS52" i="7"/>
  <c r="G52" i="7"/>
  <c r="AK50" i="7"/>
  <c r="I2" i="7"/>
  <c r="Q2" i="7"/>
  <c r="Y2" i="7"/>
  <c r="AG2" i="7"/>
  <c r="AO2" i="7"/>
  <c r="AW2" i="7"/>
  <c r="BE2" i="7"/>
  <c r="BM2" i="7"/>
  <c r="BU2" i="7"/>
  <c r="CC2" i="7"/>
  <c r="J2" i="7"/>
  <c r="K2" i="7"/>
  <c r="S2" i="7"/>
  <c r="AA2" i="7"/>
  <c r="AI2" i="7"/>
  <c r="AQ2" i="7"/>
  <c r="AY2" i="7"/>
  <c r="BG2" i="7"/>
  <c r="BO2" i="7"/>
  <c r="BW2" i="7"/>
  <c r="CE2" i="7"/>
  <c r="E2" i="7"/>
  <c r="M2" i="7"/>
  <c r="U2" i="7"/>
  <c r="AC2" i="7"/>
  <c r="AK2" i="7"/>
  <c r="AS2" i="7"/>
  <c r="BA2" i="7"/>
  <c r="BI2" i="7"/>
  <c r="BQ2" i="7"/>
  <c r="BY2" i="7"/>
  <c r="F2" i="7"/>
  <c r="N2" i="7"/>
  <c r="V2" i="7"/>
  <c r="AD2" i="7"/>
  <c r="AL2" i="7"/>
  <c r="AT2" i="7"/>
  <c r="BB2" i="7"/>
  <c r="BJ2" i="7"/>
  <c r="BR2" i="7"/>
  <c r="BZ2" i="7"/>
  <c r="G2" i="7"/>
  <c r="O2" i="7"/>
  <c r="W2" i="7"/>
  <c r="AE2" i="7"/>
  <c r="AM2" i="7"/>
  <c r="AU2" i="7"/>
  <c r="BC2" i="7"/>
  <c r="BK2" i="7"/>
  <c r="BS2" i="7"/>
  <c r="CA2" i="7"/>
  <c r="H2" i="7"/>
  <c r="P2" i="7"/>
  <c r="X2" i="7"/>
  <c r="AF2" i="7"/>
  <c r="AN2" i="7"/>
  <c r="AV2" i="7"/>
  <c r="BD2" i="7"/>
  <c r="BL2" i="7"/>
  <c r="BT2" i="7"/>
  <c r="CB2" i="7"/>
  <c r="AB2" i="7"/>
  <c r="BH2" i="7"/>
  <c r="AH2" i="7"/>
  <c r="BN2" i="7"/>
  <c r="AJ2" i="7"/>
  <c r="BP2" i="7"/>
  <c r="AP2" i="7"/>
  <c r="BV2" i="7"/>
  <c r="L2" i="7"/>
  <c r="AR2" i="7"/>
  <c r="BX2" i="7"/>
  <c r="R2" i="7"/>
  <c r="AX2" i="7"/>
  <c r="CD2" i="7"/>
  <c r="T2" i="7"/>
  <c r="AZ2" i="7"/>
  <c r="Z2" i="7"/>
  <c r="BF2" i="7"/>
  <c r="J29" i="7"/>
  <c r="R29" i="7"/>
  <c r="Z29" i="7"/>
  <c r="AH29" i="7"/>
  <c r="AP29" i="7"/>
  <c r="AX29" i="7"/>
  <c r="BF29" i="7"/>
  <c r="BN29" i="7"/>
  <c r="BV29" i="7"/>
  <c r="CD29" i="7"/>
  <c r="K29" i="7"/>
  <c r="S29" i="7"/>
  <c r="AA29" i="7"/>
  <c r="AI29" i="7"/>
  <c r="AQ29" i="7"/>
  <c r="AY29" i="7"/>
  <c r="BG29" i="7"/>
  <c r="BO29" i="7"/>
  <c r="BW29" i="7"/>
  <c r="CE29" i="7"/>
  <c r="L29" i="7"/>
  <c r="T29" i="7"/>
  <c r="AB29" i="7"/>
  <c r="AJ29" i="7"/>
  <c r="AR29" i="7"/>
  <c r="AZ29" i="7"/>
  <c r="BH29" i="7"/>
  <c r="BP29" i="7"/>
  <c r="BX29" i="7"/>
  <c r="F29" i="7"/>
  <c r="N29" i="7"/>
  <c r="V29" i="7"/>
  <c r="AD29" i="7"/>
  <c r="AL29" i="7"/>
  <c r="AT29" i="7"/>
  <c r="BB29" i="7"/>
  <c r="BJ29" i="7"/>
  <c r="BR29" i="7"/>
  <c r="BZ29" i="7"/>
  <c r="G29" i="7"/>
  <c r="O29" i="7"/>
  <c r="W29" i="7"/>
  <c r="AE29" i="7"/>
  <c r="AM29" i="7"/>
  <c r="AU29" i="7"/>
  <c r="BC29" i="7"/>
  <c r="BK29" i="7"/>
  <c r="BS29" i="7"/>
  <c r="CA29" i="7"/>
  <c r="H29" i="7"/>
  <c r="AC29" i="7"/>
  <c r="AW29" i="7"/>
  <c r="BT29" i="7"/>
  <c r="I29" i="7"/>
  <c r="AF29" i="7"/>
  <c r="BA29" i="7"/>
  <c r="BU29" i="7"/>
  <c r="M29" i="7"/>
  <c r="AG29" i="7"/>
  <c r="BD29" i="7"/>
  <c r="BY29" i="7"/>
  <c r="P29" i="7"/>
  <c r="AK29" i="7"/>
  <c r="BE29" i="7"/>
  <c r="CB29" i="7"/>
  <c r="Q29" i="7"/>
  <c r="AN29" i="7"/>
  <c r="BI29" i="7"/>
  <c r="CC29" i="7"/>
  <c r="U29" i="7"/>
  <c r="AO29" i="7"/>
  <c r="BL29" i="7"/>
  <c r="X29" i="7"/>
  <c r="AS29" i="7"/>
  <c r="BM29" i="7"/>
  <c r="E29" i="7"/>
  <c r="Y29" i="7"/>
  <c r="AV29" i="7"/>
  <c r="BQ29" i="7"/>
  <c r="H12" i="7"/>
  <c r="P12" i="7"/>
  <c r="X12" i="7"/>
  <c r="AF12" i="7"/>
  <c r="AN12" i="7"/>
  <c r="AV12" i="7"/>
  <c r="BD12" i="7"/>
  <c r="BL12" i="7"/>
  <c r="BT12" i="7"/>
  <c r="CB12" i="7"/>
  <c r="J12" i="7"/>
  <c r="R12" i="7"/>
  <c r="Z12" i="7"/>
  <c r="AH12" i="7"/>
  <c r="AP12" i="7"/>
  <c r="AX12" i="7"/>
  <c r="BF12" i="7"/>
  <c r="BN12" i="7"/>
  <c r="BV12" i="7"/>
  <c r="CD12" i="7"/>
  <c r="K12" i="7"/>
  <c r="S12" i="7"/>
  <c r="AA12" i="7"/>
  <c r="AI12" i="7"/>
  <c r="AQ12" i="7"/>
  <c r="AY12" i="7"/>
  <c r="BG12" i="7"/>
  <c r="BO12" i="7"/>
  <c r="BW12" i="7"/>
  <c r="CE12" i="7"/>
  <c r="E12" i="7"/>
  <c r="M12" i="7"/>
  <c r="U12" i="7"/>
  <c r="AC12" i="7"/>
  <c r="AK12" i="7"/>
  <c r="AS12" i="7"/>
  <c r="BA12" i="7"/>
  <c r="BI12" i="7"/>
  <c r="BQ12" i="7"/>
  <c r="BY12" i="7"/>
  <c r="F12" i="7"/>
  <c r="N12" i="7"/>
  <c r="V12" i="7"/>
  <c r="AD12" i="7"/>
  <c r="AL12" i="7"/>
  <c r="AT12" i="7"/>
  <c r="BB12" i="7"/>
  <c r="BJ12" i="7"/>
  <c r="BR12" i="7"/>
  <c r="BZ12" i="7"/>
  <c r="G12" i="7"/>
  <c r="AB12" i="7"/>
  <c r="AW12" i="7"/>
  <c r="BS12" i="7"/>
  <c r="L12" i="7"/>
  <c r="AG12" i="7"/>
  <c r="BC12" i="7"/>
  <c r="BX12" i="7"/>
  <c r="Q12" i="7"/>
  <c r="AM12" i="7"/>
  <c r="BH12" i="7"/>
  <c r="CC12" i="7"/>
  <c r="T12" i="7"/>
  <c r="AO12" i="7"/>
  <c r="BK12" i="7"/>
  <c r="W12" i="7"/>
  <c r="AR12" i="7"/>
  <c r="BM12" i="7"/>
  <c r="Y12" i="7"/>
  <c r="CA12" i="7"/>
  <c r="AE12" i="7"/>
  <c r="AJ12" i="7"/>
  <c r="AZ12" i="7"/>
  <c r="BE12" i="7"/>
  <c r="O12" i="7"/>
  <c r="AU12" i="7"/>
  <c r="I12" i="7"/>
  <c r="BP12" i="7"/>
  <c r="BU12" i="7"/>
  <c r="E57" i="7"/>
  <c r="M57" i="7"/>
  <c r="U57" i="7"/>
  <c r="AC57" i="7"/>
  <c r="AK57" i="7"/>
  <c r="AS57" i="7"/>
  <c r="BA57" i="7"/>
  <c r="BI57" i="7"/>
  <c r="BQ57" i="7"/>
  <c r="BY57" i="7"/>
  <c r="F57" i="7"/>
  <c r="N57" i="7"/>
  <c r="V57" i="7"/>
  <c r="AD57" i="7"/>
  <c r="AL57" i="7"/>
  <c r="AT57" i="7"/>
  <c r="BB57" i="7"/>
  <c r="BJ57" i="7"/>
  <c r="BR57" i="7"/>
  <c r="BZ57" i="7"/>
  <c r="G57" i="7"/>
  <c r="O57" i="7"/>
  <c r="W57" i="7"/>
  <c r="AE57" i="7"/>
  <c r="AM57" i="7"/>
  <c r="AU57" i="7"/>
  <c r="BC57" i="7"/>
  <c r="BK57" i="7"/>
  <c r="BS57" i="7"/>
  <c r="CA57" i="7"/>
  <c r="H57" i="7"/>
  <c r="P57" i="7"/>
  <c r="X57" i="7"/>
  <c r="AF57" i="7"/>
  <c r="AN57" i="7"/>
  <c r="AV57" i="7"/>
  <c r="BD57" i="7"/>
  <c r="BL57" i="7"/>
  <c r="BT57" i="7"/>
  <c r="CB57" i="7"/>
  <c r="I57" i="7"/>
  <c r="Q57" i="7"/>
  <c r="Y57" i="7"/>
  <c r="AG57" i="7"/>
  <c r="AO57" i="7"/>
  <c r="AW57" i="7"/>
  <c r="BE57" i="7"/>
  <c r="BM57" i="7"/>
  <c r="BU57" i="7"/>
  <c r="CC57" i="7"/>
  <c r="J57" i="7"/>
  <c r="R57" i="7"/>
  <c r="Z57" i="7"/>
  <c r="AH57" i="7"/>
  <c r="AP57" i="7"/>
  <c r="AX57" i="7"/>
  <c r="BF57" i="7"/>
  <c r="BN57" i="7"/>
  <c r="BV57" i="7"/>
  <c r="CD57" i="7"/>
  <c r="K57" i="7"/>
  <c r="S57" i="7"/>
  <c r="AA57" i="7"/>
  <c r="AI57" i="7"/>
  <c r="AQ57" i="7"/>
  <c r="AY57" i="7"/>
  <c r="BG57" i="7"/>
  <c r="BO57" i="7"/>
  <c r="BW57" i="7"/>
  <c r="CE57" i="7"/>
  <c r="D59" i="7"/>
  <c r="D43" i="7"/>
  <c r="D26" i="7"/>
  <c r="D18" i="7"/>
  <c r="D10" i="7"/>
  <c r="CE61" i="7"/>
  <c r="BW61" i="7"/>
  <c r="BO61" i="7"/>
  <c r="BG61" i="7"/>
  <c r="AY61" i="7"/>
  <c r="AQ61" i="7"/>
  <c r="AI61" i="7"/>
  <c r="AA61" i="7"/>
  <c r="S61" i="7"/>
  <c r="F61" i="7"/>
  <c r="BA60" i="7"/>
  <c r="U60" i="7"/>
  <c r="BP59" i="7"/>
  <c r="AJ59" i="7"/>
  <c r="CE58" i="7"/>
  <c r="AK58" i="7"/>
  <c r="AZ57" i="7"/>
  <c r="BO56" i="7"/>
  <c r="CD55" i="7"/>
  <c r="R55" i="7"/>
  <c r="AG54" i="7"/>
  <c r="AV53" i="7"/>
  <c r="BK52" i="7"/>
  <c r="AC50" i="7"/>
  <c r="BJ38" i="7"/>
  <c r="CE42" i="7"/>
  <c r="BW42" i="7"/>
  <c r="BO42" i="7"/>
  <c r="BG42" i="7"/>
  <c r="AY42" i="7"/>
  <c r="AQ42" i="7"/>
  <c r="AI42" i="7"/>
  <c r="AA42" i="7"/>
  <c r="S42" i="7"/>
  <c r="K42" i="7"/>
  <c r="CD42" i="7"/>
  <c r="BV42" i="7"/>
  <c r="BN42" i="7"/>
  <c r="BF42" i="7"/>
  <c r="AX42" i="7"/>
  <c r="AP42" i="7"/>
  <c r="AH42" i="7"/>
  <c r="Z42" i="7"/>
  <c r="R42" i="7"/>
  <c r="J42" i="7"/>
  <c r="D42" i="7"/>
  <c r="CB42" i="7"/>
  <c r="BT42" i="7"/>
  <c r="BL42" i="7"/>
  <c r="BD42" i="7"/>
  <c r="AV42" i="7"/>
  <c r="AN42" i="7"/>
  <c r="AF42" i="7"/>
  <c r="X42" i="7"/>
  <c r="P42" i="7"/>
  <c r="H42" i="7"/>
  <c r="CA42" i="7"/>
  <c r="BS42" i="7"/>
  <c r="BK42" i="7"/>
  <c r="BC42" i="7"/>
  <c r="AU42" i="7"/>
  <c r="AM42" i="7"/>
  <c r="AE42" i="7"/>
  <c r="W42" i="7"/>
  <c r="O42" i="7"/>
  <c r="G42" i="7"/>
  <c r="BZ42" i="7"/>
  <c r="BR42" i="7"/>
  <c r="BJ42" i="7"/>
  <c r="BB42" i="7"/>
  <c r="AT42" i="7"/>
  <c r="AL42" i="7"/>
  <c r="AD42" i="7"/>
  <c r="V42" i="7"/>
  <c r="N42" i="7"/>
  <c r="I4" i="3"/>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G42" i="2"/>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G51" i="7" l="1"/>
  <c r="O51" i="7"/>
  <c r="W51" i="7"/>
  <c r="AE51" i="7"/>
  <c r="AM51" i="7"/>
  <c r="AU51" i="7"/>
  <c r="BC51" i="7"/>
  <c r="BK51" i="7"/>
  <c r="BS51" i="7"/>
  <c r="CA51" i="7"/>
  <c r="H51" i="7"/>
  <c r="P51" i="7"/>
  <c r="X51" i="7"/>
  <c r="AF51" i="7"/>
  <c r="AN51" i="7"/>
  <c r="AV51" i="7"/>
  <c r="BD51" i="7"/>
  <c r="BL51" i="7"/>
  <c r="BT51" i="7"/>
  <c r="CB51" i="7"/>
  <c r="I51" i="7"/>
  <c r="Q51" i="7"/>
  <c r="Y51" i="7"/>
  <c r="AG51" i="7"/>
  <c r="AO51" i="7"/>
  <c r="AW51" i="7"/>
  <c r="BE51" i="7"/>
  <c r="BM51" i="7"/>
  <c r="BU51" i="7"/>
  <c r="CC51" i="7"/>
  <c r="J51" i="7"/>
  <c r="R51" i="7"/>
  <c r="Z51" i="7"/>
  <c r="AH51" i="7"/>
  <c r="AP51" i="7"/>
  <c r="AX51" i="7"/>
  <c r="BF51" i="7"/>
  <c r="BN51" i="7"/>
  <c r="BV51" i="7"/>
  <c r="CD51" i="7"/>
  <c r="K51" i="7"/>
  <c r="S51" i="7"/>
  <c r="AA51" i="7"/>
  <c r="AI51" i="7"/>
  <c r="AQ51" i="7"/>
  <c r="AY51" i="7"/>
  <c r="BG51" i="7"/>
  <c r="BO51" i="7"/>
  <c r="BW51" i="7"/>
  <c r="CE51" i="7"/>
  <c r="L51" i="7"/>
  <c r="T51" i="7"/>
  <c r="AB51" i="7"/>
  <c r="AJ51" i="7"/>
  <c r="AR51" i="7"/>
  <c r="AZ51" i="7"/>
  <c r="BH51" i="7"/>
  <c r="BP51" i="7"/>
  <c r="BX51" i="7"/>
  <c r="E51" i="7"/>
  <c r="M51" i="7"/>
  <c r="U51" i="7"/>
  <c r="AC51" i="7"/>
  <c r="AK51" i="7"/>
  <c r="AS51" i="7"/>
  <c r="BA51" i="7"/>
  <c r="BI51" i="7"/>
  <c r="BQ51" i="7"/>
  <c r="BY51" i="7"/>
  <c r="N51" i="7"/>
  <c r="BZ51" i="7"/>
  <c r="D51" i="7"/>
  <c r="F51" i="7"/>
  <c r="BR51" i="7"/>
  <c r="V51" i="7"/>
  <c r="AD51" i="7"/>
  <c r="AL51" i="7"/>
  <c r="AT51" i="7"/>
  <c r="BB51" i="7"/>
  <c r="BJ51" i="7"/>
  <c r="E4" i="7"/>
  <c r="M4" i="7"/>
  <c r="U4" i="7"/>
  <c r="AC4" i="7"/>
  <c r="AK4" i="7"/>
  <c r="AS4" i="7"/>
  <c r="BA4" i="7"/>
  <c r="BI4" i="7"/>
  <c r="BQ4" i="7"/>
  <c r="BY4" i="7"/>
  <c r="G4" i="7"/>
  <c r="O4" i="7"/>
  <c r="W4" i="7"/>
  <c r="AE4" i="7"/>
  <c r="AM4" i="7"/>
  <c r="AU4" i="7"/>
  <c r="BC4" i="7"/>
  <c r="BK4" i="7"/>
  <c r="BS4" i="7"/>
  <c r="CA4" i="7"/>
  <c r="H4" i="7"/>
  <c r="P4" i="7"/>
  <c r="X4" i="7"/>
  <c r="AF4" i="7"/>
  <c r="AN4" i="7"/>
  <c r="AV4" i="7"/>
  <c r="BD4" i="7"/>
  <c r="BL4" i="7"/>
  <c r="BT4" i="7"/>
  <c r="CB4" i="7"/>
  <c r="I4" i="7"/>
  <c r="Q4" i="7"/>
  <c r="Y4" i="7"/>
  <c r="AG4" i="7"/>
  <c r="AO4" i="7"/>
  <c r="AW4" i="7"/>
  <c r="BE4" i="7"/>
  <c r="BM4" i="7"/>
  <c r="BU4" i="7"/>
  <c r="CC4" i="7"/>
  <c r="J4" i="7"/>
  <c r="R4" i="7"/>
  <c r="Z4" i="7"/>
  <c r="AH4" i="7"/>
  <c r="AP4" i="7"/>
  <c r="AX4" i="7"/>
  <c r="BF4" i="7"/>
  <c r="BN4" i="7"/>
  <c r="BV4" i="7"/>
  <c r="CD4" i="7"/>
  <c r="N4" i="7"/>
  <c r="AJ4" i="7"/>
  <c r="BG4" i="7"/>
  <c r="BZ4" i="7"/>
  <c r="S4" i="7"/>
  <c r="AL4" i="7"/>
  <c r="BH4" i="7"/>
  <c r="CE4" i="7"/>
  <c r="T4" i="7"/>
  <c r="AQ4" i="7"/>
  <c r="BJ4" i="7"/>
  <c r="V4" i="7"/>
  <c r="AR4" i="7"/>
  <c r="BO4" i="7"/>
  <c r="AA4" i="7"/>
  <c r="AT4" i="7"/>
  <c r="BP4" i="7"/>
  <c r="F4" i="7"/>
  <c r="AB4" i="7"/>
  <c r="AY4" i="7"/>
  <c r="BR4" i="7"/>
  <c r="K4" i="7"/>
  <c r="AD4" i="7"/>
  <c r="AZ4" i="7"/>
  <c r="BW4" i="7"/>
  <c r="AI4" i="7"/>
  <c r="BX4" i="7"/>
  <c r="L4" i="7"/>
  <c r="BB4" i="7"/>
  <c r="D4" i="7"/>
  <c r="I13" i="7"/>
  <c r="Q13" i="7"/>
  <c r="Y13" i="7"/>
  <c r="AG13" i="7"/>
  <c r="AO13" i="7"/>
  <c r="AW13" i="7"/>
  <c r="BE13" i="7"/>
  <c r="BM13" i="7"/>
  <c r="BU13" i="7"/>
  <c r="CC13" i="7"/>
  <c r="K13" i="7"/>
  <c r="S13" i="7"/>
  <c r="AA13" i="7"/>
  <c r="AI13" i="7"/>
  <c r="AQ13" i="7"/>
  <c r="AY13" i="7"/>
  <c r="BG13" i="7"/>
  <c r="BO13" i="7"/>
  <c r="BW13" i="7"/>
  <c r="CE13" i="7"/>
  <c r="L13" i="7"/>
  <c r="T13" i="7"/>
  <c r="AB13" i="7"/>
  <c r="AJ13" i="7"/>
  <c r="AR13" i="7"/>
  <c r="AZ13" i="7"/>
  <c r="BH13" i="7"/>
  <c r="BP13" i="7"/>
  <c r="BX13" i="7"/>
  <c r="F13" i="7"/>
  <c r="N13" i="7"/>
  <c r="V13" i="7"/>
  <c r="AD13" i="7"/>
  <c r="AL13" i="7"/>
  <c r="AT13" i="7"/>
  <c r="BB13" i="7"/>
  <c r="BJ13" i="7"/>
  <c r="BR13" i="7"/>
  <c r="BZ13" i="7"/>
  <c r="G13" i="7"/>
  <c r="O13" i="7"/>
  <c r="W13" i="7"/>
  <c r="AE13" i="7"/>
  <c r="AM13" i="7"/>
  <c r="AU13" i="7"/>
  <c r="BC13" i="7"/>
  <c r="BK13" i="7"/>
  <c r="BS13" i="7"/>
  <c r="CA13" i="7"/>
  <c r="M13" i="7"/>
  <c r="AH13" i="7"/>
  <c r="BD13" i="7"/>
  <c r="BY13" i="7"/>
  <c r="R13" i="7"/>
  <c r="AN13" i="7"/>
  <c r="BI13" i="7"/>
  <c r="CD13" i="7"/>
  <c r="X13" i="7"/>
  <c r="AS13" i="7"/>
  <c r="BN13" i="7"/>
  <c r="E13" i="7"/>
  <c r="Z13" i="7"/>
  <c r="AV13" i="7"/>
  <c r="BQ13" i="7"/>
  <c r="H13" i="7"/>
  <c r="AC13" i="7"/>
  <c r="AX13" i="7"/>
  <c r="BT13" i="7"/>
  <c r="BF13" i="7"/>
  <c r="J13" i="7"/>
  <c r="BL13" i="7"/>
  <c r="P13" i="7"/>
  <c r="BV13" i="7"/>
  <c r="AF13" i="7"/>
  <c r="AK13" i="7"/>
  <c r="U13" i="7"/>
  <c r="AP13" i="7"/>
  <c r="BA13" i="7"/>
  <c r="CB13" i="7"/>
  <c r="D13" i="7"/>
  <c r="I40" i="7"/>
  <c r="Q40" i="7"/>
  <c r="Y40" i="7"/>
  <c r="AG40" i="7"/>
  <c r="AO40" i="7"/>
  <c r="AW40" i="7"/>
  <c r="BE40" i="7"/>
  <c r="BM40" i="7"/>
  <c r="BU40" i="7"/>
  <c r="CC40" i="7"/>
  <c r="J40" i="7"/>
  <c r="R40" i="7"/>
  <c r="Z40" i="7"/>
  <c r="AH40" i="7"/>
  <c r="AP40" i="7"/>
  <c r="AX40" i="7"/>
  <c r="BF40" i="7"/>
  <c r="BN40" i="7"/>
  <c r="BV40" i="7"/>
  <c r="CD40" i="7"/>
  <c r="K40" i="7"/>
  <c r="S40" i="7"/>
  <c r="AA40" i="7"/>
  <c r="AI40" i="7"/>
  <c r="AQ40" i="7"/>
  <c r="AY40" i="7"/>
  <c r="BG40" i="7"/>
  <c r="BO40" i="7"/>
  <c r="BW40" i="7"/>
  <c r="CE40" i="7"/>
  <c r="L40" i="7"/>
  <c r="T40" i="7"/>
  <c r="AB40" i="7"/>
  <c r="AJ40" i="7"/>
  <c r="AR40" i="7"/>
  <c r="AZ40" i="7"/>
  <c r="BH40" i="7"/>
  <c r="BP40" i="7"/>
  <c r="BX40" i="7"/>
  <c r="E40" i="7"/>
  <c r="M40" i="7"/>
  <c r="U40" i="7"/>
  <c r="AC40" i="7"/>
  <c r="AK40" i="7"/>
  <c r="AS40" i="7"/>
  <c r="BA40" i="7"/>
  <c r="BI40" i="7"/>
  <c r="BQ40" i="7"/>
  <c r="BY40" i="7"/>
  <c r="F40" i="7"/>
  <c r="N40" i="7"/>
  <c r="V40" i="7"/>
  <c r="AD40" i="7"/>
  <c r="AL40" i="7"/>
  <c r="AT40" i="7"/>
  <c r="BB40" i="7"/>
  <c r="BJ40" i="7"/>
  <c r="BR40" i="7"/>
  <c r="BZ40" i="7"/>
  <c r="G40" i="7"/>
  <c r="O40" i="7"/>
  <c r="W40" i="7"/>
  <c r="AE40" i="7"/>
  <c r="AM40" i="7"/>
  <c r="AU40" i="7"/>
  <c r="BC40" i="7"/>
  <c r="BK40" i="7"/>
  <c r="BS40" i="7"/>
  <c r="CA40" i="7"/>
  <c r="AN40" i="7"/>
  <c r="AV40" i="7"/>
  <c r="BD40" i="7"/>
  <c r="BL40" i="7"/>
  <c r="H40" i="7"/>
  <c r="BT40" i="7"/>
  <c r="P40" i="7"/>
  <c r="CB40" i="7"/>
  <c r="X40" i="7"/>
  <c r="AF40" i="7"/>
  <c r="D40" i="7"/>
  <c r="K47" i="7"/>
  <c r="S47" i="7"/>
  <c r="AA47" i="7"/>
  <c r="AI47" i="7"/>
  <c r="AQ47" i="7"/>
  <c r="AY47" i="7"/>
  <c r="BG47" i="7"/>
  <c r="BO47" i="7"/>
  <c r="BW47" i="7"/>
  <c r="CE47" i="7"/>
  <c r="L47" i="7"/>
  <c r="T47" i="7"/>
  <c r="AB47" i="7"/>
  <c r="AJ47" i="7"/>
  <c r="AR47" i="7"/>
  <c r="AZ47" i="7"/>
  <c r="BH47" i="7"/>
  <c r="BP47" i="7"/>
  <c r="BX47" i="7"/>
  <c r="E47" i="7"/>
  <c r="M47" i="7"/>
  <c r="U47" i="7"/>
  <c r="AC47" i="7"/>
  <c r="AK47" i="7"/>
  <c r="AS47" i="7"/>
  <c r="BA47" i="7"/>
  <c r="BI47" i="7"/>
  <c r="BQ47" i="7"/>
  <c r="BY47" i="7"/>
  <c r="F47" i="7"/>
  <c r="N47" i="7"/>
  <c r="V47" i="7"/>
  <c r="AD47" i="7"/>
  <c r="AL47" i="7"/>
  <c r="AT47" i="7"/>
  <c r="BB47" i="7"/>
  <c r="BJ47" i="7"/>
  <c r="BR47" i="7"/>
  <c r="BZ47" i="7"/>
  <c r="G47" i="7"/>
  <c r="O47" i="7"/>
  <c r="W47" i="7"/>
  <c r="AE47" i="7"/>
  <c r="AM47" i="7"/>
  <c r="AU47" i="7"/>
  <c r="BC47" i="7"/>
  <c r="BK47" i="7"/>
  <c r="BS47" i="7"/>
  <c r="CA47" i="7"/>
  <c r="H47" i="7"/>
  <c r="P47" i="7"/>
  <c r="X47" i="7"/>
  <c r="AF47" i="7"/>
  <c r="AN47" i="7"/>
  <c r="AV47" i="7"/>
  <c r="BD47" i="7"/>
  <c r="BL47" i="7"/>
  <c r="BT47" i="7"/>
  <c r="CB47" i="7"/>
  <c r="I47" i="7"/>
  <c r="Q47" i="7"/>
  <c r="Y47" i="7"/>
  <c r="AG47" i="7"/>
  <c r="AO47" i="7"/>
  <c r="AW47" i="7"/>
  <c r="BE47" i="7"/>
  <c r="BM47" i="7"/>
  <c r="BU47" i="7"/>
  <c r="CC47" i="7"/>
  <c r="J47" i="7"/>
  <c r="BV47" i="7"/>
  <c r="R47" i="7"/>
  <c r="CD47" i="7"/>
  <c r="Z47" i="7"/>
  <c r="BN47" i="7"/>
  <c r="AH47" i="7"/>
  <c r="AP47" i="7"/>
  <c r="D47" i="7"/>
  <c r="AX47" i="7"/>
  <c r="BF47" i="7"/>
  <c r="K16" i="7"/>
  <c r="S16" i="7"/>
  <c r="AA16" i="7"/>
  <c r="AI16" i="7"/>
  <c r="AQ16" i="7"/>
  <c r="AY16" i="7"/>
  <c r="BG16" i="7"/>
  <c r="BO16" i="7"/>
  <c r="BW16" i="7"/>
  <c r="CE16" i="7"/>
  <c r="E16" i="7"/>
  <c r="M16" i="7"/>
  <c r="U16" i="7"/>
  <c r="AC16" i="7"/>
  <c r="AK16" i="7"/>
  <c r="AS16" i="7"/>
  <c r="BA16" i="7"/>
  <c r="BI16" i="7"/>
  <c r="BQ16" i="7"/>
  <c r="BY16" i="7"/>
  <c r="G16" i="7"/>
  <c r="O16" i="7"/>
  <c r="W16" i="7"/>
  <c r="AE16" i="7"/>
  <c r="AM16" i="7"/>
  <c r="AU16" i="7"/>
  <c r="BC16" i="7"/>
  <c r="BK16" i="7"/>
  <c r="BS16" i="7"/>
  <c r="CA16" i="7"/>
  <c r="H16" i="7"/>
  <c r="P16" i="7"/>
  <c r="X16" i="7"/>
  <c r="AF16" i="7"/>
  <c r="AN16" i="7"/>
  <c r="AV16" i="7"/>
  <c r="BD16" i="7"/>
  <c r="BL16" i="7"/>
  <c r="BT16" i="7"/>
  <c r="CB16" i="7"/>
  <c r="I16" i="7"/>
  <c r="Q16" i="7"/>
  <c r="Y16" i="7"/>
  <c r="AG16" i="7"/>
  <c r="AO16" i="7"/>
  <c r="AW16" i="7"/>
  <c r="BE16" i="7"/>
  <c r="BM16" i="7"/>
  <c r="BU16" i="7"/>
  <c r="CC16" i="7"/>
  <c r="V16" i="7"/>
  <c r="AR16" i="7"/>
  <c r="BN16" i="7"/>
  <c r="Z16" i="7"/>
  <c r="AT16" i="7"/>
  <c r="BP16" i="7"/>
  <c r="F16" i="7"/>
  <c r="AB16" i="7"/>
  <c r="AX16" i="7"/>
  <c r="BR16" i="7"/>
  <c r="L16" i="7"/>
  <c r="AH16" i="7"/>
  <c r="BB16" i="7"/>
  <c r="BX16" i="7"/>
  <c r="N16" i="7"/>
  <c r="AJ16" i="7"/>
  <c r="BF16" i="7"/>
  <c r="BZ16" i="7"/>
  <c r="R16" i="7"/>
  <c r="BV16" i="7"/>
  <c r="T16" i="7"/>
  <c r="CD16" i="7"/>
  <c r="AD16" i="7"/>
  <c r="AP16" i="7"/>
  <c r="AZ16" i="7"/>
  <c r="J16" i="7"/>
  <c r="AL16" i="7"/>
  <c r="BH16" i="7"/>
  <c r="BJ16" i="7"/>
  <c r="D16" i="7"/>
  <c r="J41" i="7"/>
  <c r="R41" i="7"/>
  <c r="Z41" i="7"/>
  <c r="AH41" i="7"/>
  <c r="AP41" i="7"/>
  <c r="AX41" i="7"/>
  <c r="BF41" i="7"/>
  <c r="BN41" i="7"/>
  <c r="BV41" i="7"/>
  <c r="CD41" i="7"/>
  <c r="K41" i="7"/>
  <c r="S41" i="7"/>
  <c r="AA41" i="7"/>
  <c r="AI41" i="7"/>
  <c r="AQ41" i="7"/>
  <c r="AY41" i="7"/>
  <c r="BG41" i="7"/>
  <c r="BO41" i="7"/>
  <c r="BW41" i="7"/>
  <c r="CE41" i="7"/>
  <c r="L41" i="7"/>
  <c r="T41" i="7"/>
  <c r="AB41" i="7"/>
  <c r="AJ41" i="7"/>
  <c r="AR41" i="7"/>
  <c r="AZ41" i="7"/>
  <c r="BH41" i="7"/>
  <c r="BP41" i="7"/>
  <c r="BX41" i="7"/>
  <c r="E41" i="7"/>
  <c r="M41" i="7"/>
  <c r="U41" i="7"/>
  <c r="AC41" i="7"/>
  <c r="AK41" i="7"/>
  <c r="AS41" i="7"/>
  <c r="BA41" i="7"/>
  <c r="BI41" i="7"/>
  <c r="BQ41" i="7"/>
  <c r="BY41" i="7"/>
  <c r="F41" i="7"/>
  <c r="N41" i="7"/>
  <c r="V41" i="7"/>
  <c r="AD41" i="7"/>
  <c r="AL41" i="7"/>
  <c r="AT41" i="7"/>
  <c r="BB41" i="7"/>
  <c r="BJ41" i="7"/>
  <c r="BR41" i="7"/>
  <c r="BZ41" i="7"/>
  <c r="G41" i="7"/>
  <c r="O41" i="7"/>
  <c r="W41" i="7"/>
  <c r="AE41" i="7"/>
  <c r="AM41" i="7"/>
  <c r="AU41" i="7"/>
  <c r="BC41" i="7"/>
  <c r="BK41" i="7"/>
  <c r="BS41" i="7"/>
  <c r="CA41" i="7"/>
  <c r="H41" i="7"/>
  <c r="P41" i="7"/>
  <c r="X41" i="7"/>
  <c r="AF41" i="7"/>
  <c r="AN41" i="7"/>
  <c r="AV41" i="7"/>
  <c r="BD41" i="7"/>
  <c r="BL41" i="7"/>
  <c r="BT41" i="7"/>
  <c r="CB41" i="7"/>
  <c r="Y41" i="7"/>
  <c r="AG41" i="7"/>
  <c r="AO41" i="7"/>
  <c r="AW41" i="7"/>
  <c r="BE41" i="7"/>
  <c r="BM41" i="7"/>
  <c r="I41" i="7"/>
  <c r="BU41" i="7"/>
  <c r="Q41" i="7"/>
  <c r="D41" i="7"/>
  <c r="B2" i="8" s="1"/>
  <c r="CC41" i="7"/>
  <c r="K15" i="7"/>
  <c r="S15" i="7"/>
  <c r="AA15" i="7"/>
  <c r="AI15" i="7"/>
  <c r="AQ15" i="7"/>
  <c r="AY15" i="7"/>
  <c r="BG15" i="7"/>
  <c r="E15" i="7"/>
  <c r="M15" i="7"/>
  <c r="U15" i="7"/>
  <c r="AC15" i="7"/>
  <c r="AK15" i="7"/>
  <c r="AS15" i="7"/>
  <c r="BA15" i="7"/>
  <c r="BI15" i="7"/>
  <c r="F15" i="7"/>
  <c r="N15" i="7"/>
  <c r="V15" i="7"/>
  <c r="AD15" i="7"/>
  <c r="AL15" i="7"/>
  <c r="AT15" i="7"/>
  <c r="BB15" i="7"/>
  <c r="H15" i="7"/>
  <c r="P15" i="7"/>
  <c r="I15" i="7"/>
  <c r="Q15" i="7"/>
  <c r="Y15" i="7"/>
  <c r="AG15" i="7"/>
  <c r="AO15" i="7"/>
  <c r="AW15" i="7"/>
  <c r="X15" i="7"/>
  <c r="AN15" i="7"/>
  <c r="BD15" i="7"/>
  <c r="BN15" i="7"/>
  <c r="BV15" i="7"/>
  <c r="CD15" i="7"/>
  <c r="J15" i="7"/>
  <c r="AB15" i="7"/>
  <c r="AR15" i="7"/>
  <c r="BF15" i="7"/>
  <c r="BP15" i="7"/>
  <c r="BX15" i="7"/>
  <c r="O15" i="7"/>
  <c r="AF15" i="7"/>
  <c r="AV15" i="7"/>
  <c r="BJ15" i="7"/>
  <c r="BR15" i="7"/>
  <c r="BZ15" i="7"/>
  <c r="R15" i="7"/>
  <c r="AH15" i="7"/>
  <c r="AX15" i="7"/>
  <c r="BK15" i="7"/>
  <c r="BS15" i="7"/>
  <c r="CA15" i="7"/>
  <c r="T15" i="7"/>
  <c r="AJ15" i="7"/>
  <c r="AZ15" i="7"/>
  <c r="BL15" i="7"/>
  <c r="BT15" i="7"/>
  <c r="CB15" i="7"/>
  <c r="L15" i="7"/>
  <c r="BE15" i="7"/>
  <c r="CC15" i="7"/>
  <c r="W15" i="7"/>
  <c r="BH15" i="7"/>
  <c r="CE15" i="7"/>
  <c r="Z15" i="7"/>
  <c r="BM15" i="7"/>
  <c r="AM15" i="7"/>
  <c r="BQ15" i="7"/>
  <c r="AP15" i="7"/>
  <c r="BU15" i="7"/>
  <c r="G15" i="7"/>
  <c r="AE15" i="7"/>
  <c r="AU15" i="7"/>
  <c r="BO15" i="7"/>
  <c r="BW15" i="7"/>
  <c r="BC15" i="7"/>
  <c r="BY15" i="7"/>
  <c r="D15" i="7"/>
  <c r="O50" i="2"/>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I45" i="7" l="1"/>
  <c r="Q45" i="7"/>
  <c r="Y45" i="7"/>
  <c r="AG45" i="7"/>
  <c r="AO45" i="7"/>
  <c r="AW45" i="7"/>
  <c r="BE45" i="7"/>
  <c r="BM45" i="7"/>
  <c r="BU45" i="7"/>
  <c r="CC45" i="7"/>
  <c r="J45" i="7"/>
  <c r="R45" i="7"/>
  <c r="Z45" i="7"/>
  <c r="AH45" i="7"/>
  <c r="AP45" i="7"/>
  <c r="AX45" i="7"/>
  <c r="BF45" i="7"/>
  <c r="BN45" i="7"/>
  <c r="BV45" i="7"/>
  <c r="CD45" i="7"/>
  <c r="K45" i="7"/>
  <c r="S45" i="7"/>
  <c r="AA45" i="7"/>
  <c r="AI45" i="7"/>
  <c r="AQ45" i="7"/>
  <c r="AY45" i="7"/>
  <c r="BG45" i="7"/>
  <c r="BO45" i="7"/>
  <c r="BW45" i="7"/>
  <c r="CE45" i="7"/>
  <c r="E45" i="7"/>
  <c r="M45" i="7"/>
  <c r="U45" i="7"/>
  <c r="AC45" i="7"/>
  <c r="AK45" i="7"/>
  <c r="AS45" i="7"/>
  <c r="BA45" i="7"/>
  <c r="BI45" i="7"/>
  <c r="BQ45" i="7"/>
  <c r="BY45" i="7"/>
  <c r="F45" i="7"/>
  <c r="N45" i="7"/>
  <c r="V45" i="7"/>
  <c r="AD45" i="7"/>
  <c r="AL45" i="7"/>
  <c r="AT45" i="7"/>
  <c r="BB45" i="7"/>
  <c r="BJ45" i="7"/>
  <c r="BR45" i="7"/>
  <c r="BZ45" i="7"/>
  <c r="P45" i="7"/>
  <c r="AM45" i="7"/>
  <c r="BH45" i="7"/>
  <c r="CB45" i="7"/>
  <c r="T45" i="7"/>
  <c r="AN45" i="7"/>
  <c r="BK45" i="7"/>
  <c r="W45" i="7"/>
  <c r="AR45" i="7"/>
  <c r="BL45" i="7"/>
  <c r="X45" i="7"/>
  <c r="AU45" i="7"/>
  <c r="BP45" i="7"/>
  <c r="G45" i="7"/>
  <c r="AB45" i="7"/>
  <c r="AV45" i="7"/>
  <c r="BS45" i="7"/>
  <c r="H45" i="7"/>
  <c r="AE45" i="7"/>
  <c r="AZ45" i="7"/>
  <c r="BT45" i="7"/>
  <c r="L45" i="7"/>
  <c r="AF45" i="7"/>
  <c r="BC45" i="7"/>
  <c r="BX45" i="7"/>
  <c r="AJ45" i="7"/>
  <c r="O45" i="7"/>
  <c r="BD45" i="7"/>
  <c r="CA45" i="7"/>
  <c r="D45" i="7"/>
  <c r="I8" i="7"/>
  <c r="Q8" i="7"/>
  <c r="Y8" i="7"/>
  <c r="AG8" i="7"/>
  <c r="AO8" i="7"/>
  <c r="AW8" i="7"/>
  <c r="BE8" i="7"/>
  <c r="BM8" i="7"/>
  <c r="BU8" i="7"/>
  <c r="CC8" i="7"/>
  <c r="K8" i="7"/>
  <c r="S8" i="7"/>
  <c r="AA8" i="7"/>
  <c r="AI8" i="7"/>
  <c r="AQ8" i="7"/>
  <c r="AY8" i="7"/>
  <c r="BG8" i="7"/>
  <c r="BO8" i="7"/>
  <c r="BW8" i="7"/>
  <c r="CE8" i="7"/>
  <c r="E8" i="7"/>
  <c r="M8" i="7"/>
  <c r="U8" i="7"/>
  <c r="AC8" i="7"/>
  <c r="AK8" i="7"/>
  <c r="AS8" i="7"/>
  <c r="BA8" i="7"/>
  <c r="BI8" i="7"/>
  <c r="BQ8" i="7"/>
  <c r="BY8" i="7"/>
  <c r="F8" i="7"/>
  <c r="N8" i="7"/>
  <c r="V8" i="7"/>
  <c r="AD8" i="7"/>
  <c r="AL8" i="7"/>
  <c r="AT8" i="7"/>
  <c r="BB8" i="7"/>
  <c r="BJ8" i="7"/>
  <c r="BR8" i="7"/>
  <c r="BZ8" i="7"/>
  <c r="H8" i="7"/>
  <c r="X8" i="7"/>
  <c r="AN8" i="7"/>
  <c r="BD8" i="7"/>
  <c r="BT8" i="7"/>
  <c r="L8" i="7"/>
  <c r="AB8" i="7"/>
  <c r="AR8" i="7"/>
  <c r="BH8" i="7"/>
  <c r="BX8" i="7"/>
  <c r="O8" i="7"/>
  <c r="AE8" i="7"/>
  <c r="AU8" i="7"/>
  <c r="BK8" i="7"/>
  <c r="CA8" i="7"/>
  <c r="R8" i="7"/>
  <c r="AH8" i="7"/>
  <c r="AX8" i="7"/>
  <c r="BN8" i="7"/>
  <c r="CD8" i="7"/>
  <c r="T8" i="7"/>
  <c r="AJ8" i="7"/>
  <c r="AZ8" i="7"/>
  <c r="BP8" i="7"/>
  <c r="J8" i="7"/>
  <c r="BC8" i="7"/>
  <c r="W8" i="7"/>
  <c r="BL8" i="7"/>
  <c r="AF8" i="7"/>
  <c r="BV8" i="7"/>
  <c r="AM8" i="7"/>
  <c r="CB8" i="7"/>
  <c r="AP8" i="7"/>
  <c r="P8" i="7"/>
  <c r="Z8" i="7"/>
  <c r="AV8" i="7"/>
  <c r="BS8" i="7"/>
  <c r="G8" i="7"/>
  <c r="BF8" i="7"/>
  <c r="D8" i="7"/>
  <c r="L31" i="7"/>
  <c r="T31" i="7"/>
  <c r="AB31" i="7"/>
  <c r="AJ31" i="7"/>
  <c r="AR31" i="7"/>
  <c r="AZ31" i="7"/>
  <c r="BH31" i="7"/>
  <c r="BP31" i="7"/>
  <c r="BX31" i="7"/>
  <c r="E31" i="7"/>
  <c r="M31" i="7"/>
  <c r="U31" i="7"/>
  <c r="AC31" i="7"/>
  <c r="AK31" i="7"/>
  <c r="AS31" i="7"/>
  <c r="BA31" i="7"/>
  <c r="BI31" i="7"/>
  <c r="BQ31" i="7"/>
  <c r="BY31" i="7"/>
  <c r="F31" i="7"/>
  <c r="N31" i="7"/>
  <c r="V31" i="7"/>
  <c r="AD31" i="7"/>
  <c r="AL31" i="7"/>
  <c r="AT31" i="7"/>
  <c r="BB31" i="7"/>
  <c r="BJ31" i="7"/>
  <c r="BR31" i="7"/>
  <c r="H31" i="7"/>
  <c r="P31" i="7"/>
  <c r="X31" i="7"/>
  <c r="I31" i="7"/>
  <c r="Q31" i="7"/>
  <c r="Y31" i="7"/>
  <c r="AG31" i="7"/>
  <c r="AO31" i="7"/>
  <c r="AW31" i="7"/>
  <c r="BE31" i="7"/>
  <c r="BM31" i="7"/>
  <c r="BU31" i="7"/>
  <c r="CC31" i="7"/>
  <c r="S31" i="7"/>
  <c r="AM31" i="7"/>
  <c r="BC31" i="7"/>
  <c r="BS31" i="7"/>
  <c r="CE31" i="7"/>
  <c r="W31" i="7"/>
  <c r="AN31" i="7"/>
  <c r="BD31" i="7"/>
  <c r="BT31" i="7"/>
  <c r="Z31" i="7"/>
  <c r="AP31" i="7"/>
  <c r="BF31" i="7"/>
  <c r="BV31" i="7"/>
  <c r="G31" i="7"/>
  <c r="AA31" i="7"/>
  <c r="AQ31" i="7"/>
  <c r="BG31" i="7"/>
  <c r="BW31" i="7"/>
  <c r="J31" i="7"/>
  <c r="AE31" i="7"/>
  <c r="AU31" i="7"/>
  <c r="BK31" i="7"/>
  <c r="BZ31" i="7"/>
  <c r="K31" i="7"/>
  <c r="AF31" i="7"/>
  <c r="AV31" i="7"/>
  <c r="BL31" i="7"/>
  <c r="CA31" i="7"/>
  <c r="O31" i="7"/>
  <c r="AH31" i="7"/>
  <c r="AX31" i="7"/>
  <c r="BN31" i="7"/>
  <c r="CB31" i="7"/>
  <c r="R31" i="7"/>
  <c r="AI31" i="7"/>
  <c r="AY31" i="7"/>
  <c r="BO31" i="7"/>
  <c r="CD31" i="7"/>
  <c r="D31" i="7"/>
  <c r="F37" i="7"/>
  <c r="N37" i="7"/>
  <c r="V37" i="7"/>
  <c r="AD37" i="7"/>
  <c r="AL37" i="7"/>
  <c r="AT37" i="7"/>
  <c r="BB37" i="7"/>
  <c r="BJ37" i="7"/>
  <c r="BR37" i="7"/>
  <c r="BZ37" i="7"/>
  <c r="G37" i="7"/>
  <c r="O37" i="7"/>
  <c r="W37" i="7"/>
  <c r="AE37" i="7"/>
  <c r="AM37" i="7"/>
  <c r="AU37" i="7"/>
  <c r="BC37" i="7"/>
  <c r="BK37" i="7"/>
  <c r="BS37" i="7"/>
  <c r="CA37" i="7"/>
  <c r="H37" i="7"/>
  <c r="P37" i="7"/>
  <c r="X37" i="7"/>
  <c r="AF37" i="7"/>
  <c r="AN37" i="7"/>
  <c r="AV37" i="7"/>
  <c r="BD37" i="7"/>
  <c r="BL37" i="7"/>
  <c r="BT37" i="7"/>
  <c r="CB37" i="7"/>
  <c r="I37" i="7"/>
  <c r="Q37" i="7"/>
  <c r="Y37" i="7"/>
  <c r="AG37" i="7"/>
  <c r="AO37" i="7"/>
  <c r="AW37" i="7"/>
  <c r="BE37" i="7"/>
  <c r="BM37" i="7"/>
  <c r="BU37" i="7"/>
  <c r="CC37" i="7"/>
  <c r="J37" i="7"/>
  <c r="R37" i="7"/>
  <c r="Z37" i="7"/>
  <c r="AH37" i="7"/>
  <c r="AP37" i="7"/>
  <c r="AX37" i="7"/>
  <c r="BF37" i="7"/>
  <c r="BN37" i="7"/>
  <c r="BV37" i="7"/>
  <c r="CD37" i="7"/>
  <c r="K37" i="7"/>
  <c r="S37" i="7"/>
  <c r="AA37" i="7"/>
  <c r="AI37" i="7"/>
  <c r="AQ37" i="7"/>
  <c r="AY37" i="7"/>
  <c r="BG37" i="7"/>
  <c r="BO37" i="7"/>
  <c r="BW37" i="7"/>
  <c r="CE37" i="7"/>
  <c r="L37" i="7"/>
  <c r="T37" i="7"/>
  <c r="AB37" i="7"/>
  <c r="AJ37" i="7"/>
  <c r="AR37" i="7"/>
  <c r="AZ37" i="7"/>
  <c r="BH37" i="7"/>
  <c r="BP37" i="7"/>
  <c r="BX37" i="7"/>
  <c r="U37" i="7"/>
  <c r="AC37" i="7"/>
  <c r="AK37" i="7"/>
  <c r="AS37" i="7"/>
  <c r="BA37" i="7"/>
  <c r="BI37" i="7"/>
  <c r="E37" i="7"/>
  <c r="BQ37" i="7"/>
  <c r="D37" i="7"/>
  <c r="BY37" i="7"/>
  <c r="M37" i="7"/>
  <c r="Z49" i="2"/>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L35" i="7" l="1"/>
  <c r="T35" i="7"/>
  <c r="AB35" i="7"/>
  <c r="AJ35" i="7"/>
  <c r="AR35" i="7"/>
  <c r="AZ35" i="7"/>
  <c r="BH35" i="7"/>
  <c r="BP35" i="7"/>
  <c r="BX35" i="7"/>
  <c r="E35" i="7"/>
  <c r="M35" i="7"/>
  <c r="U35" i="7"/>
  <c r="AC35" i="7"/>
  <c r="AK35" i="7"/>
  <c r="AS35" i="7"/>
  <c r="BA35" i="7"/>
  <c r="BI35" i="7"/>
  <c r="BQ35" i="7"/>
  <c r="BY35" i="7"/>
  <c r="F35" i="7"/>
  <c r="N35" i="7"/>
  <c r="V35" i="7"/>
  <c r="AD35" i="7"/>
  <c r="AL35" i="7"/>
  <c r="AT35" i="7"/>
  <c r="BB35" i="7"/>
  <c r="BJ35" i="7"/>
  <c r="BR35" i="7"/>
  <c r="BZ35" i="7"/>
  <c r="G35" i="7"/>
  <c r="O35" i="7"/>
  <c r="W35" i="7"/>
  <c r="AE35" i="7"/>
  <c r="AM35" i="7"/>
  <c r="AU35" i="7"/>
  <c r="BC35" i="7"/>
  <c r="BK35" i="7"/>
  <c r="BS35" i="7"/>
  <c r="CA35" i="7"/>
  <c r="H35" i="7"/>
  <c r="P35" i="7"/>
  <c r="X35" i="7"/>
  <c r="AF35" i="7"/>
  <c r="AN35" i="7"/>
  <c r="AV35" i="7"/>
  <c r="BD35" i="7"/>
  <c r="BL35" i="7"/>
  <c r="BT35" i="7"/>
  <c r="CB35" i="7"/>
  <c r="I35" i="7"/>
  <c r="Q35" i="7"/>
  <c r="Y35" i="7"/>
  <c r="AG35" i="7"/>
  <c r="AO35" i="7"/>
  <c r="AW35" i="7"/>
  <c r="BE35" i="7"/>
  <c r="BM35" i="7"/>
  <c r="BU35" i="7"/>
  <c r="CC35" i="7"/>
  <c r="J35" i="7"/>
  <c r="R35" i="7"/>
  <c r="Z35" i="7"/>
  <c r="AH35" i="7"/>
  <c r="AP35" i="7"/>
  <c r="AX35" i="7"/>
  <c r="BF35" i="7"/>
  <c r="BN35" i="7"/>
  <c r="BV35" i="7"/>
  <c r="CD35" i="7"/>
  <c r="AY35" i="7"/>
  <c r="BG35" i="7"/>
  <c r="BO35" i="7"/>
  <c r="K35" i="7"/>
  <c r="BW35" i="7"/>
  <c r="S35" i="7"/>
  <c r="CE35" i="7"/>
  <c r="AA35" i="7"/>
  <c r="AI35" i="7"/>
  <c r="D35" i="7"/>
  <c r="AQ35" i="7"/>
  <c r="H27" i="7"/>
  <c r="P27" i="7"/>
  <c r="X27" i="7"/>
  <c r="AF27" i="7"/>
  <c r="AN27" i="7"/>
  <c r="AV27" i="7"/>
  <c r="BD27" i="7"/>
  <c r="BL27" i="7"/>
  <c r="BT27" i="7"/>
  <c r="CB27" i="7"/>
  <c r="I27" i="7"/>
  <c r="Q27" i="7"/>
  <c r="Y27" i="7"/>
  <c r="AG27" i="7"/>
  <c r="AO27" i="7"/>
  <c r="AW27" i="7"/>
  <c r="BE27" i="7"/>
  <c r="BM27" i="7"/>
  <c r="BU27" i="7"/>
  <c r="CC27" i="7"/>
  <c r="J27" i="7"/>
  <c r="R27" i="7"/>
  <c r="Z27" i="7"/>
  <c r="AH27" i="7"/>
  <c r="AP27" i="7"/>
  <c r="AX27" i="7"/>
  <c r="BF27" i="7"/>
  <c r="BN27" i="7"/>
  <c r="BV27" i="7"/>
  <c r="CD27" i="7"/>
  <c r="L27" i="7"/>
  <c r="T27" i="7"/>
  <c r="AB27" i="7"/>
  <c r="AJ27" i="7"/>
  <c r="AR27" i="7"/>
  <c r="AZ27" i="7"/>
  <c r="BH27" i="7"/>
  <c r="BP27" i="7"/>
  <c r="BX27" i="7"/>
  <c r="E27" i="7"/>
  <c r="M27" i="7"/>
  <c r="U27" i="7"/>
  <c r="AC27" i="7"/>
  <c r="AK27" i="7"/>
  <c r="AS27" i="7"/>
  <c r="BA27" i="7"/>
  <c r="BI27" i="7"/>
  <c r="BQ27" i="7"/>
  <c r="BY27" i="7"/>
  <c r="O27" i="7"/>
  <c r="AL27" i="7"/>
  <c r="BG27" i="7"/>
  <c r="CA27" i="7"/>
  <c r="S27" i="7"/>
  <c r="AM27" i="7"/>
  <c r="BJ27" i="7"/>
  <c r="CE27" i="7"/>
  <c r="V27" i="7"/>
  <c r="AQ27" i="7"/>
  <c r="BK27" i="7"/>
  <c r="W27" i="7"/>
  <c r="AT27" i="7"/>
  <c r="BO27" i="7"/>
  <c r="F27" i="7"/>
  <c r="AA27" i="7"/>
  <c r="AU27" i="7"/>
  <c r="BR27" i="7"/>
  <c r="G27" i="7"/>
  <c r="AD27" i="7"/>
  <c r="AY27" i="7"/>
  <c r="BS27" i="7"/>
  <c r="K27" i="7"/>
  <c r="AE27" i="7"/>
  <c r="BB27" i="7"/>
  <c r="BW27" i="7"/>
  <c r="N27" i="7"/>
  <c r="AI27" i="7"/>
  <c r="BC27" i="7"/>
  <c r="BZ27" i="7"/>
  <c r="D27" i="7"/>
  <c r="AN35" i="2"/>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H39" i="7" l="1"/>
  <c r="P39" i="7"/>
  <c r="X39" i="7"/>
  <c r="AF39" i="7"/>
  <c r="AN39" i="7"/>
  <c r="AV39" i="7"/>
  <c r="BD39" i="7"/>
  <c r="BL39" i="7"/>
  <c r="BT39" i="7"/>
  <c r="CB39" i="7"/>
  <c r="I39" i="7"/>
  <c r="Q39" i="7"/>
  <c r="Y39" i="7"/>
  <c r="AG39" i="7"/>
  <c r="AO39" i="7"/>
  <c r="AW39" i="7"/>
  <c r="BE39" i="7"/>
  <c r="BM39" i="7"/>
  <c r="BU39" i="7"/>
  <c r="CC39" i="7"/>
  <c r="J39" i="7"/>
  <c r="R39" i="7"/>
  <c r="Z39" i="7"/>
  <c r="AH39" i="7"/>
  <c r="AP39" i="7"/>
  <c r="AX39" i="7"/>
  <c r="BF39" i="7"/>
  <c r="BN39" i="7"/>
  <c r="BV39" i="7"/>
  <c r="CD39" i="7"/>
  <c r="K39" i="7"/>
  <c r="S39" i="7"/>
  <c r="AA39" i="7"/>
  <c r="AI39" i="7"/>
  <c r="AQ39" i="7"/>
  <c r="AY39" i="7"/>
  <c r="BG39" i="7"/>
  <c r="BO39" i="7"/>
  <c r="BW39" i="7"/>
  <c r="CE39" i="7"/>
  <c r="L39" i="7"/>
  <c r="T39" i="7"/>
  <c r="AB39" i="7"/>
  <c r="AJ39" i="7"/>
  <c r="AR39" i="7"/>
  <c r="AZ39" i="7"/>
  <c r="BH39" i="7"/>
  <c r="BP39" i="7"/>
  <c r="BX39" i="7"/>
  <c r="E39" i="7"/>
  <c r="M39" i="7"/>
  <c r="U39" i="7"/>
  <c r="AC39" i="7"/>
  <c r="AK39" i="7"/>
  <c r="AS39" i="7"/>
  <c r="BA39" i="7"/>
  <c r="BI39" i="7"/>
  <c r="BQ39" i="7"/>
  <c r="BY39" i="7"/>
  <c r="F39" i="7"/>
  <c r="N39" i="7"/>
  <c r="V39" i="7"/>
  <c r="AD39" i="7"/>
  <c r="AL39" i="7"/>
  <c r="AT39" i="7"/>
  <c r="BB39" i="7"/>
  <c r="BJ39" i="7"/>
  <c r="BR39" i="7"/>
  <c r="BZ39" i="7"/>
  <c r="BC39" i="7"/>
  <c r="BK39" i="7"/>
  <c r="G39" i="7"/>
  <c r="BS39" i="7"/>
  <c r="O39" i="7"/>
  <c r="CA39" i="7"/>
  <c r="W39" i="7"/>
  <c r="AE39" i="7"/>
  <c r="AM39" i="7"/>
  <c r="AU39" i="7"/>
  <c r="D39" i="7"/>
  <c r="G25" i="7"/>
  <c r="O25" i="7"/>
  <c r="W25" i="7"/>
  <c r="AE25" i="7"/>
  <c r="AM25" i="7"/>
  <c r="AU25" i="7"/>
  <c r="BC25" i="7"/>
  <c r="BK25" i="7"/>
  <c r="BS25" i="7"/>
  <c r="CA25" i="7"/>
  <c r="H25" i="7"/>
  <c r="P25" i="7"/>
  <c r="X25" i="7"/>
  <c r="AF25" i="7"/>
  <c r="AN25" i="7"/>
  <c r="AV25" i="7"/>
  <c r="BD25" i="7"/>
  <c r="BL25" i="7"/>
  <c r="BT25" i="7"/>
  <c r="CB25" i="7"/>
  <c r="I25" i="7"/>
  <c r="Q25" i="7"/>
  <c r="Y25" i="7"/>
  <c r="AG25" i="7"/>
  <c r="AO25" i="7"/>
  <c r="AW25" i="7"/>
  <c r="BE25" i="7"/>
  <c r="BM25" i="7"/>
  <c r="BU25" i="7"/>
  <c r="CC25" i="7"/>
  <c r="K25" i="7"/>
  <c r="S25" i="7"/>
  <c r="AA25" i="7"/>
  <c r="AI25" i="7"/>
  <c r="AQ25" i="7"/>
  <c r="L25" i="7"/>
  <c r="T25" i="7"/>
  <c r="AB25" i="7"/>
  <c r="AJ25" i="7"/>
  <c r="AR25" i="7"/>
  <c r="AZ25" i="7"/>
  <c r="U25" i="7"/>
  <c r="AP25" i="7"/>
  <c r="BG25" i="7"/>
  <c r="BR25" i="7"/>
  <c r="V25" i="7"/>
  <c r="AS25" i="7"/>
  <c r="BH25" i="7"/>
  <c r="BV25" i="7"/>
  <c r="E25" i="7"/>
  <c r="Z25" i="7"/>
  <c r="AT25" i="7"/>
  <c r="BI25" i="7"/>
  <c r="BW25" i="7"/>
  <c r="J25" i="7"/>
  <c r="AD25" i="7"/>
  <c r="AY25" i="7"/>
  <c r="BN25" i="7"/>
  <c r="BY25" i="7"/>
  <c r="M25" i="7"/>
  <c r="AH25" i="7"/>
  <c r="BA25" i="7"/>
  <c r="BO25" i="7"/>
  <c r="BZ25" i="7"/>
  <c r="N25" i="7"/>
  <c r="BJ25" i="7"/>
  <c r="R25" i="7"/>
  <c r="BP25" i="7"/>
  <c r="AC25" i="7"/>
  <c r="BQ25" i="7"/>
  <c r="AK25" i="7"/>
  <c r="BX25" i="7"/>
  <c r="AL25" i="7"/>
  <c r="CD25" i="7"/>
  <c r="AX25" i="7"/>
  <c r="CE25" i="7"/>
  <c r="BB25" i="7"/>
  <c r="F25" i="7"/>
  <c r="BF25" i="7"/>
  <c r="D25" i="7"/>
  <c r="C2" i="8"/>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G6" i="7" l="1"/>
  <c r="O6" i="7"/>
  <c r="W6" i="7"/>
  <c r="AE6" i="7"/>
  <c r="AM6" i="7"/>
  <c r="AU6" i="7"/>
  <c r="BC6" i="7"/>
  <c r="BK6" i="7"/>
  <c r="BS6" i="7"/>
  <c r="CA6" i="7"/>
  <c r="I6" i="7"/>
  <c r="Q6" i="7"/>
  <c r="Y6" i="7"/>
  <c r="AG6" i="7"/>
  <c r="AO6" i="7"/>
  <c r="AW6" i="7"/>
  <c r="BE6" i="7"/>
  <c r="BM6" i="7"/>
  <c r="BU6" i="7"/>
  <c r="CC6" i="7"/>
  <c r="J6" i="7"/>
  <c r="R6" i="7"/>
  <c r="Z6" i="7"/>
  <c r="AH6" i="7"/>
  <c r="AP6" i="7"/>
  <c r="AX6" i="7"/>
  <c r="BF6" i="7"/>
  <c r="BN6" i="7"/>
  <c r="K6" i="7"/>
  <c r="S6" i="7"/>
  <c r="AA6" i="7"/>
  <c r="AI6" i="7"/>
  <c r="AQ6" i="7"/>
  <c r="AY6" i="7"/>
  <c r="BG6" i="7"/>
  <c r="BO6" i="7"/>
  <c r="BW6" i="7"/>
  <c r="CE6" i="7"/>
  <c r="L6" i="7"/>
  <c r="T6" i="7"/>
  <c r="AB6" i="7"/>
  <c r="AJ6" i="7"/>
  <c r="AR6" i="7"/>
  <c r="AZ6" i="7"/>
  <c r="BH6" i="7"/>
  <c r="BP6" i="7"/>
  <c r="BX6" i="7"/>
  <c r="F6" i="7"/>
  <c r="AC6" i="7"/>
  <c r="AV6" i="7"/>
  <c r="BR6" i="7"/>
  <c r="H6" i="7"/>
  <c r="AD6" i="7"/>
  <c r="M6" i="7"/>
  <c r="AF6" i="7"/>
  <c r="BB6" i="7"/>
  <c r="BV6" i="7"/>
  <c r="N6" i="7"/>
  <c r="AK6" i="7"/>
  <c r="BD6" i="7"/>
  <c r="BY6" i="7"/>
  <c r="P6" i="7"/>
  <c r="AL6" i="7"/>
  <c r="U6" i="7"/>
  <c r="AN6" i="7"/>
  <c r="BJ6" i="7"/>
  <c r="CB6" i="7"/>
  <c r="V6" i="7"/>
  <c r="AS6" i="7"/>
  <c r="BL6" i="7"/>
  <c r="CD6" i="7"/>
  <c r="E6" i="7"/>
  <c r="AT6" i="7"/>
  <c r="BI6" i="7"/>
  <c r="BQ6" i="7"/>
  <c r="BT6" i="7"/>
  <c r="BA6" i="7"/>
  <c r="BZ6" i="7"/>
  <c r="X6" i="7"/>
  <c r="D6" i="7"/>
  <c r="AH33" i="2"/>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K34" i="7" l="1"/>
  <c r="S34" i="7"/>
  <c r="AA34" i="7"/>
  <c r="AI34" i="7"/>
  <c r="AQ34" i="7"/>
  <c r="AY34" i="7"/>
  <c r="BG34" i="7"/>
  <c r="BO34" i="7"/>
  <c r="BW34" i="7"/>
  <c r="CE34" i="7"/>
  <c r="L34" i="7"/>
  <c r="T34" i="7"/>
  <c r="AB34" i="7"/>
  <c r="AJ34" i="7"/>
  <c r="AR34" i="7"/>
  <c r="AZ34" i="7"/>
  <c r="BH34" i="7"/>
  <c r="BP34" i="7"/>
  <c r="BX34" i="7"/>
  <c r="E34" i="7"/>
  <c r="M34" i="7"/>
  <c r="U34" i="7"/>
  <c r="AC34" i="7"/>
  <c r="AK34" i="7"/>
  <c r="AS34" i="7"/>
  <c r="BA34" i="7"/>
  <c r="BI34" i="7"/>
  <c r="BQ34" i="7"/>
  <c r="BY34" i="7"/>
  <c r="F34" i="7"/>
  <c r="N34" i="7"/>
  <c r="V34" i="7"/>
  <c r="AD34" i="7"/>
  <c r="AL34" i="7"/>
  <c r="AT34" i="7"/>
  <c r="BB34" i="7"/>
  <c r="BJ34" i="7"/>
  <c r="BR34" i="7"/>
  <c r="BZ34" i="7"/>
  <c r="G34" i="7"/>
  <c r="O34" i="7"/>
  <c r="W34" i="7"/>
  <c r="AE34" i="7"/>
  <c r="AM34" i="7"/>
  <c r="AU34" i="7"/>
  <c r="BC34" i="7"/>
  <c r="BK34" i="7"/>
  <c r="BS34" i="7"/>
  <c r="CA34" i="7"/>
  <c r="H34" i="7"/>
  <c r="P34" i="7"/>
  <c r="X34" i="7"/>
  <c r="AF34" i="7"/>
  <c r="AN34" i="7"/>
  <c r="AV34" i="7"/>
  <c r="BD34" i="7"/>
  <c r="BL34" i="7"/>
  <c r="BT34" i="7"/>
  <c r="CB34" i="7"/>
  <c r="I34" i="7"/>
  <c r="Q34" i="7"/>
  <c r="Y34" i="7"/>
  <c r="AG34" i="7"/>
  <c r="AO34" i="7"/>
  <c r="AW34" i="7"/>
  <c r="BE34" i="7"/>
  <c r="BM34" i="7"/>
  <c r="BU34" i="7"/>
  <c r="CC34" i="7"/>
  <c r="BN34" i="7"/>
  <c r="J34" i="7"/>
  <c r="BV34" i="7"/>
  <c r="R34" i="7"/>
  <c r="CD34" i="7"/>
  <c r="Z34" i="7"/>
  <c r="AH34" i="7"/>
  <c r="AP34" i="7"/>
  <c r="AX34" i="7"/>
  <c r="D34" i="7"/>
  <c r="BF34" i="7"/>
  <c r="AJ33" i="2"/>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L48" i="7" l="1"/>
  <c r="T48" i="7"/>
  <c r="AB48" i="7"/>
  <c r="AJ48" i="7"/>
  <c r="AR48" i="7"/>
  <c r="AZ48" i="7"/>
  <c r="BH48" i="7"/>
  <c r="BP48" i="7"/>
  <c r="BX48" i="7"/>
  <c r="E48" i="7"/>
  <c r="M48" i="7"/>
  <c r="U48" i="7"/>
  <c r="AC48" i="7"/>
  <c r="AK48" i="7"/>
  <c r="AS48" i="7"/>
  <c r="BA48" i="7"/>
  <c r="BI48" i="7"/>
  <c r="BQ48" i="7"/>
  <c r="BY48" i="7"/>
  <c r="F48" i="7"/>
  <c r="N48" i="7"/>
  <c r="V48" i="7"/>
  <c r="AD48" i="7"/>
  <c r="AL48" i="7"/>
  <c r="AT48" i="7"/>
  <c r="BB48" i="7"/>
  <c r="BJ48" i="7"/>
  <c r="BR48" i="7"/>
  <c r="BZ48" i="7"/>
  <c r="G48" i="7"/>
  <c r="O48" i="7"/>
  <c r="W48" i="7"/>
  <c r="AE48" i="7"/>
  <c r="AM48" i="7"/>
  <c r="AU48" i="7"/>
  <c r="BC48" i="7"/>
  <c r="BK48" i="7"/>
  <c r="BS48" i="7"/>
  <c r="CA48" i="7"/>
  <c r="H48" i="7"/>
  <c r="P48" i="7"/>
  <c r="X48" i="7"/>
  <c r="AF48" i="7"/>
  <c r="AN48" i="7"/>
  <c r="AV48" i="7"/>
  <c r="BD48" i="7"/>
  <c r="BL48" i="7"/>
  <c r="BT48" i="7"/>
  <c r="CB48" i="7"/>
  <c r="I48" i="7"/>
  <c r="Q48" i="7"/>
  <c r="Y48" i="7"/>
  <c r="AG48" i="7"/>
  <c r="AO48" i="7"/>
  <c r="AW48" i="7"/>
  <c r="BE48" i="7"/>
  <c r="BM48" i="7"/>
  <c r="BU48" i="7"/>
  <c r="CC48" i="7"/>
  <c r="J48" i="7"/>
  <c r="R48" i="7"/>
  <c r="Z48" i="7"/>
  <c r="AH48" i="7"/>
  <c r="AP48" i="7"/>
  <c r="AX48" i="7"/>
  <c r="BF48" i="7"/>
  <c r="BN48" i="7"/>
  <c r="BV48" i="7"/>
  <c r="CD48" i="7"/>
  <c r="BG48" i="7"/>
  <c r="AY48" i="7"/>
  <c r="BO48" i="7"/>
  <c r="K48" i="7"/>
  <c r="BW48" i="7"/>
  <c r="S48" i="7"/>
  <c r="CE48" i="7"/>
  <c r="AA48" i="7"/>
  <c r="AI48" i="7"/>
  <c r="D48" i="7"/>
  <c r="AQ48" i="7"/>
  <c r="K30" i="7"/>
  <c r="S30" i="7"/>
  <c r="AA30" i="7"/>
  <c r="AI30" i="7"/>
  <c r="AQ30" i="7"/>
  <c r="AY30" i="7"/>
  <c r="BG30" i="7"/>
  <c r="BO30" i="7"/>
  <c r="BW30" i="7"/>
  <c r="CE30" i="7"/>
  <c r="L30" i="7"/>
  <c r="T30" i="7"/>
  <c r="AB30" i="7"/>
  <c r="AJ30" i="7"/>
  <c r="AR30" i="7"/>
  <c r="AZ30" i="7"/>
  <c r="BH30" i="7"/>
  <c r="BP30" i="7"/>
  <c r="BX30" i="7"/>
  <c r="E30" i="7"/>
  <c r="M30" i="7"/>
  <c r="U30" i="7"/>
  <c r="AC30" i="7"/>
  <c r="AK30" i="7"/>
  <c r="AS30" i="7"/>
  <c r="BA30" i="7"/>
  <c r="BI30" i="7"/>
  <c r="BQ30" i="7"/>
  <c r="BY30" i="7"/>
  <c r="G30" i="7"/>
  <c r="O30" i="7"/>
  <c r="W30" i="7"/>
  <c r="AE30" i="7"/>
  <c r="AM30" i="7"/>
  <c r="AU30" i="7"/>
  <c r="BC30" i="7"/>
  <c r="BK30" i="7"/>
  <c r="BS30" i="7"/>
  <c r="CA30" i="7"/>
  <c r="H30" i="7"/>
  <c r="P30" i="7"/>
  <c r="X30" i="7"/>
  <c r="AF30" i="7"/>
  <c r="AN30" i="7"/>
  <c r="AV30" i="7"/>
  <c r="BD30" i="7"/>
  <c r="BL30" i="7"/>
  <c r="BT30" i="7"/>
  <c r="CB30" i="7"/>
  <c r="N30" i="7"/>
  <c r="AH30" i="7"/>
  <c r="BE30" i="7"/>
  <c r="BZ30" i="7"/>
  <c r="Q30" i="7"/>
  <c r="AL30" i="7"/>
  <c r="BF30" i="7"/>
  <c r="CC30" i="7"/>
  <c r="R30" i="7"/>
  <c r="AO30" i="7"/>
  <c r="BJ30" i="7"/>
  <c r="CD30" i="7"/>
  <c r="V30" i="7"/>
  <c r="AP30" i="7"/>
  <c r="BM30" i="7"/>
  <c r="Y30" i="7"/>
  <c r="AT30" i="7"/>
  <c r="BN30" i="7"/>
  <c r="F30" i="7"/>
  <c r="Z30" i="7"/>
  <c r="AW30" i="7"/>
  <c r="BR30" i="7"/>
  <c r="I30" i="7"/>
  <c r="AD30" i="7"/>
  <c r="AX30" i="7"/>
  <c r="BU30" i="7"/>
  <c r="BV30" i="7"/>
  <c r="J30" i="7"/>
  <c r="AG30" i="7"/>
  <c r="D30" i="7"/>
  <c r="BB30" i="7"/>
  <c r="J9" i="7"/>
  <c r="R9" i="7"/>
  <c r="Z9" i="7"/>
  <c r="AH9" i="7"/>
  <c r="AP9" i="7"/>
  <c r="AX9" i="7"/>
  <c r="BF9" i="7"/>
  <c r="BN9" i="7"/>
  <c r="BV9" i="7"/>
  <c r="CD9" i="7"/>
  <c r="L9" i="7"/>
  <c r="T9" i="7"/>
  <c r="AB9" i="7"/>
  <c r="AJ9" i="7"/>
  <c r="AR9" i="7"/>
  <c r="AZ9" i="7"/>
  <c r="BH9" i="7"/>
  <c r="BP9" i="7"/>
  <c r="BX9" i="7"/>
  <c r="F9" i="7"/>
  <c r="N9" i="7"/>
  <c r="V9" i="7"/>
  <c r="AD9" i="7"/>
  <c r="AL9" i="7"/>
  <c r="AT9" i="7"/>
  <c r="BB9" i="7"/>
  <c r="BJ9" i="7"/>
  <c r="BR9" i="7"/>
  <c r="BZ9" i="7"/>
  <c r="G9" i="7"/>
  <c r="O9" i="7"/>
  <c r="W9" i="7"/>
  <c r="AE9" i="7"/>
  <c r="AM9" i="7"/>
  <c r="AU9" i="7"/>
  <c r="BC9" i="7"/>
  <c r="BK9" i="7"/>
  <c r="BS9" i="7"/>
  <c r="CA9" i="7"/>
  <c r="I9" i="7"/>
  <c r="Y9" i="7"/>
  <c r="AO9" i="7"/>
  <c r="BE9" i="7"/>
  <c r="BU9" i="7"/>
  <c r="M9" i="7"/>
  <c r="AC9" i="7"/>
  <c r="AS9" i="7"/>
  <c r="BI9" i="7"/>
  <c r="BY9" i="7"/>
  <c r="P9" i="7"/>
  <c r="AF9" i="7"/>
  <c r="AV9" i="7"/>
  <c r="BL9" i="7"/>
  <c r="CB9" i="7"/>
  <c r="S9" i="7"/>
  <c r="AI9" i="7"/>
  <c r="AY9" i="7"/>
  <c r="BO9" i="7"/>
  <c r="CE9" i="7"/>
  <c r="E9" i="7"/>
  <c r="U9" i="7"/>
  <c r="AK9" i="7"/>
  <c r="BA9" i="7"/>
  <c r="BQ9" i="7"/>
  <c r="Q9" i="7"/>
  <c r="BG9" i="7"/>
  <c r="AA9" i="7"/>
  <c r="BT9" i="7"/>
  <c r="AN9" i="7"/>
  <c r="CC9" i="7"/>
  <c r="AQ9" i="7"/>
  <c r="H9" i="7"/>
  <c r="AW9" i="7"/>
  <c r="BD9" i="7"/>
  <c r="BM9" i="7"/>
  <c r="BW9" i="7"/>
  <c r="K9" i="7"/>
  <c r="X9" i="7"/>
  <c r="AG9" i="7"/>
  <c r="D9" i="7"/>
  <c r="G34" i="2"/>
  <c r="A33" i="7" s="1"/>
  <c r="AL33" i="2"/>
  <c r="Z50" i="2"/>
  <c r="AJ2" i="8"/>
  <c r="AK24" i="2"/>
  <c r="AA25" i="2"/>
  <c r="AJ22" i="2"/>
  <c r="Z12" i="2"/>
  <c r="K2" i="8"/>
  <c r="Y8" i="2"/>
  <c r="AL23" i="2"/>
  <c r="J33" i="7" l="1"/>
  <c r="R33" i="7"/>
  <c r="Z33" i="7"/>
  <c r="AH33" i="7"/>
  <c r="AP33" i="7"/>
  <c r="AX33" i="7"/>
  <c r="BF33" i="7"/>
  <c r="BN33" i="7"/>
  <c r="BV33" i="7"/>
  <c r="CD33" i="7"/>
  <c r="K33" i="7"/>
  <c r="S33" i="7"/>
  <c r="AA33" i="7"/>
  <c r="AI33" i="7"/>
  <c r="AQ33" i="7"/>
  <c r="AY33" i="7"/>
  <c r="BG33" i="7"/>
  <c r="BO33" i="7"/>
  <c r="BW33" i="7"/>
  <c r="CE33" i="7"/>
  <c r="L33" i="7"/>
  <c r="T33" i="7"/>
  <c r="AB33" i="7"/>
  <c r="AJ33" i="7"/>
  <c r="AR33" i="7"/>
  <c r="AZ33" i="7"/>
  <c r="BH33" i="7"/>
  <c r="BP33" i="7"/>
  <c r="BX33" i="7"/>
  <c r="E33" i="7"/>
  <c r="M33" i="7"/>
  <c r="U33" i="7"/>
  <c r="AC33" i="7"/>
  <c r="AK33" i="7"/>
  <c r="AS33" i="7"/>
  <c r="BA33" i="7"/>
  <c r="BI33" i="7"/>
  <c r="BQ33" i="7"/>
  <c r="BY33" i="7"/>
  <c r="F33" i="7"/>
  <c r="N33" i="7"/>
  <c r="V33" i="7"/>
  <c r="AD33" i="7"/>
  <c r="AL33" i="7"/>
  <c r="AT33" i="7"/>
  <c r="BB33" i="7"/>
  <c r="BJ33" i="7"/>
  <c r="BR33" i="7"/>
  <c r="BZ33" i="7"/>
  <c r="G33" i="7"/>
  <c r="O33" i="7"/>
  <c r="W33" i="7"/>
  <c r="AE33" i="7"/>
  <c r="AM33" i="7"/>
  <c r="AU33" i="7"/>
  <c r="BC33" i="7"/>
  <c r="BK33" i="7"/>
  <c r="BS33" i="7"/>
  <c r="CA33" i="7"/>
  <c r="H33" i="7"/>
  <c r="P33" i="7"/>
  <c r="X33" i="7"/>
  <c r="AF33" i="7"/>
  <c r="AN33" i="7"/>
  <c r="AV33" i="7"/>
  <c r="BD33" i="7"/>
  <c r="BL33" i="7"/>
  <c r="BT33" i="7"/>
  <c r="CB33" i="7"/>
  <c r="Q33" i="7"/>
  <c r="CC33" i="7"/>
  <c r="Y33" i="7"/>
  <c r="AG33" i="7"/>
  <c r="AO33" i="7"/>
  <c r="AW33" i="7"/>
  <c r="BE33" i="7"/>
  <c r="BM33" i="7"/>
  <c r="I33" i="7"/>
  <c r="BU33" i="7"/>
  <c r="D33" i="7"/>
  <c r="AM33" i="2"/>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L22" i="7" l="1"/>
  <c r="T22" i="7"/>
  <c r="AB22" i="7"/>
  <c r="AJ22" i="7"/>
  <c r="AR22" i="7"/>
  <c r="AZ22" i="7"/>
  <c r="BH22" i="7"/>
  <c r="BP22" i="7"/>
  <c r="BX22" i="7"/>
  <c r="E22" i="7"/>
  <c r="M22" i="7"/>
  <c r="U22" i="7"/>
  <c r="AC22" i="7"/>
  <c r="AK22" i="7"/>
  <c r="AS22" i="7"/>
  <c r="BA22" i="7"/>
  <c r="BI22" i="7"/>
  <c r="BQ22" i="7"/>
  <c r="BY22" i="7"/>
  <c r="F22" i="7"/>
  <c r="N22" i="7"/>
  <c r="V22" i="7"/>
  <c r="AD22" i="7"/>
  <c r="AL22" i="7"/>
  <c r="AT22" i="7"/>
  <c r="BB22" i="7"/>
  <c r="BJ22" i="7"/>
  <c r="BR22" i="7"/>
  <c r="BZ22" i="7"/>
  <c r="H22" i="7"/>
  <c r="P22" i="7"/>
  <c r="X22" i="7"/>
  <c r="AF22" i="7"/>
  <c r="AN22" i="7"/>
  <c r="AV22" i="7"/>
  <c r="BD22" i="7"/>
  <c r="BL22" i="7"/>
  <c r="BT22" i="7"/>
  <c r="CB22" i="7"/>
  <c r="I22" i="7"/>
  <c r="Q22" i="7"/>
  <c r="Y22" i="7"/>
  <c r="AG22" i="7"/>
  <c r="AO22" i="7"/>
  <c r="AW22" i="7"/>
  <c r="BE22" i="7"/>
  <c r="BM22" i="7"/>
  <c r="BU22" i="7"/>
  <c r="CC22" i="7"/>
  <c r="W22" i="7"/>
  <c r="AQ22" i="7"/>
  <c r="BN22" i="7"/>
  <c r="Z22" i="7"/>
  <c r="AU22" i="7"/>
  <c r="BO22" i="7"/>
  <c r="G22" i="7"/>
  <c r="AA22" i="7"/>
  <c r="AX22" i="7"/>
  <c r="BS22" i="7"/>
  <c r="K22" i="7"/>
  <c r="AH22" i="7"/>
  <c r="BC22" i="7"/>
  <c r="BW22" i="7"/>
  <c r="O22" i="7"/>
  <c r="AI22" i="7"/>
  <c r="BF22" i="7"/>
  <c r="CA22" i="7"/>
  <c r="S22" i="7"/>
  <c r="CD22" i="7"/>
  <c r="AE22" i="7"/>
  <c r="CE22" i="7"/>
  <c r="AM22" i="7"/>
  <c r="AP22" i="7"/>
  <c r="AY22" i="7"/>
  <c r="BG22" i="7"/>
  <c r="J22" i="7"/>
  <c r="BK22" i="7"/>
  <c r="R22" i="7"/>
  <c r="BV22" i="7"/>
  <c r="D22" i="7"/>
  <c r="E32" i="7"/>
  <c r="M32" i="7"/>
  <c r="U32" i="7"/>
  <c r="AC32" i="7"/>
  <c r="F32" i="7"/>
  <c r="O32" i="7"/>
  <c r="X32" i="7"/>
  <c r="AG32" i="7"/>
  <c r="AO32" i="7"/>
  <c r="AW32" i="7"/>
  <c r="BE32" i="7"/>
  <c r="BM32" i="7"/>
  <c r="BU32" i="7"/>
  <c r="CC32" i="7"/>
  <c r="G32" i="7"/>
  <c r="P32" i="7"/>
  <c r="Y32" i="7"/>
  <c r="AH32" i="7"/>
  <c r="AP32" i="7"/>
  <c r="AX32" i="7"/>
  <c r="BF32" i="7"/>
  <c r="BN32" i="7"/>
  <c r="BV32" i="7"/>
  <c r="CD32" i="7"/>
  <c r="H32" i="7"/>
  <c r="Q32" i="7"/>
  <c r="Z32" i="7"/>
  <c r="AI32" i="7"/>
  <c r="AQ32" i="7"/>
  <c r="AY32" i="7"/>
  <c r="BG32" i="7"/>
  <c r="BO32" i="7"/>
  <c r="BW32" i="7"/>
  <c r="CE32" i="7"/>
  <c r="I32" i="7"/>
  <c r="R32" i="7"/>
  <c r="AA32" i="7"/>
  <c r="AJ32" i="7"/>
  <c r="AR32" i="7"/>
  <c r="AZ32" i="7"/>
  <c r="BH32" i="7"/>
  <c r="BP32" i="7"/>
  <c r="BX32" i="7"/>
  <c r="J32" i="7"/>
  <c r="S32" i="7"/>
  <c r="AB32" i="7"/>
  <c r="AK32" i="7"/>
  <c r="AS32" i="7"/>
  <c r="BA32" i="7"/>
  <c r="BI32" i="7"/>
  <c r="BQ32" i="7"/>
  <c r="BY32" i="7"/>
  <c r="K32" i="7"/>
  <c r="T32" i="7"/>
  <c r="AD32" i="7"/>
  <c r="AL32" i="7"/>
  <c r="AT32" i="7"/>
  <c r="BB32" i="7"/>
  <c r="BJ32" i="7"/>
  <c r="BR32" i="7"/>
  <c r="BZ32" i="7"/>
  <c r="L32" i="7"/>
  <c r="V32" i="7"/>
  <c r="AE32" i="7"/>
  <c r="AM32" i="7"/>
  <c r="AU32" i="7"/>
  <c r="BC32" i="7"/>
  <c r="BK32" i="7"/>
  <c r="BS32" i="7"/>
  <c r="CA32" i="7"/>
  <c r="AF32" i="7"/>
  <c r="AN32" i="7"/>
  <c r="AV32" i="7"/>
  <c r="BD32" i="7"/>
  <c r="BL32" i="7"/>
  <c r="BT32" i="7"/>
  <c r="N32" i="7"/>
  <c r="CB32" i="7"/>
  <c r="W32" i="7"/>
  <c r="D32" i="7"/>
  <c r="G22" i="2"/>
  <c r="A21" i="7" s="1"/>
  <c r="G24" i="2"/>
  <c r="A23" i="7" s="1"/>
  <c r="AH50" i="2"/>
  <c r="AR2" i="8"/>
  <c r="AI25" i="2"/>
  <c r="AH12" i="2"/>
  <c r="S2" i="8"/>
  <c r="AG8" i="2"/>
  <c r="E23" i="7" l="1"/>
  <c r="M23" i="7"/>
  <c r="U23" i="7"/>
  <c r="AC23" i="7"/>
  <c r="AK23" i="7"/>
  <c r="AS23" i="7"/>
  <c r="BA23" i="7"/>
  <c r="BI23" i="7"/>
  <c r="BQ23" i="7"/>
  <c r="BY23" i="7"/>
  <c r="F23" i="7"/>
  <c r="N23" i="7"/>
  <c r="V23" i="7"/>
  <c r="AD23" i="7"/>
  <c r="AL23" i="7"/>
  <c r="AT23" i="7"/>
  <c r="BB23" i="7"/>
  <c r="BJ23" i="7"/>
  <c r="BR23" i="7"/>
  <c r="BZ23" i="7"/>
  <c r="G23" i="7"/>
  <c r="O23" i="7"/>
  <c r="W23" i="7"/>
  <c r="AE23" i="7"/>
  <c r="AM23" i="7"/>
  <c r="AU23" i="7"/>
  <c r="BC23" i="7"/>
  <c r="BK23" i="7"/>
  <c r="BS23" i="7"/>
  <c r="CA23" i="7"/>
  <c r="I23" i="7"/>
  <c r="Q23" i="7"/>
  <c r="Y23" i="7"/>
  <c r="AG23" i="7"/>
  <c r="AO23" i="7"/>
  <c r="AW23" i="7"/>
  <c r="BE23" i="7"/>
  <c r="BM23" i="7"/>
  <c r="BU23" i="7"/>
  <c r="CC23" i="7"/>
  <c r="J23" i="7"/>
  <c r="R23" i="7"/>
  <c r="Z23" i="7"/>
  <c r="AH23" i="7"/>
  <c r="AP23" i="7"/>
  <c r="AX23" i="7"/>
  <c r="BF23" i="7"/>
  <c r="BN23" i="7"/>
  <c r="BV23" i="7"/>
  <c r="CD23" i="7"/>
  <c r="H23" i="7"/>
  <c r="AB23" i="7"/>
  <c r="AY23" i="7"/>
  <c r="BT23" i="7"/>
  <c r="K23" i="7"/>
  <c r="AF23" i="7"/>
  <c r="AZ23" i="7"/>
  <c r="BW23" i="7"/>
  <c r="L23" i="7"/>
  <c r="AI23" i="7"/>
  <c r="BD23" i="7"/>
  <c r="BX23" i="7"/>
  <c r="S23" i="7"/>
  <c r="AN23" i="7"/>
  <c r="BH23" i="7"/>
  <c r="CE23" i="7"/>
  <c r="T23" i="7"/>
  <c r="AQ23" i="7"/>
  <c r="BL23" i="7"/>
  <c r="BG23" i="7"/>
  <c r="BO23" i="7"/>
  <c r="P23" i="7"/>
  <c r="BP23" i="7"/>
  <c r="X23" i="7"/>
  <c r="CB23" i="7"/>
  <c r="AA23" i="7"/>
  <c r="AJ23" i="7"/>
  <c r="AR23" i="7"/>
  <c r="AV23" i="7"/>
  <c r="D23" i="7"/>
  <c r="H21" i="7"/>
  <c r="P21" i="7"/>
  <c r="X21" i="7"/>
  <c r="AF21" i="7"/>
  <c r="AN21" i="7"/>
  <c r="AV21" i="7"/>
  <c r="J21" i="7"/>
  <c r="R21" i="7"/>
  <c r="Z21" i="7"/>
  <c r="AH21" i="7"/>
  <c r="AP21" i="7"/>
  <c r="AX21" i="7"/>
  <c r="L21" i="7"/>
  <c r="T21" i="7"/>
  <c r="AB21" i="7"/>
  <c r="AJ21" i="7"/>
  <c r="AR21" i="7"/>
  <c r="AZ21" i="7"/>
  <c r="E21" i="7"/>
  <c r="M21" i="7"/>
  <c r="U21" i="7"/>
  <c r="AC21" i="7"/>
  <c r="F21" i="7"/>
  <c r="N21" i="7"/>
  <c r="V21" i="7"/>
  <c r="AD21" i="7"/>
  <c r="AL21" i="7"/>
  <c r="AT21" i="7"/>
  <c r="K21" i="7"/>
  <c r="AG21" i="7"/>
  <c r="AW21" i="7"/>
  <c r="BG21" i="7"/>
  <c r="BO21" i="7"/>
  <c r="BW21" i="7"/>
  <c r="CE21" i="7"/>
  <c r="O21" i="7"/>
  <c r="AI21" i="7"/>
  <c r="AY21" i="7"/>
  <c r="BH21" i="7"/>
  <c r="BP21" i="7"/>
  <c r="BX21" i="7"/>
  <c r="Q21" i="7"/>
  <c r="AK21" i="7"/>
  <c r="BA21" i="7"/>
  <c r="BI21" i="7"/>
  <c r="BQ21" i="7"/>
  <c r="BY21" i="7"/>
  <c r="W21" i="7"/>
  <c r="AO21" i="7"/>
  <c r="BC21" i="7"/>
  <c r="BK21" i="7"/>
  <c r="BS21" i="7"/>
  <c r="CA21" i="7"/>
  <c r="Y21" i="7"/>
  <c r="AQ21" i="7"/>
  <c r="BD21" i="7"/>
  <c r="BL21" i="7"/>
  <c r="BT21" i="7"/>
  <c r="CB21" i="7"/>
  <c r="S21" i="7"/>
  <c r="BF21" i="7"/>
  <c r="CC21" i="7"/>
  <c r="AA21" i="7"/>
  <c r="BJ21" i="7"/>
  <c r="CD21" i="7"/>
  <c r="AE21" i="7"/>
  <c r="BM21" i="7"/>
  <c r="AS21" i="7"/>
  <c r="BR21" i="7"/>
  <c r="AU21" i="7"/>
  <c r="BU21" i="7"/>
  <c r="AM21" i="7"/>
  <c r="BB21" i="7"/>
  <c r="BE21" i="7"/>
  <c r="BN21" i="7"/>
  <c r="BV21" i="7"/>
  <c r="BZ21" i="7"/>
  <c r="G21" i="7"/>
  <c r="I21" i="7"/>
  <c r="D21" i="7"/>
  <c r="AI50" i="2"/>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E49" i="7" l="1"/>
  <c r="M49" i="7"/>
  <c r="U49" i="7"/>
  <c r="AC49" i="7"/>
  <c r="AK49" i="7"/>
  <c r="AS49" i="7"/>
  <c r="BA49" i="7"/>
  <c r="BI49" i="7"/>
  <c r="BQ49" i="7"/>
  <c r="BY49" i="7"/>
  <c r="F49" i="7"/>
  <c r="N49" i="7"/>
  <c r="V49" i="7"/>
  <c r="AD49" i="7"/>
  <c r="AL49" i="7"/>
  <c r="AT49" i="7"/>
  <c r="BB49" i="7"/>
  <c r="BJ49" i="7"/>
  <c r="BR49" i="7"/>
  <c r="BZ49" i="7"/>
  <c r="G49" i="7"/>
  <c r="O49" i="7"/>
  <c r="W49" i="7"/>
  <c r="AE49" i="7"/>
  <c r="AM49" i="7"/>
  <c r="AU49" i="7"/>
  <c r="BC49" i="7"/>
  <c r="BK49" i="7"/>
  <c r="BS49" i="7"/>
  <c r="CA49" i="7"/>
  <c r="H49" i="7"/>
  <c r="P49" i="7"/>
  <c r="X49" i="7"/>
  <c r="AF49" i="7"/>
  <c r="AN49" i="7"/>
  <c r="AV49" i="7"/>
  <c r="BD49" i="7"/>
  <c r="BL49" i="7"/>
  <c r="BT49" i="7"/>
  <c r="CB49" i="7"/>
  <c r="I49" i="7"/>
  <c r="Q49" i="7"/>
  <c r="Y49" i="7"/>
  <c r="AG49" i="7"/>
  <c r="AO49" i="7"/>
  <c r="AW49" i="7"/>
  <c r="BE49" i="7"/>
  <c r="BM49" i="7"/>
  <c r="BU49" i="7"/>
  <c r="CC49" i="7"/>
  <c r="J49" i="7"/>
  <c r="R49" i="7"/>
  <c r="Z49" i="7"/>
  <c r="AH49" i="7"/>
  <c r="AP49" i="7"/>
  <c r="AX49" i="7"/>
  <c r="BF49" i="7"/>
  <c r="BN49" i="7"/>
  <c r="BV49" i="7"/>
  <c r="CD49" i="7"/>
  <c r="K49" i="7"/>
  <c r="S49" i="7"/>
  <c r="AA49" i="7"/>
  <c r="AI49" i="7"/>
  <c r="AQ49" i="7"/>
  <c r="AY49" i="7"/>
  <c r="BG49" i="7"/>
  <c r="BO49" i="7"/>
  <c r="BW49" i="7"/>
  <c r="CE49" i="7"/>
  <c r="AR49" i="7"/>
  <c r="AZ49" i="7"/>
  <c r="BH49" i="7"/>
  <c r="BP49" i="7"/>
  <c r="AJ49" i="7"/>
  <c r="L49" i="7"/>
  <c r="BX49" i="7"/>
  <c r="T49" i="7"/>
  <c r="AB49" i="7"/>
  <c r="D49" i="7"/>
  <c r="AX2" i="8"/>
  <c r="AO25" i="2"/>
  <c r="Y2" i="8"/>
  <c r="AM8" i="2"/>
  <c r="AN12" i="2"/>
  <c r="AY2" i="8" l="1"/>
  <c r="AP25" i="2"/>
  <c r="AO12" i="2"/>
  <c r="Z2" i="8"/>
  <c r="AN8" i="2"/>
  <c r="AZ2" i="8" l="1"/>
  <c r="AA2" i="8"/>
  <c r="AO8" i="2"/>
  <c r="AP12" i="2"/>
  <c r="AQ25" i="2"/>
  <c r="BA2" i="8" l="1"/>
  <c r="AR25" i="2"/>
  <c r="AQ12" i="2"/>
  <c r="AB2" i="8"/>
  <c r="AP8" i="2"/>
  <c r="G25" i="2" l="1"/>
  <c r="A24" i="7" s="1"/>
  <c r="BB2" i="8"/>
  <c r="AR12" i="2"/>
  <c r="AC2" i="8"/>
  <c r="AQ8" i="2"/>
  <c r="F24" i="7" l="1"/>
  <c r="N24" i="7"/>
  <c r="V24" i="7"/>
  <c r="AD24" i="7"/>
  <c r="AL24" i="7"/>
  <c r="AT24" i="7"/>
  <c r="BB24" i="7"/>
  <c r="BJ24" i="7"/>
  <c r="BR24" i="7"/>
  <c r="BZ24" i="7"/>
  <c r="G24" i="7"/>
  <c r="O24" i="7"/>
  <c r="W24" i="7"/>
  <c r="AE24" i="7"/>
  <c r="AM24" i="7"/>
  <c r="AU24" i="7"/>
  <c r="BC24" i="7"/>
  <c r="BK24" i="7"/>
  <c r="BS24" i="7"/>
  <c r="CA24" i="7"/>
  <c r="H24" i="7"/>
  <c r="P24" i="7"/>
  <c r="X24" i="7"/>
  <c r="AF24" i="7"/>
  <c r="AN24" i="7"/>
  <c r="AV24" i="7"/>
  <c r="BD24" i="7"/>
  <c r="BL24" i="7"/>
  <c r="BT24" i="7"/>
  <c r="CB24" i="7"/>
  <c r="J24" i="7"/>
  <c r="R24" i="7"/>
  <c r="Z24" i="7"/>
  <c r="AH24" i="7"/>
  <c r="AP24" i="7"/>
  <c r="AX24" i="7"/>
  <c r="BF24" i="7"/>
  <c r="BN24" i="7"/>
  <c r="BV24" i="7"/>
  <c r="CD24" i="7"/>
  <c r="K24" i="7"/>
  <c r="S24" i="7"/>
  <c r="AA24" i="7"/>
  <c r="AI24" i="7"/>
  <c r="AQ24" i="7"/>
  <c r="AY24" i="7"/>
  <c r="BG24" i="7"/>
  <c r="BO24" i="7"/>
  <c r="BW24" i="7"/>
  <c r="CE24" i="7"/>
  <c r="M24" i="7"/>
  <c r="AJ24" i="7"/>
  <c r="BE24" i="7"/>
  <c r="BY24" i="7"/>
  <c r="Q24" i="7"/>
  <c r="AK24" i="7"/>
  <c r="BH24" i="7"/>
  <c r="CC24" i="7"/>
  <c r="T24" i="7"/>
  <c r="AO24" i="7"/>
  <c r="BI24" i="7"/>
  <c r="Y24" i="7"/>
  <c r="AS24" i="7"/>
  <c r="BP24" i="7"/>
  <c r="E24" i="7"/>
  <c r="AB24" i="7"/>
  <c r="AW24" i="7"/>
  <c r="BQ24" i="7"/>
  <c r="AG24" i="7"/>
  <c r="AR24" i="7"/>
  <c r="AZ24" i="7"/>
  <c r="BA24" i="7"/>
  <c r="I24" i="7"/>
  <c r="BM24" i="7"/>
  <c r="L24" i="7"/>
  <c r="BU24" i="7"/>
  <c r="U24" i="7"/>
  <c r="BX24" i="7"/>
  <c r="AC24" i="7"/>
  <c r="D24" i="7"/>
  <c r="G12" i="2"/>
  <c r="A11" i="7" s="1"/>
  <c r="AD2" i="8"/>
  <c r="G8" i="2"/>
  <c r="A7" i="7" s="1"/>
  <c r="BC2" i="8"/>
  <c r="H7" i="7" l="1"/>
  <c r="P7" i="7"/>
  <c r="X7" i="7"/>
  <c r="AF7" i="7"/>
  <c r="AN7" i="7"/>
  <c r="AV7" i="7"/>
  <c r="BD7" i="7"/>
  <c r="BL7" i="7"/>
  <c r="BT7" i="7"/>
  <c r="CB7" i="7"/>
  <c r="J7" i="7"/>
  <c r="R7" i="7"/>
  <c r="Z7" i="7"/>
  <c r="AH7" i="7"/>
  <c r="AP7" i="7"/>
  <c r="AX7" i="7"/>
  <c r="BF7" i="7"/>
  <c r="BN7" i="7"/>
  <c r="BV7" i="7"/>
  <c r="CD7" i="7"/>
  <c r="L7" i="7"/>
  <c r="T7" i="7"/>
  <c r="AB7" i="7"/>
  <c r="AJ7" i="7"/>
  <c r="AR7" i="7"/>
  <c r="AZ7" i="7"/>
  <c r="BH7" i="7"/>
  <c r="BP7" i="7"/>
  <c r="BX7" i="7"/>
  <c r="E7" i="7"/>
  <c r="M7" i="7"/>
  <c r="U7" i="7"/>
  <c r="AC7" i="7"/>
  <c r="AK7" i="7"/>
  <c r="AS7" i="7"/>
  <c r="BA7" i="7"/>
  <c r="BI7" i="7"/>
  <c r="BQ7" i="7"/>
  <c r="BY7" i="7"/>
  <c r="G7" i="7"/>
  <c r="W7" i="7"/>
  <c r="AM7" i="7"/>
  <c r="BC7" i="7"/>
  <c r="BS7" i="7"/>
  <c r="K7" i="7"/>
  <c r="AA7" i="7"/>
  <c r="AQ7" i="7"/>
  <c r="BG7" i="7"/>
  <c r="BW7" i="7"/>
  <c r="N7" i="7"/>
  <c r="AD7" i="7"/>
  <c r="AT7" i="7"/>
  <c r="BJ7" i="7"/>
  <c r="BZ7" i="7"/>
  <c r="Q7" i="7"/>
  <c r="AG7" i="7"/>
  <c r="AW7" i="7"/>
  <c r="BM7" i="7"/>
  <c r="CC7" i="7"/>
  <c r="S7" i="7"/>
  <c r="AI7" i="7"/>
  <c r="AY7" i="7"/>
  <c r="BO7" i="7"/>
  <c r="CE7" i="7"/>
  <c r="F7" i="7"/>
  <c r="AU7" i="7"/>
  <c r="O7" i="7"/>
  <c r="BE7" i="7"/>
  <c r="Y7" i="7"/>
  <c r="BR7" i="7"/>
  <c r="AE7" i="7"/>
  <c r="BU7" i="7"/>
  <c r="AL7" i="7"/>
  <c r="CA7" i="7"/>
  <c r="I7" i="7"/>
  <c r="AO7" i="7"/>
  <c r="BB7" i="7"/>
  <c r="V7" i="7"/>
  <c r="BK7" i="7"/>
  <c r="D7" i="7"/>
  <c r="G11" i="7"/>
  <c r="O11" i="7"/>
  <c r="W11" i="7"/>
  <c r="AE11" i="7"/>
  <c r="AM11" i="7"/>
  <c r="AU11" i="7"/>
  <c r="BC11" i="7"/>
  <c r="BK11" i="7"/>
  <c r="BS11" i="7"/>
  <c r="CA11" i="7"/>
  <c r="I11" i="7"/>
  <c r="Q11" i="7"/>
  <c r="Y11" i="7"/>
  <c r="AG11" i="7"/>
  <c r="AO11" i="7"/>
  <c r="AW11" i="7"/>
  <c r="BE11" i="7"/>
  <c r="BM11" i="7"/>
  <c r="BU11" i="7"/>
  <c r="CC11" i="7"/>
  <c r="J11" i="7"/>
  <c r="R11" i="7"/>
  <c r="Z11" i="7"/>
  <c r="AH11" i="7"/>
  <c r="AP11" i="7"/>
  <c r="AX11" i="7"/>
  <c r="BF11" i="7"/>
  <c r="BN11" i="7"/>
  <c r="BV11" i="7"/>
  <c r="CD11" i="7"/>
  <c r="L11" i="7"/>
  <c r="T11" i="7"/>
  <c r="AB11" i="7"/>
  <c r="AJ11" i="7"/>
  <c r="AR11" i="7"/>
  <c r="AZ11" i="7"/>
  <c r="BH11" i="7"/>
  <c r="BP11" i="7"/>
  <c r="BX11" i="7"/>
  <c r="E11" i="7"/>
  <c r="M11" i="7"/>
  <c r="U11" i="7"/>
  <c r="AC11" i="7"/>
  <c r="AK11" i="7"/>
  <c r="AS11" i="7"/>
  <c r="BA11" i="7"/>
  <c r="BI11" i="7"/>
  <c r="BQ11" i="7"/>
  <c r="BY11" i="7"/>
  <c r="V11" i="7"/>
  <c r="AQ11" i="7"/>
  <c r="BL11" i="7"/>
  <c r="F11" i="7"/>
  <c r="AA11" i="7"/>
  <c r="AV11" i="7"/>
  <c r="BR11" i="7"/>
  <c r="K11" i="7"/>
  <c r="AF11" i="7"/>
  <c r="BB11" i="7"/>
  <c r="BW11" i="7"/>
  <c r="N11" i="7"/>
  <c r="AI11" i="7"/>
  <c r="BD11" i="7"/>
  <c r="BZ11" i="7"/>
  <c r="P11" i="7"/>
  <c r="AL11" i="7"/>
  <c r="BG11" i="7"/>
  <c r="CB11" i="7"/>
  <c r="AT11" i="7"/>
  <c r="AY11" i="7"/>
  <c r="BJ11" i="7"/>
  <c r="S11" i="7"/>
  <c r="BT11" i="7"/>
  <c r="X11" i="7"/>
  <c r="CE11" i="7"/>
  <c r="AD11" i="7"/>
  <c r="AN11" i="7"/>
  <c r="BO11" i="7"/>
  <c r="H11" i="7"/>
  <c r="D11" i="7"/>
  <c r="BD2" i="8"/>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<sst xmlns="http://schemas.openxmlformats.org/spreadsheetml/2006/main" count="25098" uniqueCount="3013">
  <si>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</si>
  <si>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</si>
  <si>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</si>
  <si>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</si>
  <si>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</si>
  <si>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</si>
  <si>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</si>
  <si>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</si>
  <si>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</si>
  <si>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</si>
  <si>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</si>
  <si>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</si>
  <si>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</si>
  <si>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</si>
  <si>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</si>
  <si>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</si>
  <si>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</si>
  <si>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</si>
  <si>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</si>
  <si>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</si>
  <si>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</si>
  <si>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</si>
  <si>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</si>
  <si>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</si>
  <si>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</si>
  <si>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</si>
  <si>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</si>
  <si>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</si>
  <si>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</si>
  <si>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</si>
  <si>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</si>
  <si>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</si>
  <si>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</si>
  <si>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</si>
  <si>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</si>
  <si>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</si>
  <si>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</si>
  <si>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</si>
  <si>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</si>
  <si>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</si>
  <si>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</si>
  <si>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</si>
  <si>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</si>
  <si>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</si>
  <si>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</si>
  <si>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</si>
  <si>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</si>
  <si>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</si>
  <si>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</si>
  <si>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</si>
  <si>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</si>
  <si>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</si>
  <si>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</si>
  <si>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</si>
  <si>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</si>
  <si>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</si>
  <si>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</si>
  <si>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</si>
  <si>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</si>
  <si>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</si>
  <si>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</si>
  <si>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</si>
  <si>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</si>
  <si>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</si>
  <si>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</si>
  <si>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</si>
  <si>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</si>
  <si>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</si>
  <si>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</si>
  <si>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</si>
  <si>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</si>
  <si>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</si>
  <si>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</si>
  <si>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</si>
  <si>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</si>
  <si>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</si>
  <si>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</si>
  <si>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</si>
  <si>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</si>
  <si>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</si>
  <si>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</si>
  <si>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</si>
  <si>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</si>
  <si>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</si>
  <si>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</si>
  <si>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</si>
  <si>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</si>
  <si>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</si>
  <si>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</si>
  <si>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</si>
  <si>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</si>
  <si>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</si>
  <si>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</si>
  <si>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</si>
  <si>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</si>
  <si>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</si>
  <si>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</si>
  <si>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</si>
  <si>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</si>
  <si>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</si>
  <si>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</si>
  <si>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</si>
  <si>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</si>
  <si>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</si>
  <si>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</si>
  <si>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</si>
  <si>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</si>
  <si>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</si>
  <si>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</si>
  <si>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</si>
  <si>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</si>
  <si>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</si>
  <si>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</si>
  <si>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</si>
  <si>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</si>
  <si>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</si>
  <si>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</si>
  <si>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</si>
  <si>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</si>
  <si>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</si>
  <si>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</si>
  <si>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</si>
  <si>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</si>
  <si>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</si>
  <si>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</si>
  <si>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</si>
  <si>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</si>
  <si>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</si>
  <si>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</si>
  <si>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</si>
  <si>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</si>
  <si>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</si>
  <si>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</si>
  <si>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</si>
  <si>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</si>
  <si>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</si>
  <si>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</si>
  <si>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</si>
  <si>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</si>
  <si>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</si>
  <si>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</si>
  <si>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</si>
  <si>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</si>
  <si>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</si>
  <si>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</si>
  <si>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</si>
  <si>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</si>
  <si>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</si>
  <si>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</si>
  <si>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</si>
  <si>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</si>
  <si>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</si>
  <si>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</si>
  <si>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</si>
  <si>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</si>
  <si>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</si>
  <si>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</si>
  <si>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</si>
  <si>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</si>
  <si>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</si>
  <si>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</si>
  <si>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</si>
  <si>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</si>
  <si>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</si>
  <si>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</si>
  <si>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</si>
  <si>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</si>
  <si>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</si>
  <si>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</si>
  <si>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</si>
  <si>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</si>
  <si>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</si>
  <si>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</si>
  <si>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</si>
  <si>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</si>
  <si>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</si>
  <si>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</si>
  <si>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</si>
  <si>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</si>
  <si>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</si>
  <si>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</si>
  <si>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</si>
  <si>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</si>
  <si>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</si>
  <si>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</si>
  <si>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</si>
  <si>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</si>
  <si>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</si>
  <si>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</si>
  <si>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</si>
  <si>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</si>
  <si>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</si>
  <si>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</si>
  <si>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</si>
  <si>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</si>
  <si>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</si>
  <si>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</si>
  <si>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</si>
  <si>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</si>
  <si>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</si>
  <si>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</si>
  <si>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</si>
  <si>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</si>
  <si>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</si>
  <si>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</si>
  <si>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</si>
  <si>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</si>
  <si>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</si>
  <si>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</si>
  <si>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</si>
  <si>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</si>
  <si>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</si>
  <si>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</si>
  <si>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</si>
  <si>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</si>
  <si>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</si>
  <si>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</si>
  <si>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</si>
  <si>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</si>
  <si>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</si>
  <si>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</si>
  <si>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</si>
  <si>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</si>
  <si>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</si>
  <si>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</si>
  <si>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</si>
  <si>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</si>
  <si>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</si>
  <si>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</si>
  <si>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</si>
  <si>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</si>
  <si>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</si>
  <si>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</si>
  <si>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</si>
  <si>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</si>
  <si>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</si>
  <si>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</si>
  <si>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</si>
  <si>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</si>
  <si>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</si>
  <si>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</si>
  <si>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</si>
  <si>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</si>
  <si>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</si>
  <si>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</si>
  <si>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</si>
  <si>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</si>
  <si>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</si>
  <si>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</si>
  <si>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</si>
  <si>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</si>
  <si>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</si>
  <si>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</si>
  <si>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</si>
  <si>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</si>
  <si>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</si>
  <si>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</si>
  <si>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</si>
  <si>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</si>
  <si>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</si>
  <si>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</si>
  <si>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</si>
  <si>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</si>
  <si>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</si>
  <si>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</si>
  <si>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</si>
  <si>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</si>
  <si>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</si>
  <si>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</si>
  <si>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</si>
  <si>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</si>
  <si>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</si>
  <si>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</si>
  <si>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</si>
  <si>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</si>
  <si>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</si>
  <si>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</si>
  <si>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</si>
  <si>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</si>
  <si>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</si>
  <si>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</si>
  <si>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</si>
  <si>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</si>
  <si>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</si>
  <si>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</si>
  <si>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</si>
  <si>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</si>
  <si>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</si>
  <si>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</si>
  <si>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</si>
  <si>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</si>
  <si>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</si>
  <si>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</si>
  <si>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</si>
  <si>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</si>
  <si>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</si>
  <si>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</si>
  <si>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</si>
  <si>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</si>
  <si>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</si>
  <si>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</si>
  <si>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</si>
  <si>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</si>
  <si>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</si>
  <si>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</si>
  <si>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</si>
  <si>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</si>
  <si>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</si>
  <si>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</si>
  <si>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</si>
  <si>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</si>
  <si>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</si>
  <si>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</si>
  <si>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</si>
  <si>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</si>
  <si>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</si>
  <si>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</si>
  <si>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</si>
  <si>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</si>
  <si>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</si>
  <si>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</si>
  <si>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</si>
  <si>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</si>
  <si>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</si>
  <si>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</si>
  <si>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</si>
  <si>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</si>
  <si>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</si>
  <si>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</si>
  <si>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</si>
  <si>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</si>
  <si>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</si>
  <si>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</si>
  <si>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</si>
  <si>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</si>
  <si>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</si>
  <si>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</si>
  <si>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</si>
  <si>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</si>
  <si>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</si>
  <si>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</si>
  <si>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</si>
  <si>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</si>
  <si>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</si>
  <si>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</si>
  <si>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</si>
  <si>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</si>
  <si>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</si>
  <si>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</si>
  <si>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</si>
  <si>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</si>
  <si>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</si>
  <si>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</si>
  <si>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</si>
  <si>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</si>
  <si>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</si>
  <si>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</si>
  <si>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</si>
  <si>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</si>
  <si>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</si>
  <si>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</si>
  <si>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</si>
  <si>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</si>
  <si>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</si>
  <si>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</si>
  <si>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</si>
  <si>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</si>
  <si>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</si>
  <si>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</si>
  <si>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</si>
  <si>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</si>
  <si>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</si>
  <si>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</si>
  <si>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</si>
  <si>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</si>
  <si>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</si>
  <si>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</si>
  <si>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</si>
  <si>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</si>
  <si>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</si>
  <si>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</si>
  <si>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</si>
  <si>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</si>
  <si>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</si>
  <si>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</si>
  <si>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</si>
  <si>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</si>
  <si>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</si>
  <si>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</si>
  <si>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</si>
  <si>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</si>
  <si>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</si>
  <si>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</si>
  <si>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</si>
  <si>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</si>
  <si>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</si>
  <si>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</si>
  <si>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</si>
  <si>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</si>
  <si>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</si>
  <si>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</si>
  <si>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</si>
  <si>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</si>
  <si>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</si>
  <si>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</si>
  <si>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</si>
  <si>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</si>
  <si>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</si>
  <si>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</si>
  <si>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</si>
  <si>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</si>
  <si>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</si>
  <si>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</si>
  <si>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</si>
  <si>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</si>
  <si>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</si>
  <si>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</si>
  <si>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</si>
  <si>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</si>
  <si>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</si>
  <si>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</si>
  <si>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</si>
  <si>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</si>
  <si>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</si>
  <si>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</si>
  <si>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</si>
  <si>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</si>
  <si>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</si>
  <si>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</si>
  <si>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</si>
  <si>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</si>
  <si>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</si>
  <si>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</si>
  <si>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</si>
  <si>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</si>
  <si>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</si>
  <si>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</si>
  <si>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</si>
  <si>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</si>
  <si>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</si>
  <si>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</si>
  <si>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</si>
  <si>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</si>
  <si>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</si>
  <si>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</si>
  <si>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</si>
  <si>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</si>
  <si>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</si>
  <si>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</si>
  <si>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</si>
  <si>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</si>
  <si>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</si>
  <si>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</si>
  <si>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</si>
  <si>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</si>
  <si>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</si>
  <si>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</si>
  <si>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</si>
  <si>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</si>
  <si>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</si>
  <si>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</si>
  <si>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</si>
  <si>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</si>
  <si>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</si>
  <si>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</si>
  <si>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</si>
  <si>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</si>
  <si>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</si>
  <si>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</si>
  <si>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</si>
  <si>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</si>
  <si>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</si>
  <si>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</si>
  <si>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</si>
  <si>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</si>
  <si>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</si>
  <si>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</si>
  <si>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</si>
  <si>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</si>
  <si>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</si>
  <si>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</si>
  <si>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</si>
  <si>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</si>
  <si>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</si>
  <si>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</si>
  <si>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</si>
  <si>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</si>
  <si>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</si>
  <si>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</si>
  <si>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</si>
  <si>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</si>
  <si>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</si>
  <si>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</si>
  <si>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</si>
  <si>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</si>
  <si>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</si>
  <si>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</si>
  <si>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</si>
  <si>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</si>
  <si>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</si>
  <si>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</si>
  <si>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</si>
  <si>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</si>
  <si>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</si>
  <si>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</si>
  <si>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</si>
  <si>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</si>
  <si>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</si>
  <si>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</si>
  <si>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</si>
  <si>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</si>
  <si>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</si>
  <si>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</si>
  <si>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</si>
  <si>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</si>
  <si>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</si>
  <si>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</si>
  <si>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</si>
  <si>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</si>
  <si>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</si>
  <si>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</si>
  <si>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</si>
  <si>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</si>
  <si>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</si>
  <si>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</si>
  <si>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</si>
  <si>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</si>
  <si>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</si>
  <si>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</si>
  <si>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</si>
  <si>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</si>
  <si>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</si>
  <si>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</si>
  <si>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</si>
  <si>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</si>
  <si>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</si>
  <si>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</si>
  <si>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</si>
  <si>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</si>
  <si>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</si>
  <si>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</si>
  <si>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</si>
  <si>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</si>
  <si>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</si>
  <si>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</si>
  <si>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</si>
  <si>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</si>
  <si>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</si>
  <si>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</si>
  <si>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</si>
  <si>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</si>
  <si>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</si>
  <si>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</si>
  <si>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</si>
  <si>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</si>
  <si>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</si>
  <si>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</si>
  <si>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</si>
  <si>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</si>
  <si>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</si>
  <si>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</si>
  <si>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</si>
  <si>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</si>
  <si>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</si>
  <si>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</si>
  <si>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</si>
  <si>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</si>
  <si>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</si>
  <si>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</si>
  <si>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</si>
  <si>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</si>
  <si>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</si>
  <si>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</si>
  <si>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</si>
  <si>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</si>
  <si>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</si>
  <si>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</si>
  <si>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</si>
  <si>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</si>
  <si>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</si>
  <si>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</si>
  <si>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</si>
  <si>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</si>
  <si>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</si>
  <si>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</si>
  <si>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</si>
  <si>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</si>
  <si>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</si>
  <si>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</si>
  <si>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</si>
  <si>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</si>
  <si>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</si>
  <si>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</si>
  <si>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</si>
  <si>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</si>
  <si>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</si>
  <si>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</si>
  <si>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</si>
  <si>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</si>
  <si>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</si>
  <si>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</si>
  <si>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</si>
  <si>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</si>
  <si>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</si>
  <si>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</si>
  <si>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</si>
  <si>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</si>
  <si>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</si>
  <si>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</si>
  <si>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</si>
  <si>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</si>
  <si>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</si>
  <si>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</si>
  <si>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</si>
  <si>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</si>
  <si>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</si>
  <si>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</si>
  <si>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</si>
  <si>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</si>
  <si>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</si>
  <si>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</si>
  <si>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</si>
  <si>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</si>
  <si>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</si>
  <si>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</si>
  <si>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</si>
  <si>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</si>
  <si>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</si>
  <si>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</si>
  <si>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</si>
  <si>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</si>
  <si>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</si>
  <si>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</si>
  <si>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</si>
  <si>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</si>
  <si>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</si>
  <si>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</si>
  <si>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</si>
  <si>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</si>
  <si>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</si>
  <si>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</si>
  <si>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</si>
  <si>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</si>
  <si>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</si>
  <si>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</si>
  <si>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</si>
  <si>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</si>
  <si>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</si>
  <si>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</si>
  <si>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</si>
  <si>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</si>
  <si>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</si>
  <si>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</si>
  <si>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</si>
  <si>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</si>
  <si>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</si>
  <si>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</si>
  <si>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</si>
  <si>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</si>
  <si>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</si>
  <si>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</si>
  <si>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</si>
  <si>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</si>
  <si>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</si>
  <si>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</si>
  <si>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</si>
  <si>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</si>
  <si>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</si>
  <si>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</si>
  <si>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</si>
  <si>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</si>
  <si>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</si>
  <si>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</si>
  <si>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</si>
  <si>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</si>
  <si>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</si>
  <si>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</si>
  <si>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</si>
  <si>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</si>
  <si>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</si>
  <si>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</si>
  <si>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</si>
  <si>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</si>
  <si>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</si>
  <si>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</si>
  <si>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</si>
  <si>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</si>
  <si>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</si>
  <si>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</si>
  <si>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</si>
  <si>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</si>
  <si>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</si>
  <si>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</si>
  <si>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</si>
  <si>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</si>
  <si>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</si>
  <si>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</si>
  <si>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</si>
  <si>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</si>
  <si>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</si>
  <si>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</si>
  <si>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</si>
  <si>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</si>
  <si>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</si>
  <si>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</si>
  <si>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</si>
  <si>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</si>
  <si>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</si>
  <si>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</si>
  <si>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</si>
  <si>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</si>
  <si>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</si>
  <si>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</si>
  <si>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</si>
  <si>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</si>
  <si>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</si>
  <si>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</si>
  <si>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</si>
  <si>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</si>
  <si>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</si>
  <si>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</si>
  <si>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</si>
  <si>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</si>
  <si>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</si>
  <si>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</si>
  <si>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</si>
  <si>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</si>
  <si>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</si>
  <si>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</si>
  <si>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</si>
  <si>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</si>
  <si>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</si>
  <si>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</si>
  <si>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</si>
  <si>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</si>
  <si>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</si>
  <si>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</si>
  <si>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</si>
  <si>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</si>
  <si>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</si>
  <si>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</si>
  <si>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</si>
  <si>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</si>
  <si>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</si>
  <si>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</si>
  <si>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</si>
  <si>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</si>
  <si>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</si>
  <si>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</si>
  <si>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</si>
  <si>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</si>
  <si>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</si>
  <si>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</si>
  <si>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</si>
  <si>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</si>
  <si>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</si>
  <si>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</si>
  <si>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</si>
  <si>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</si>
  <si>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</si>
  <si>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</si>
  <si>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</si>
  <si>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</si>
  <si>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</si>
  <si>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</si>
  <si>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</si>
  <si>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</si>
  <si>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</si>
  <si>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</si>
  <si>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</si>
  <si>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</si>
  <si>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</si>
  <si>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</si>
  <si>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</si>
  <si>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</si>
  <si>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</si>
  <si>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</si>
  <si>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</si>
  <si>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</si>
  <si>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</si>
  <si>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</si>
  <si>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</si>
  <si>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</si>
  <si>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</si>
  <si>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</si>
  <si>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</si>
  <si>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</si>
  <si>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</si>
  <si>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</si>
  <si>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</si>
  <si>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</si>
  <si>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</si>
  <si>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</si>
  <si>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</si>
  <si>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</si>
  <si>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</si>
  <si>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</si>
  <si>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</si>
  <si>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</si>
  <si>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</si>
  <si>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</si>
  <si>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</si>
  <si>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</si>
  <si>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</si>
  <si>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</si>
  <si>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</si>
  <si>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</si>
  <si>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</si>
  <si>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</si>
  <si>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</si>
  <si>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</si>
  <si>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</si>
  <si>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</si>
  <si>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</si>
  <si>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</si>
  <si>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</si>
  <si>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</si>
  <si>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</si>
  <si>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</si>
  <si>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</si>
  <si>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</si>
  <si>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</si>
  <si>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</si>
  <si>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</si>
  <si>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</si>
  <si>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</si>
  <si>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</si>
  <si>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</si>
  <si>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</si>
  <si>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</si>
  <si>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</si>
  <si>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</si>
  <si>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</si>
  <si>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</si>
  <si>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</si>
  <si>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</si>
  <si>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</si>
  <si>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</si>
  <si>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</si>
  <si>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</si>
  <si>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</si>
  <si>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</si>
  <si>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</si>
  <si>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</si>
  <si>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</si>
  <si>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</si>
  <si>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</si>
  <si>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</si>
  <si>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</si>
  <si>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</si>
  <si>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</si>
  <si>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</si>
  <si>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</si>
  <si>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</si>
  <si>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</si>
  <si>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</si>
  <si>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</si>
  <si>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</si>
  <si>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</si>
  <si>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</si>
  <si>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</si>
  <si>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</si>
  <si>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</si>
  <si>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</si>
  <si>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</si>
  <si>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</si>
  <si>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</si>
  <si>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</si>
  <si>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</si>
  <si>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</si>
  <si>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</si>
  <si>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</si>
  <si>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</si>
  <si>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</si>
  <si>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</si>
  <si>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</si>
  <si>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</si>
  <si>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</si>
  <si>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</si>
  <si>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</si>
  <si>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</si>
  <si>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</si>
  <si>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</si>
  <si>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</si>
  <si>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</si>
  <si>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</si>
  <si>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</si>
  <si>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</si>
  <si>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</si>
  <si>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</si>
  <si>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</si>
  <si>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</si>
  <si>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</si>
  <si>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</si>
  <si>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</si>
  <si>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</si>
  <si>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</si>
  <si>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</si>
  <si>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</si>
  <si>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</si>
  <si>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</si>
  <si>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</si>
  <si>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</si>
  <si>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</si>
  <si>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</si>
  <si>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</si>
  <si>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</si>
  <si>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</si>
  <si>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</si>
  <si>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</si>
  <si>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</si>
  <si>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</si>
  <si>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</si>
  <si>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</si>
  <si>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</si>
  <si>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</si>
  <si>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</si>
  <si>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</si>
  <si>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</si>
  <si>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</si>
  <si>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</si>
  <si>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</si>
  <si>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</si>
  <si>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</si>
  <si>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</si>
  <si>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</si>
  <si>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</si>
  <si>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</si>
  <si>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</si>
  <si>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</si>
  <si>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</si>
  <si>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</si>
  <si>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</si>
  <si>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</si>
  <si>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</si>
  <si>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</si>
  <si>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</si>
  <si>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</si>
  <si>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</si>
  <si>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</si>
  <si>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</si>
  <si>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</si>
  <si>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</si>
  <si>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</si>
  <si>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</si>
  <si>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</si>
  <si>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</si>
  <si>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</si>
  <si>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</si>
  <si>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</si>
  <si>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</si>
  <si>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</si>
  <si>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</si>
  <si>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</si>
  <si>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</si>
  <si>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</si>
  <si>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</si>
  <si>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</si>
  <si>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</si>
  <si>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</si>
  <si>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</si>
  <si>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</si>
  <si>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</si>
  <si>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</si>
  <si>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</si>
  <si>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</si>
  <si>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</si>
  <si>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</si>
  <si>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</si>
  <si>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</si>
  <si>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</si>
  <si>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</si>
  <si>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</si>
  <si>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</si>
  <si>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</si>
  <si>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</si>
  <si>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</si>
  <si>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</si>
  <si>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</si>
  <si>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</si>
  <si>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</si>
  <si>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</si>
  <si>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</si>
  <si>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</si>
  <si>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</si>
  <si>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</si>
  <si>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</si>
  <si>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</si>
  <si>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</si>
  <si>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</si>
  <si>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</si>
  <si>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</si>
  <si>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</si>
  <si>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</si>
  <si>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</si>
  <si>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</si>
  <si>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</si>
  <si>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</si>
  <si>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</si>
  <si>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</si>
  <si>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</si>
  <si>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</si>
  <si>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</si>
  <si>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</si>
  <si>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</si>
  <si>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</si>
  <si>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</si>
  <si>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</si>
  <si>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</si>
  <si>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</si>
  <si>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</si>
  <si>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</si>
  <si>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</si>
  <si>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</si>
  <si>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</si>
  <si>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</si>
  <si>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</si>
  <si>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</si>
  <si>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</si>
  <si>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</si>
  <si>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</si>
  <si>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</si>
  <si>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</si>
  <si>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</si>
  <si>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</si>
  <si>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</si>
  <si>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</si>
  <si>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</si>
  <si>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</si>
  <si>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</si>
  <si>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</si>
  <si>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</si>
  <si>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</si>
  <si>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</si>
  <si>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</si>
  <si>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</si>
  <si>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</si>
  <si>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</si>
  <si>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</si>
  <si>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</si>
  <si>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</si>
  <si>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</si>
  <si>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</si>
  <si>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</si>
  <si>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</si>
  <si>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</si>
  <si>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</si>
  <si>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</si>
  <si>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</si>
  <si>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</si>
  <si>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</si>
  <si>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</si>
  <si>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</si>
  <si>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</si>
  <si>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</si>
  <si>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</si>
  <si>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</si>
  <si>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</si>
  <si>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</si>
  <si>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</si>
  <si>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</si>
  <si>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</si>
  <si>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</si>
  <si>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</si>
  <si>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</si>
  <si>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</si>
  <si>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</si>
  <si>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</si>
  <si>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</si>
  <si>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</si>
  <si>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</si>
  <si>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</si>
  <si>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</si>
  <si>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</si>
  <si>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</si>
  <si>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</si>
  <si>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</si>
  <si>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</si>
  <si>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</si>
  <si>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</si>
  <si>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</si>
  <si>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</si>
  <si>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</si>
  <si>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</si>
  <si>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</si>
  <si>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</si>
  <si>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</si>
  <si>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</si>
  <si>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</si>
  <si>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</si>
  <si>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</si>
  <si>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</si>
  <si>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</si>
  <si>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</si>
  <si>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</si>
  <si>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</si>
  <si>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</si>
  <si>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</si>
  <si>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</si>
  <si>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</si>
  <si>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</si>
  <si>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</si>
  <si>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</si>
  <si>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</si>
  <si>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</si>
  <si>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</si>
  <si>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</si>
  <si>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</si>
  <si>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</si>
  <si>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</si>
  <si>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</si>
  <si>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</si>
  <si>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</si>
  <si>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</si>
  <si>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</si>
  <si>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</si>
  <si>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</si>
  <si>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</si>
  <si>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</si>
  <si>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</si>
  <si>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</si>
  <si>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</si>
  <si>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</si>
  <si>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</si>
  <si>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</si>
  <si>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</si>
  <si>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</si>
  <si>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</si>
  <si>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</si>
  <si>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</si>
  <si>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</si>
  <si>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</si>
  <si>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</si>
  <si>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</si>
  <si>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</si>
  <si>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</si>
  <si>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</si>
  <si>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</si>
  <si>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</si>
  <si>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</si>
  <si>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</si>
  <si>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</si>
  <si>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</si>
  <si>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</si>
  <si>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</si>
  <si>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</si>
  <si>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</si>
  <si>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</si>
  <si>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</si>
  <si>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</si>
  <si>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</si>
  <si>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</si>
  <si>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</si>
  <si>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</si>
  <si>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</si>
  <si>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</si>
  <si>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</si>
  <si>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</si>
  <si>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</si>
  <si>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</si>
  <si>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</si>
  <si>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</si>
  <si>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</si>
  <si>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</si>
  <si>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</si>
  <si>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</si>
  <si>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</si>
  <si>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</si>
  <si>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</si>
  <si>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</si>
  <si>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</si>
  <si>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</si>
  <si>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</si>
  <si>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</si>
  <si>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</si>
  <si>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</si>
  <si>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</si>
  <si>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</si>
  <si>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</si>
  <si>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</si>
  <si>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</si>
  <si>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</si>
  <si>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</si>
  <si>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</si>
  <si>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</si>
  <si>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</si>
  <si>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</si>
  <si>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</si>
  <si>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</si>
  <si>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</si>
  <si>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</si>
  <si>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</si>
  <si>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</si>
  <si>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</si>
  <si>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</si>
  <si>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</si>
  <si>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</si>
  <si>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</si>
  <si>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</si>
  <si>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</si>
  <si>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</si>
  <si>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</si>
  <si>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</si>
  <si>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</si>
  <si>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</si>
  <si>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</si>
  <si>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</si>
  <si>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</si>
  <si>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</si>
  <si>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</si>
  <si>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</si>
  <si>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</si>
  <si>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</si>
  <si>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</si>
  <si>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</si>
  <si>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</si>
  <si>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</si>
  <si>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</si>
  <si>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</si>
  <si>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</si>
  <si>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</si>
  <si>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</si>
  <si>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</si>
  <si>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</si>
  <si>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</si>
  <si>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</si>
  <si>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</si>
  <si>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</si>
  <si>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</si>
  <si>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</si>
  <si>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</si>
  <si>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</si>
  <si>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</si>
  <si>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</si>
  <si>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</si>
  <si>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</si>
  <si>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</si>
  <si>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</si>
  <si>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</si>
  <si>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</si>
  <si>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</si>
  <si>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</si>
  <si>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</si>
  <si>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</si>
  <si>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</si>
  <si>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</si>
  <si>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</si>
  <si>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</si>
  <si>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</si>
  <si>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</si>
  <si>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</si>
  <si>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</si>
  <si>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</si>
  <si>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</si>
  <si>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</si>
  <si>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</si>
  <si>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</si>
  <si>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</si>
  <si>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</si>
  <si>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</si>
  <si>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</si>
  <si>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</si>
  <si>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</si>
  <si>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</si>
  <si>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</si>
  <si>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</si>
  <si>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</si>
  <si>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</si>
  <si>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</si>
  <si>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</si>
  <si>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</si>
  <si>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</si>
  <si>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</si>
  <si>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</si>
  <si>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</si>
  <si>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</si>
  <si>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</si>
  <si>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</si>
  <si>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</si>
  <si>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</si>
  <si>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</si>
  <si>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</si>
  <si>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</si>
  <si>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</si>
  <si>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</si>
  <si>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</si>
  <si>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</si>
  <si>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</si>
  <si>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</si>
  <si>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</si>
  <si>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</si>
  <si>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</si>
  <si>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</si>
  <si>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</si>
  <si>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</si>
  <si>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</si>
  <si>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</si>
  <si>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</si>
  <si>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</si>
  <si>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</si>
  <si>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</si>
  <si>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</si>
  <si>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</si>
  <si>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</si>
  <si>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</si>
  <si>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</si>
  <si>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</si>
  <si>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</si>
  <si>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</si>
  <si>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</si>
  <si>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</si>
  <si>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</si>
  <si>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</si>
  <si>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</si>
  <si>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</si>
  <si>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</si>
  <si>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</si>
  <si>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</si>
  <si>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</si>
  <si>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</si>
  <si>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</si>
  <si>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</si>
  <si>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</si>
  <si>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</si>
  <si>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</si>
  <si>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</si>
  <si>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</si>
  <si>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</si>
  <si>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</si>
  <si>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</si>
  <si>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</si>
  <si>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</si>
  <si>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</si>
  <si>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</si>
  <si>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</si>
  <si>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</si>
  <si>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</si>
  <si>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</si>
  <si>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</si>
  <si>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</si>
  <si>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</si>
  <si>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</si>
  <si>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</si>
  <si>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</si>
  <si>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</si>
  <si>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</si>
  <si>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</si>
  <si>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</si>
  <si>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</si>
  <si>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</si>
  <si>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</si>
  <si>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</si>
  <si>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</si>
  <si>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</si>
  <si>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</si>
  <si>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</si>
  <si>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</si>
  <si>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</si>
  <si>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</si>
  <si>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</si>
  <si>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</si>
  <si>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</si>
  <si>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</si>
  <si>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</si>
  <si>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</si>
  <si>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</si>
  <si>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</si>
  <si>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</si>
  <si>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</si>
  <si>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</si>
  <si>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</si>
  <si>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</si>
  <si>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</si>
  <si>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</si>
  <si>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</si>
  <si>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</si>
  <si>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</si>
  <si>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</si>
  <si>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</si>
  <si>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</si>
  <si>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</si>
  <si>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</si>
  <si>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</si>
  <si>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</si>
  <si>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</si>
  <si>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</si>
  <si>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</si>
  <si>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</si>
  <si>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</si>
  <si>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</si>
  <si>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</si>
  <si>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</si>
  <si>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</si>
  <si>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</si>
  <si>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</si>
  <si>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</si>
  <si>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</si>
  <si>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</si>
  <si>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</si>
  <si>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</si>
  <si>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</si>
  <si>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</si>
  <si>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</si>
  <si>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</si>
  <si>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</si>
  <si>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</si>
  <si>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</si>
  <si>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</si>
  <si>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</si>
  <si>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</si>
  <si>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</si>
  <si>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</si>
  <si>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</si>
  <si>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</si>
  <si>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</si>
  <si>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</si>
  <si>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</si>
  <si>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</si>
  <si>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</si>
  <si>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</si>
  <si>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</si>
  <si>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</si>
  <si>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</si>
  <si>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</si>
  <si>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</si>
  <si>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</si>
  <si>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</si>
  <si>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</si>
  <si>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</si>
  <si>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</si>
  <si>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</si>
  <si>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</si>
  <si>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</si>
  <si>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</si>
  <si>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</si>
  <si>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</si>
  <si>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</si>
  <si>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</si>
  <si>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</si>
  <si>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</si>
  <si>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</si>
  <si>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</si>
  <si>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</si>
  <si>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</si>
  <si>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</si>
  <si>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</si>
  <si>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</si>
  <si>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</si>
  <si>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</si>
  <si>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</si>
  <si>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</si>
  <si>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</si>
  <si>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</si>
  <si>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</si>
  <si>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</si>
  <si>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</si>
  <si>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</si>
  <si>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</si>
  <si>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</si>
  <si>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</si>
  <si>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</si>
  <si>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</si>
  <si>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</si>
  <si>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</si>
  <si>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</si>
  <si>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</si>
  <si>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</si>
  <si>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</si>
  <si>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</si>
  <si>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</si>
  <si>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</si>
  <si>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</si>
  <si>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</si>
  <si>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</si>
  <si>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</si>
  <si>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</si>
  <si>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</si>
  <si>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</si>
  <si>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</si>
  <si>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</si>
  <si>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</si>
  <si>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</si>
  <si>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</si>
  <si>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</si>
  <si>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</si>
  <si>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</si>
  <si>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</si>
  <si>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</si>
  <si>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</si>
  <si>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</si>
  <si>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</si>
  <si>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</si>
  <si>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</si>
  <si>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</si>
  <si>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</si>
  <si>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</si>
  <si>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</si>
  <si>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</si>
  <si>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</si>
  <si>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</si>
  <si>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</si>
  <si>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</si>
  <si>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</si>
  <si>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</si>
  <si>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</si>
  <si>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</si>
  <si>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</si>
  <si>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</si>
  <si>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</si>
  <si>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</si>
  <si>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</si>
  <si>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</si>
  <si>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</si>
  <si>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</si>
  <si>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</si>
  <si>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</si>
  <si>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</si>
  <si>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</si>
  <si>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</si>
  <si>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</si>
  <si>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</si>
  <si>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</si>
  <si>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</si>
  <si>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</si>
  <si>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</si>
  <si>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</si>
  <si>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</si>
  <si>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</si>
  <si>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</si>
  <si>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</si>
  <si>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</si>
  <si>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</si>
  <si>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</si>
  <si>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</si>
  <si>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</si>
  <si>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</si>
  <si>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</si>
  <si>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</si>
  <si>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</si>
  <si>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</si>
  <si>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</si>
  <si>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</si>
  <si>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</si>
  <si>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</si>
  <si>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</si>
  <si>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</si>
  <si>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</si>
  <si>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</si>
  <si>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</si>
  <si>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</si>
  <si>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</si>
  <si>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</si>
  <si>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</si>
  <si>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</si>
  <si>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</si>
  <si>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</si>
  <si>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</si>
  <si>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</si>
  <si>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</si>
  <si>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</si>
  <si>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</si>
  <si>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</si>
  <si>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</si>
  <si>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</si>
  <si>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</si>
  <si>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</si>
  <si>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</si>
  <si>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</si>
  <si>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</si>
  <si>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</si>
  <si>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</si>
  <si>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</si>
  <si>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</si>
  <si>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</si>
  <si>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</si>
  <si>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</si>
  <si>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</si>
  <si>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</si>
  <si>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</si>
  <si>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</si>
  <si>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</si>
  <si>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</si>
  <si>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</si>
  <si>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</si>
  <si>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</si>
  <si>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</si>
  <si>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</si>
  <si>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</si>
  <si>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</si>
  <si>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</si>
  <si>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</si>
  <si>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</si>
  <si>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</si>
  <si>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</si>
  <si>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</si>
  <si>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</si>
  <si>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</si>
  <si>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</si>
  <si>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</si>
  <si>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</si>
  <si>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</si>
  <si>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</si>
  <si>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</si>
  <si>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</si>
  <si>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</si>
  <si>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</si>
  <si>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</si>
  <si>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</si>
  <si>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</si>
  <si>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</si>
  <si>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</si>
  <si>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</si>
  <si>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</si>
  <si>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</si>
  <si>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</si>
  <si>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</si>
  <si>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</si>
  <si>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</si>
  <si>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</si>
  <si>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</si>
  <si>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</si>
  <si>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</si>
  <si>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</si>
  <si>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</si>
  <si>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</si>
  <si>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</si>
  <si>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</si>
  <si>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</si>
  <si>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</si>
  <si>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</si>
  <si>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</si>
  <si>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</si>
  <si>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</si>
  <si>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</si>
  <si>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</si>
  <si>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</si>
  <si>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</si>
  <si>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</si>
  <si>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</si>
  <si>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</si>
  <si>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</si>
  <si>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</si>
  <si>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</si>
  <si>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</si>
  <si>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</si>
  <si>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</si>
  <si>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</si>
  <si>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</si>
  <si>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</si>
  <si>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</si>
  <si>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</si>
  <si>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</si>
  <si>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</si>
  <si>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</si>
  <si>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</si>
  <si>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</si>
  <si>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</si>
  <si>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</si>
  <si>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</si>
  <si>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</si>
  <si>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</si>
  <si>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</si>
  <si>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</si>
  <si>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</si>
  <si>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</si>
  <si>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</si>
  <si>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</si>
  <si>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</si>
  <si>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</si>
  <si>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</si>
  <si>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</si>
  <si>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</si>
  <si>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</si>
  <si>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</si>
  <si>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</si>
  <si>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</si>
  <si>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</si>
  <si>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</si>
  <si>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</si>
  <si>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</si>
  <si>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</si>
  <si>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</si>
  <si>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</si>
  <si>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</si>
  <si>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</si>
  <si>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</si>
  <si>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</si>
  <si>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</si>
  <si>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</si>
  <si>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</si>
  <si>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</si>
  <si>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</si>
  <si>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</si>
  <si>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</si>
  <si>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</si>
  <si>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</si>
  <si>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</si>
  <si>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</si>
  <si>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</si>
  <si>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</si>
  <si>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</si>
  <si>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</si>
  <si>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</si>
  <si>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</si>
  <si>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</si>
  <si>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</si>
  <si>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</si>
  <si>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</si>
  <si>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</si>
  <si>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</si>
  <si>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</si>
  <si>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</si>
  <si>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</si>
  <si>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</si>
  <si>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</si>
  <si>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</si>
  <si>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</si>
  <si>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</si>
  <si>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</si>
  <si>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</si>
  <si>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</si>
  <si>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</si>
  <si>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</si>
  <si>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</si>
  <si>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</si>
  <si>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</si>
  <si>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</si>
  <si>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</si>
  <si>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</si>
  <si>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</si>
  <si>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</si>
  <si>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</si>
  <si>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</si>
  <si>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</si>
  <si>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</si>
  <si>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</si>
  <si>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</si>
  <si>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</si>
  <si>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</si>
  <si>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</si>
  <si>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</si>
  <si>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</si>
  <si>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</si>
  <si>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</si>
  <si>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</si>
  <si>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</si>
  <si>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</si>
  <si>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</si>
  <si>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</si>
  <si>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</si>
  <si>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</si>
  <si>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</si>
  <si>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</si>
  <si>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</si>
  <si>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</si>
  <si>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</si>
  <si>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</si>
  <si>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</si>
  <si>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</si>
  <si>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</si>
  <si>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</si>
  <si>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</si>
  <si>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</si>
  <si>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</si>
  <si>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</si>
  <si>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</si>
  <si>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</si>
  <si>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</si>
  <si>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</si>
  <si>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</si>
  <si>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</si>
  <si>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</si>
  <si>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</si>
  <si>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</si>
  <si>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</si>
  <si>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</si>
  <si>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</si>
  <si>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</si>
  <si>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</si>
  <si>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</si>
  <si>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</si>
  <si>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</si>
  <si>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</si>
  <si>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</si>
  <si>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</si>
  <si>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</si>
  <si>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</si>
  <si>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</si>
  <si>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</si>
  <si>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</si>
  <si>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</si>
  <si>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</si>
  <si>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</si>
  <si>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</si>
  <si>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</si>
  <si>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</si>
  <si>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</si>
  <si>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</si>
  <si>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</si>
  <si>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</si>
  <si>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</si>
  <si>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</si>
  <si>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</si>
  <si>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</si>
  <si>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</si>
  <si>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</si>
  <si>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</si>
  <si>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</si>
  <si>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</si>
  <si>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</si>
  <si>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</si>
  <si>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</si>
  <si>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</si>
  <si>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</si>
  <si>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</si>
  <si>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</si>
  <si>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</si>
  <si>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</si>
  <si>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</si>
  <si>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</si>
  <si>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</si>
  <si>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</si>
  <si>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</si>
  <si>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</si>
  <si>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</si>
  <si>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</si>
  <si>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</si>
  <si>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</si>
  <si>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</si>
  <si>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</si>
  <si>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</si>
  <si>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</si>
  <si>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</si>
  <si>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</si>
  <si>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</si>
  <si>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</si>
  <si>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</si>
  <si>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</si>
  <si>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</si>
  <si>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</si>
  <si>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</si>
  <si>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</si>
  <si>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</si>
  <si>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</si>
  <si>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</si>
  <si>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</si>
  <si>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</si>
  <si>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</si>
  <si>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</si>
  <si>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</si>
  <si>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</si>
  <si>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</si>
  <si>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</si>
  <si>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</si>
  <si>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</si>
  <si>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</si>
  <si>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</si>
  <si>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</si>
  <si>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</si>
  <si>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</si>
  <si>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</si>
  <si>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</si>
  <si>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</si>
  <si>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</si>
  <si>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</si>
  <si>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</si>
  <si>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</si>
  <si>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</si>
  <si>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</si>
  <si>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</si>
  <si>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</si>
  <si>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</si>
  <si>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</si>
  <si>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</si>
  <si>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</si>
  <si>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</si>
  <si>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</si>
  <si>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</si>
  <si>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</si>
  <si>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</si>
  <si>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</si>
  <si>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</si>
  <si>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</si>
  <si>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</si>
  <si>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</si>
  <si>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</si>
  <si>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</si>
  <si>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</si>
  <si>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</si>
  <si>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</si>
  <si>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</si>
  <si>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</si>
  <si>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</si>
  <si>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</si>
  <si>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</si>
  <si>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</si>
  <si>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</si>
  <si>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</si>
  <si>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</si>
  <si>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</si>
  <si>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</si>
  <si>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</si>
  <si>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</si>
  <si>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</si>
  <si>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</si>
  <si>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</si>
  <si>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</si>
  <si>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</si>
  <si>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</si>
  <si>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</si>
  <si>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</si>
  <si>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</si>
  <si>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</si>
  <si>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</si>
  <si>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</si>
  <si>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</si>
  <si>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</si>
  <si>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</si>
  <si>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</si>
  <si>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</si>
  <si>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</si>
  <si>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</si>
  <si>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</si>
  <si>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</si>
  <si>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</si>
  <si>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</si>
  <si>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</si>
  <si>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</si>
  <si>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</si>
  <si>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</si>
  <si>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</si>
  <si>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</si>
  <si>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</si>
  <si>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</si>
  <si>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</si>
  <si>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</si>
  <si>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</si>
  <si>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</si>
  <si>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</si>
  <si>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</si>
  <si>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</si>
  <si>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</si>
  <si>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</si>
  <si>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</si>
  <si>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</si>
  <si>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</si>
  <si>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</si>
  <si>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</si>
  <si>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</si>
  <si>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</si>
  <si>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</si>
  <si>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</si>
  <si>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</si>
  <si>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</si>
  <si>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</si>
  <si>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</si>
  <si>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</si>
  <si>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</si>
  <si>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</si>
  <si>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</si>
  <si>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</si>
  <si>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</si>
  <si>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</si>
  <si>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</si>
  <si>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</si>
  <si>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</si>
  <si>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</si>
  <si>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</si>
  <si>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</si>
  <si>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</si>
  <si>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</si>
  <si>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</si>
  <si>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</si>
  <si>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</si>
  <si>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</si>
  <si>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</si>
  <si>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</si>
  <si>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</si>
  <si>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</si>
  <si>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</si>
  <si>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</si>
  <si>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</si>
  <si>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</si>
  <si>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</si>
  <si>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</si>
  <si>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</si>
  <si>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</si>
  <si>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</si>
  <si>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</si>
  <si>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</si>
  <si>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</si>
  <si>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</si>
  <si>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</si>
  <si>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</si>
  <si>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</si>
  <si>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</si>
  <si>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</si>
  <si>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</si>
  <si>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</si>
  <si>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</si>
  <si>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</si>
  <si>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</si>
  <si>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</si>
  <si>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</si>
  <si>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</si>
  <si>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</si>
  <si>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</si>
  <si>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</si>
  <si>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</si>
  <si>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</si>
  <si>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</si>
  <si>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</si>
  <si>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</si>
  <si>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</si>
  <si>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</si>
  <si>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</si>
  <si>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</si>
  <si>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</si>
  <si>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</si>
  <si>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</si>
  <si>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</si>
  <si>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</si>
  <si>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</si>
  <si>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</si>
  <si>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</si>
  <si>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</si>
  <si>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</si>
  <si>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</si>
  <si>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</si>
  <si>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</si>
  <si>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</si>
  <si>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</si>
  <si>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</si>
  <si>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</si>
  <si>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</si>
  <si>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</si>
  <si>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</si>
  <si>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</si>
  <si>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</si>
  <si>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</si>
  <si>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</si>
  <si>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</si>
  <si>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</si>
  <si>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</si>
  <si>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</si>
  <si>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</si>
  <si>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</si>
  <si>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</si>
  <si>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</si>
  <si>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</si>
  <si>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</si>
  <si>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</si>
  <si>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</si>
  <si>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</si>
  <si>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</si>
  <si>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</si>
  <si>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</si>
  <si>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</si>
  <si>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</si>
  <si>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</si>
  <si>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</si>
  <si>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</si>
  <si>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</si>
  <si>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</si>
  <si>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</si>
  <si>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</si>
  <si>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</si>
  <si>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</si>
  <si>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</si>
  <si>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</si>
  <si>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</si>
  <si>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</si>
  <si>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</si>
  <si>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</si>
  <si>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</si>
  <si>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</si>
  <si>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</si>
  <si>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</si>
  <si>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</si>
  <si>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</si>
  <si>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</si>
  <si>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</si>
  <si>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</si>
  <si>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</si>
  <si>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</si>
  <si>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</si>
  <si>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</si>
  <si>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</si>
  <si>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</si>
  <si>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</si>
  <si>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</si>
  <si>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</si>
  <si>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</si>
  <si>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</si>
  <si>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</si>
  <si>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</si>
  <si>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</si>
  <si>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</si>
  <si>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</si>
  <si>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</si>
  <si>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</si>
  <si>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</si>
  <si>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</si>
  <si>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</si>
  <si>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</si>
  <si>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</si>
  <si>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</si>
  <si>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</si>
  <si>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</si>
  <si>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</si>
  <si>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</si>
  <si>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</si>
  <si>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</si>
  <si>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</si>
  <si>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</si>
  <si>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</si>
  <si>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</si>
  <si>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</si>
  <si>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</si>
  <si>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</si>
  <si>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</si>
  <si>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</si>
  <si>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</si>
  <si>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</si>
  <si>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</si>
  <si>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</si>
  <si>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</si>
  <si>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</si>
  <si>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</si>
  <si>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</si>
  <si>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</si>
  <si>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</si>
  <si>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</si>
  <si>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</si>
  <si>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</si>
  <si>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</si>
  <si>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</si>
  <si>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</si>
  <si>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</si>
  <si>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</si>
  <si>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</si>
  <si>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</si>
  <si>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</si>
  <si>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</si>
  <si>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</si>
  <si>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</si>
  <si>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</si>
  <si>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</si>
  <si>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</si>
  <si>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</si>
  <si>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</si>
  <si>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</si>
  <si>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</si>
  <si>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</si>
  <si>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</si>
  <si>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</si>
  <si>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</si>
  <si>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</si>
  <si>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</si>
  <si>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</si>
  <si>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</si>
  <si>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</si>
  <si>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</si>
  <si>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</si>
  <si>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</si>
  <si>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</si>
  <si>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</si>
  <si>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</si>
  <si>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</si>
  <si>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</si>
  <si>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</si>
  <si>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</si>
  <si>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</si>
  <si>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</si>
  <si>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</si>
  <si>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</si>
  <si>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</si>
  <si>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</si>
  <si>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</si>
  <si>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</si>
  <si>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</si>
  <si>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</si>
  <si>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</si>
  <si>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</si>
  <si>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</si>
  <si>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</si>
  <si>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</si>
  <si>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</si>
  <si>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</si>
  <si>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</si>
  <si>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</si>
  <si>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</si>
  <si>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</si>
  <si>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</si>
  <si>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</si>
  <si>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</si>
  <si>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</si>
  <si>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</si>
  <si>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</si>
  <si>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</si>
  <si>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</si>
  <si>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</si>
  <si>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</si>
  <si>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</si>
  <si>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</si>
  <si>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</si>
  <si>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</si>
  <si>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</si>
  <si>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</si>
  <si>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</si>
  <si>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</si>
  <si>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</si>
  <si>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</si>
  <si>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</si>
  <si>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</si>
  <si>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</si>
  <si>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</si>
  <si>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</si>
  <si>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</si>
  <si>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</si>
  <si>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</si>
  <si>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</si>
  <si>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</si>
  <si>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</si>
  <si>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</si>
  <si>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</si>
  <si>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</si>
  <si>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</si>
  <si>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</si>
  <si>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</si>
  <si>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</si>
  <si>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</si>
  <si>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</si>
  <si>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</si>
  <si>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</si>
  <si>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</si>
  <si>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</si>
  <si>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</si>
  <si>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</si>
  <si>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</si>
  <si>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</si>
  <si>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</si>
  <si>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</si>
  <si>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</si>
  <si>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</si>
  <si>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</si>
  <si>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</si>
  <si>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</si>
  <si>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</si>
  <si>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</si>
  <si>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</si>
  <si>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</si>
  <si>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</si>
  <si>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</si>
  <si>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</si>
  <si>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</si>
  <si>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</si>
  <si>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</si>
  <si>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</si>
  <si>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</si>
  <si>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</si>
  <si>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</si>
  <si>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</si>
  <si>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</si>
  <si>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</si>
  <si>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</si>
  <si>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</si>
  <si>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</si>
  <si>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</si>
  <si>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</si>
  <si>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</si>
  <si>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</si>
  <si>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</si>
  <si>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</si>
  <si>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</si>
  <si>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</si>
  <si>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</si>
  <si>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</si>
  <si>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</si>
  <si>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</si>
  <si>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</si>
  <si>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</si>
  <si>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</si>
  <si>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</si>
  <si>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</si>
  <si>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</si>
  <si>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</si>
  <si>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</si>
  <si>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</si>
  <si>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</si>
  <si>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</si>
  <si>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</si>
  <si>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</si>
  <si>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</si>
  <si>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</si>
  <si>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</si>
  <si>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</si>
  <si>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</si>
  <si>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</si>
  <si>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</si>
  <si>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</si>
  <si>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</si>
  <si>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</si>
  <si>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</si>
  <si>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</si>
  <si>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</si>
  <si>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</si>
  <si>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</si>
  <si>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</si>
  <si>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</si>
  <si>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</si>
  <si>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</si>
  <si>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</si>
  <si>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</si>
  <si>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</si>
  <si>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</si>
  <si>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</si>
  <si>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</si>
  <si>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</si>
  <si>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</si>
  <si>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</si>
  <si>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</si>
  <si>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</si>
  <si>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</si>
  <si>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</si>
  <si>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</si>
  <si>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</si>
  <si>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</si>
  <si>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</si>
  <si>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</si>
  <si>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</si>
  <si>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</si>
  <si>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</si>
  <si>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</si>
  <si>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</si>
  <si>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</si>
  <si>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</si>
  <si>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</si>
  <si>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</si>
  <si>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</si>
  <si>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</si>
  <si>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</si>
  <si>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</si>
  <si>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</si>
  <si>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</si>
  <si>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</si>
  <si>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</si>
  <si>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</si>
  <si>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</si>
  <si>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</si>
  <si>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</si>
  <si>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</si>
  <si>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</si>
  <si>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</si>
  <si>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</si>
  <si>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</si>
  <si>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</si>
  <si>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</si>
  <si>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</si>
  <si>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</si>
  <si>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</si>
  <si>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</si>
  <si>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</si>
  <si>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</si>
  <si>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</si>
  <si>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</si>
  <si>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</si>
  <si>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</si>
  <si>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</si>
  <si>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</si>
  <si>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</si>
  <si>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</si>
  <si>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</si>
  <si>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</si>
  <si>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</si>
  <si>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</si>
  <si>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</si>
  <si>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</si>
  <si>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</si>
  <si>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</si>
  <si>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</si>
  <si>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</si>
  <si>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</si>
  <si>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</si>
  <si>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</si>
  <si>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</si>
  <si>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</si>
  <si>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</si>
  <si>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</si>
  <si>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</si>
  <si>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</si>
  <si>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</si>
  <si>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</si>
  <si>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</si>
  <si>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</si>
  <si>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</si>
  <si>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</si>
  <si>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</si>
  <si>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</si>
  <si>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</si>
  <si>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</si>
  <si>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</si>
  <si>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</si>
  <si>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</si>
  <si>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</si>
  <si>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</si>
  <si>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</si>
  <si>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</si>
  <si>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</si>
  <si>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</si>
  <si>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</si>
  <si>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</si>
  <si>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</si>
  <si>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</si>
  <si>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</si>
  <si>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</si>
  <si>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</si>
  <si>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</si>
  <si>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</si>
  <si>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</si>
  <si>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</si>
  <si>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</si>
  <si>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</si>
  <si>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</si>
  <si>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</si>
  <si>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</si>
  <si>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</si>
  <si>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</si>
  <si>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</si>
  <si>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</si>
  <si>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</si>
  <si>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</si>
  <si>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</si>
  <si>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</si>
  <si>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</si>
  <si>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</si>
  <si>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</si>
  <si>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</si>
  <si>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</si>
  <si>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</si>
  <si>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</si>
  <si>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</si>
  <si>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</si>
  <si>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</si>
  <si>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</si>
  <si>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</si>
  <si>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</si>
  <si>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</si>
  <si>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</si>
  <si>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</si>
  <si>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</si>
  <si>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</si>
  <si>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</si>
  <si>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</si>
  <si>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</si>
  <si>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</si>
  <si>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</si>
  <si>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</si>
  <si>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</si>
  <si>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</si>
  <si>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</si>
  <si>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</si>
  <si>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</si>
  <si>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</si>
  <si>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</si>
  <si>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</si>
  <si>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</si>
  <si>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</si>
  <si>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</si>
  <si>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</si>
  <si>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</si>
  <si>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</si>
  <si>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</si>
  <si>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</si>
  <si>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</si>
  <si>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</si>
  <si>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</si>
  <si>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</si>
  <si>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</si>
  <si>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</si>
  <si>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</si>
  <si>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</si>
  <si>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</si>
  <si>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</si>
  <si>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</si>
  <si>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</si>
  <si>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</si>
  <si>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</si>
  <si>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</si>
  <si>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</si>
  <si>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</si>
  <si>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</si>
  <si>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</si>
  <si>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</si>
  <si>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</si>
  <si>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</si>
  <si>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</si>
  <si>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</si>
  <si>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</si>
  <si>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</si>
  <si>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</si>
  <si>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</si>
  <si>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</si>
  <si>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</si>
  <si>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</si>
  <si>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</si>
  <si>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</si>
  <si>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</si>
  <si>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</si>
  <si>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</si>
  <si>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</si>
  <si>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</si>
  <si>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</si>
  <si>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</si>
  <si>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</si>
  <si>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</si>
  <si>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</si>
  <si>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</si>
  <si>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</si>
  <si>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</si>
  <si>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</si>
  <si>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</si>
  <si>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</si>
  <si>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</si>
  <si>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</si>
  <si>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</si>
  <si>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</si>
  <si>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</si>
  <si>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</si>
  <si>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</si>
  <si>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</si>
  <si>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</si>
  <si>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</si>
  <si>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</si>
  <si>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</si>
  <si>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</si>
  <si>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</si>
  <si>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</si>
  <si>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</si>
  <si>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</si>
  <si>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</si>
  <si>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</si>
  <si>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</si>
  <si>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</si>
  <si>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</si>
  <si>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</si>
  <si>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</si>
  <si>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</si>
  <si>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</si>
  <si>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</si>
  <si>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</si>
  <si>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</si>
  <si>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</si>
  <si>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</si>
  <si>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</si>
  <si>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</si>
  <si>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</si>
  <si>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</si>
  <si>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</si>
  <si>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</si>
  <si>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</si>
  <si>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</si>
  <si>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</si>
  <si>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</si>
  <si>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</si>
  <si>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</si>
  <si>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</si>
  <si>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</si>
  <si>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</si>
  <si>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</si>
  <si>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</si>
  <si>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</si>
  <si>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</si>
  <si>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</si>
  <si>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</si>
  <si>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</si>
  <si>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</si>
  <si>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</si>
  <si>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</si>
  <si>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</si>
  <si>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</si>
  <si>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</si>
  <si>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</si>
  <si>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</si>
  <si>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</si>
  <si>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</si>
  <si>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</si>
  <si>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</si>
  <si>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</si>
  <si>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</si>
  <si>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</si>
  <si>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</si>
  <si>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</si>
  <si>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</si>
  <si>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</si>
  <si>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</si>
  <si>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</si>
  <si>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</si>
  <si>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</si>
  <si>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</si>
  <si>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</si>
  <si>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</si>
  <si>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</si>
  <si>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</si>
  <si>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</si>
  <si>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</si>
  <si>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</si>
  <si>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</si>
  <si>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</si>
  <si>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</si>
  <si>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</si>
  <si>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</si>
  <si>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</si>
  <si>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</si>
  <si>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</si>
  <si>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</si>
  <si>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</si>
  <si>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</si>
  <si>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</si>
  <si>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</si>
  <si>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</si>
  <si>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</si>
  <si>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</si>
  <si>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</si>
  <si>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</si>
  <si>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</si>
  <si>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</si>
  <si>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</si>
  <si>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</si>
  <si>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</si>
  <si>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</si>
  <si>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</si>
  <si>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</si>
  <si>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</si>
  <si>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</si>
  <si>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</si>
  <si>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</si>
  <si>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</si>
  <si>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</si>
  <si>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</si>
  <si>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</si>
  <si>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</si>
  <si>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</si>
  <si>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</si>
  <si>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</si>
  <si>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</si>
  <si>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</si>
  <si>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</si>
  <si>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</si>
  <si>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</si>
  <si>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</si>
  <si>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</si>
  <si>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</si>
  <si>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</si>
  <si>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</si>
  <si>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</si>
  <si>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</si>
  <si>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</si>
  <si>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</si>
  <si>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</si>
  <si>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</si>
  <si>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</si>
  <si>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</si>
  <si>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</si>
  <si>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</si>
  <si>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</si>
  <si>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</si>
  <si>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</si>
  <si>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</si>
  <si>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</si>
  <si>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</si>
  <si>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</si>
  <si>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</si>
  <si>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</si>
  <si>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</si>
  <si>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</si>
  <si>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</si>
  <si>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</si>
  <si>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</si>
  <si>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</si>
  <si>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</si>
  <si>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</si>
  <si>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</si>
  <si>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</si>
  <si>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</si>
  <si>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</si>
  <si>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</si>
  <si>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</si>
  <si>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</si>
  <si>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</si>
  <si>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</si>
  <si>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</si>
  <si>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</si>
  <si>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</si>
  <si>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</si>
  <si>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</si>
  <si>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</si>
  <si>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</si>
  <si>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</si>
  <si>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</si>
  <si>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</si>
  <si>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</si>
  <si>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</si>
  <si>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</si>
  <si>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</si>
  <si>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</si>
  <si>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</si>
  <si>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</si>
  <si>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</si>
  <si>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</si>
  <si>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</si>
  <si>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</si>
  <si>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</si>
  <si>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</si>
  <si>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</si>
  <si>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</si>
  <si>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</si>
  <si>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</si>
  <si>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</si>
  <si>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</si>
  <si>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</si>
  <si>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</si>
  <si>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</si>
  <si>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</si>
  <si>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</si>
  <si>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</si>
  <si>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</si>
  <si>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</si>
  <si>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</si>
  <si>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</si>
  <si>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</si>
  <si>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</si>
  <si>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</si>
  <si>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</si>
  <si>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</si>
  <si>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</si>
  <si>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</si>
  <si>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</si>
  <si>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</si>
  <si>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</si>
  <si>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</si>
  <si>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</si>
  <si>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</si>
  <si>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</si>
  <si>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</si>
  <si>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</si>
  <si>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</si>
  <si>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</si>
  <si>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</si>
  <si>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</si>
  <si>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</si>
  <si>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</si>
  <si>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</si>
  <si>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</si>
  <si>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</si>
  <si>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</si>
  <si>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</si>
  <si>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</si>
  <si>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</si>
  <si>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</si>
  <si>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</si>
  <si>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</si>
  <si>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</si>
  <si>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</si>
  <si>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</si>
  <si>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</si>
  <si>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</si>
  <si>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</si>
  <si>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</si>
  <si>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</si>
  <si>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</si>
  <si>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</si>
  <si>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</si>
  <si>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</si>
  <si>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</si>
  <si>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</si>
  <si>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</si>
  <si>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</si>
  <si>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</si>
  <si>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</si>
  <si>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</si>
  <si>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</si>
  <si>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</si>
  <si>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</si>
  <si>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</si>
  <si>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</si>
  <si>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</si>
  <si>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</si>
  <si>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</si>
  <si>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</si>
  <si>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</si>
  <si>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</si>
  <si>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</si>
  <si>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</si>
  <si>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</si>
  <si>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</si>
  <si>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</si>
  <si>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</si>
  <si>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</si>
  <si>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</si>
  <si>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</si>
  <si>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</si>
  <si>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</si>
  <si>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</si>
  <si>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</si>
  <si>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</si>
  <si>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</si>
  <si>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</si>
  <si>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</si>
  <si>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</si>
  <si>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</si>
  <si>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</si>
  <si>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</si>
  <si>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</si>
  <si>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</si>
  <si>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</si>
  <si>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</si>
  <si>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</si>
  <si>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</si>
  <si>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</si>
  <si>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</si>
  <si>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</si>
  <si>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</si>
  <si>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</si>
  <si>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</si>
  <si>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</si>
  <si>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</si>
  <si>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</si>
  <si>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</si>
  <si>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</si>
  <si>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</si>
  <si>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</si>
  <si>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</si>
  <si>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</si>
  <si>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</si>
  <si>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</si>
  <si>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</si>
  <si>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</si>
  <si>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</si>
  <si>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</si>
  <si>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</si>
  <si>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</si>
  <si>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</si>
  <si>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</si>
  <si>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</si>
  <si>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</si>
  <si>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</si>
  <si>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</si>
  <si>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</si>
  <si>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</si>
  <si>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</si>
  <si>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</si>
  <si>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</si>
  <si>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</si>
  <si>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</si>
  <si>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</si>
  <si>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</si>
  <si>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</si>
  <si>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</si>
  <si>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</si>
  <si>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</si>
  <si>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</si>
  <si>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</si>
  <si>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</si>
  <si>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</si>
  <si>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</si>
  <si>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</si>
  <si>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</si>
  <si>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</si>
  <si>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</si>
  <si>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</si>
  <si>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</si>
  <si>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</si>
  <si>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</si>
  <si>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</si>
  <si>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</si>
  <si>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</si>
  <si>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</si>
  <si>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</si>
  <si>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</si>
  <si>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</si>
  <si>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</si>
  <si>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</si>
  <si>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</si>
  <si>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</si>
  <si>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</si>
  <si>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</si>
  <si>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</si>
  <si>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</si>
  <si>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</si>
  <si>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</si>
  <si>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</si>
  <si>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</si>
  <si>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</si>
  <si>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</si>
  <si>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</si>
  <si>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</si>
  <si>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</si>
  <si>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</si>
  <si>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</si>
  <si>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</si>
  <si>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</si>
  <si>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</si>
  <si>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</si>
  <si>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</si>
  <si>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</si>
  <si>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</si>
  <si>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</si>
  <si>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</si>
  <si>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</si>
  <si>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</si>
  <si>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</si>
  <si>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</si>
  <si>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</si>
  <si>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</si>
  <si>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</si>
  <si>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</si>
  <si>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</si>
  <si>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</si>
  <si>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</si>
  <si>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</si>
  <si>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</si>
  <si>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</si>
  <si>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</si>
  <si>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</si>
  <si>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</si>
  <si>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</si>
  <si>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</si>
  <si>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</si>
  <si>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</si>
  <si>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</si>
  <si>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</si>
  <si>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</si>
  <si>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</si>
  <si>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</si>
  <si>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</si>
  <si>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</si>
  <si>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</si>
  <si>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</si>
  <si>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</si>
  <si>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</si>
  <si>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</si>
  <si>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</si>
  <si>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</si>
  <si>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</si>
  <si>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</si>
  <si>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</si>
  <si>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</si>
  <si>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</si>
  <si>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</si>
  <si>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</si>
  <si>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</si>
  <si>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</si>
  <si>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</si>
  <si>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</si>
  <si>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</si>
  <si>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</si>
  <si>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</si>
  <si>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</si>
  <si>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</si>
  <si>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</si>
  <si>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</si>
  <si>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</si>
  <si>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</si>
  <si>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</si>
  <si>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</si>
  <si>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</si>
  <si>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</si>
  <si>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</si>
  <si>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</si>
  <si>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</si>
  <si>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</si>
  <si>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</si>
  <si>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</si>
  <si>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</si>
  <si>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</si>
  <si>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</si>
  <si>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</si>
  <si>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</si>
  <si>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</si>
  <si>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</si>
  <si>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</si>
  <si>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</si>
  <si>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</si>
  <si>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</si>
  <si>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</si>
  <si>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</si>
  <si>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</si>
  <si>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</si>
  <si>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</si>
  <si>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</si>
  <si>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</si>
  <si>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</si>
  <si>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</si>
  <si>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</si>
  <si>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</si>
  <si>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</si>
  <si>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</si>
  <si>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</si>
  <si>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</si>
  <si>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</si>
  <si>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</si>
  <si>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</si>
  <si>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</si>
  <si>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</si>
  <si>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</si>
  <si>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</si>
  <si>
    <t>Source: https://www1.nepoolgis.com/myModule/rpt/ssrs.asp?rn=114&amp;r=%2FPROD%2FNEPOOLGIS%2FPublic%2FNEPOOL_FuelTypeStatistics&amp;apxReportTitle=Emission%20and%20Fuel%20Type%20Statistics</t>
  </si>
  <si>
    <t>Generation from RECS</t>
  </si>
  <si>
    <t>Total net generation</t>
  </si>
  <si>
    <t>RPS percent requirement 2022</t>
  </si>
  <si>
    <t>estimated percent from RECS</t>
  </si>
  <si>
    <t>assume 60% of RPS met with RECS going forward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</si>
</sst>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000000"/>
    <numFmt numFmtId="167" formatCode="_(* #,##0_);_(* \(#,##0\);_(* &quot;-&quot;??_);_(@_)"/>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6">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
      <patternFill patternType="solid">
        <fgColor theme="6"/>
        <bgColor indexed="64"/>
      </patternFill>
    </fill>
    <fill>
      <patternFill patternType="solid">
        <fgColor theme="6" tint="0.39997558519241921"/>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4">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43" fontId="3" fillId="0" borderId="0" applyFont="0" applyFill="0" applyBorder="0" applyAlignment="0" applyProtection="0"/>
  </cellStyleXfs>
  <cellXfs count="150">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167" fontId="0" fillId="0" borderId="0" xfId="13" applyNumberFormat="1" applyFont="1"/>
    <xf numFmtId="9" fontId="0" fillId="0" borderId="0" xfId="0" applyNumberFormat="1"/>
    <xf numFmtId="9" fontId="3" fillId="0" borderId="0" xfId="1"/>
    <xf numFmtId="164" fontId="1" fillId="24" borderId="1" xfId="0" applyNumberFormat="1" applyFont="1" applyFill="1" applyBorder="1" applyAlignment="1">
      <alignment vertical="center"/>
    </xf>
    <xf numFmtId="164" fontId="1" fillId="25" borderId="1" xfId="0" applyNumberFormat="1" applyFont="1" applyFill="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4">
    <cellStyle name="Body: normal cell" xfId="6" xr:uid="{00000000-0005-0000-0000-000006000000}"/>
    <cellStyle name="Comma" xfId="13" builtinId="3"/>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90</v>
      </c>
      <c r="C1" s="117">
        <v>45313</v>
      </c>
      <c r="D1" s="118"/>
      <c r="E1" s="118"/>
      <c r="F1" s="118"/>
      <c r="G1" s="118"/>
      <c r="H1" s="118"/>
      <c r="J1" s="118"/>
      <c r="K1" s="116" t="s">
        <v>2</v>
      </c>
      <c r="L1" s="116" t="s">
        <v>3</v>
      </c>
    </row>
    <row r="2" spans="1:12" x14ac:dyDescent="0.25">
      <c r="A2" s="1" t="s">
        <v>4</v>
      </c>
      <c r="B2" s="118" t="str">
        <f>LOOKUP(B1,K1:L50,L1:L50)</f>
        <v>ND</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3"/>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topLeftCell="A36" workbookViewId="0">
      <selection activeCell="O42" sqref="O42"/>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M42" si="36">I42+0.015</f>
        <v>0.1</v>
      </c>
      <c r="K42" s="92">
        <f t="shared" si="36"/>
        <v>0.115</v>
      </c>
      <c r="L42" s="92">
        <f t="shared" si="36"/>
        <v>0.13</v>
      </c>
      <c r="M42" s="92">
        <f t="shared" si="36"/>
        <v>0.14500000000000002</v>
      </c>
      <c r="N42" s="92">
        <f>O42</f>
        <v>7.6571832216865365E-2</v>
      </c>
      <c r="O42" s="128">
        <f>P42</f>
        <v>7.6571832216865365E-2</v>
      </c>
      <c r="P42" s="146">
        <f>19%*(1-'Extra State Data'!B78)</f>
        <v>7.6571832216865365E-2</v>
      </c>
      <c r="Q42" s="147">
        <f>P42+($AA$42-$P$42)/COUNTA($Q$2:$AA$2)</f>
        <v>0.10624799685593758</v>
      </c>
      <c r="R42" s="147">
        <f t="shared" ref="R42:Z42" si="37">Q42+($AA$42-$P$42)/COUNTA($Q$2:$AA$2)</f>
        <v>0.1359241614950098</v>
      </c>
      <c r="S42" s="147">
        <f t="shared" si="37"/>
        <v>0.16560032613408202</v>
      </c>
      <c r="T42" s="147">
        <f t="shared" si="37"/>
        <v>0.19527649077315423</v>
      </c>
      <c r="U42" s="147">
        <f t="shared" si="37"/>
        <v>0.22495265541222645</v>
      </c>
      <c r="V42" s="147">
        <f t="shared" si="37"/>
        <v>0.25462882005129867</v>
      </c>
      <c r="W42" s="147">
        <f t="shared" si="37"/>
        <v>0.28430498469037091</v>
      </c>
      <c r="X42" s="147">
        <f t="shared" si="37"/>
        <v>0.31398114932944315</v>
      </c>
      <c r="Y42" s="147">
        <f t="shared" si="37"/>
        <v>0.3436573139685154</v>
      </c>
      <c r="Z42" s="147">
        <f t="shared" si="37"/>
        <v>0.37333347860758764</v>
      </c>
      <c r="AA42" s="146">
        <f>100%*(1-'Extra State Data'!B78)</f>
        <v>0.40300964324665978</v>
      </c>
      <c r="AB42" s="146">
        <f>AA42</f>
        <v>0.40300964324665978</v>
      </c>
      <c r="AC42" s="146">
        <f t="shared" ref="AC42:AR42" si="38">AB42</f>
        <v>0.40300964324665978</v>
      </c>
      <c r="AD42" s="146">
        <f t="shared" si="38"/>
        <v>0.40300964324665978</v>
      </c>
      <c r="AE42" s="146">
        <f t="shared" si="38"/>
        <v>0.40300964324665978</v>
      </c>
      <c r="AF42" s="146">
        <f t="shared" si="38"/>
        <v>0.40300964324665978</v>
      </c>
      <c r="AG42" s="146">
        <f t="shared" si="38"/>
        <v>0.40300964324665978</v>
      </c>
      <c r="AH42" s="146">
        <f t="shared" si="38"/>
        <v>0.40300964324665978</v>
      </c>
      <c r="AI42" s="146">
        <f t="shared" si="38"/>
        <v>0.40300964324665978</v>
      </c>
      <c r="AJ42" s="146">
        <f t="shared" si="38"/>
        <v>0.40300964324665978</v>
      </c>
      <c r="AK42" s="146">
        <f t="shared" si="38"/>
        <v>0.40300964324665978</v>
      </c>
      <c r="AL42" s="146">
        <f t="shared" si="38"/>
        <v>0.40300964324665978</v>
      </c>
      <c r="AM42" s="146">
        <f t="shared" si="38"/>
        <v>0.40300964324665978</v>
      </c>
      <c r="AN42" s="146">
        <f t="shared" si="38"/>
        <v>0.40300964324665978</v>
      </c>
      <c r="AO42" s="146">
        <f t="shared" si="38"/>
        <v>0.40300964324665978</v>
      </c>
      <c r="AP42" s="146">
        <f t="shared" si="38"/>
        <v>0.40300964324665978</v>
      </c>
      <c r="AQ42" s="146">
        <f t="shared" si="38"/>
        <v>0.40300964324665978</v>
      </c>
      <c r="AR42" s="146">
        <f t="shared" si="38"/>
        <v>0.40300964324665978</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9">$I46+($S46-$I46)*(J$2-$I$2)/($S$2-$I$2)</f>
        <v>4.9296408778722808E-2</v>
      </c>
      <c r="K46" s="92">
        <f t="shared" si="39"/>
        <v>5.2914644029502529E-2</v>
      </c>
      <c r="L46" s="92">
        <f t="shared" si="39"/>
        <v>5.653287928028225E-2</v>
      </c>
      <c r="M46" s="92">
        <f t="shared" si="39"/>
        <v>6.0151114531061978E-2</v>
      </c>
      <c r="N46" s="92">
        <f t="shared" si="39"/>
        <v>6.3769349781841692E-2</v>
      </c>
      <c r="O46" s="128">
        <f t="shared" si="39"/>
        <v>6.7387585032621419E-2</v>
      </c>
      <c r="P46" s="128">
        <f t="shared" si="39"/>
        <v>7.1005820283401133E-2</v>
      </c>
      <c r="Q46" s="128">
        <f t="shared" si="39"/>
        <v>7.4624055534180861E-2</v>
      </c>
      <c r="R46" s="128">
        <f t="shared" si="39"/>
        <v>7.8242290784960589E-2</v>
      </c>
      <c r="S46" s="139">
        <f>10000/'Extra State Data'!B38</f>
        <v>8.1860526035740303E-2</v>
      </c>
      <c r="T46" s="128">
        <f t="shared" ref="T46:AR46" si="40">$S46</f>
        <v>8.1860526035740303E-2</v>
      </c>
      <c r="U46" s="128">
        <f t="shared" si="40"/>
        <v>8.1860526035740303E-2</v>
      </c>
      <c r="V46" s="128">
        <f t="shared" si="40"/>
        <v>8.1860526035740303E-2</v>
      </c>
      <c r="W46" s="128">
        <f t="shared" si="40"/>
        <v>8.1860526035740303E-2</v>
      </c>
      <c r="X46" s="128">
        <f t="shared" si="40"/>
        <v>8.1860526035740303E-2</v>
      </c>
      <c r="Y46" s="128">
        <f t="shared" si="40"/>
        <v>8.1860526035740303E-2</v>
      </c>
      <c r="Z46" s="128">
        <f t="shared" si="40"/>
        <v>8.1860526035740303E-2</v>
      </c>
      <c r="AA46" s="128">
        <f t="shared" si="40"/>
        <v>8.1860526035740303E-2</v>
      </c>
      <c r="AB46" s="128">
        <f t="shared" si="40"/>
        <v>8.1860526035740303E-2</v>
      </c>
      <c r="AC46" s="128">
        <f t="shared" si="40"/>
        <v>8.1860526035740303E-2</v>
      </c>
      <c r="AD46" s="128">
        <f t="shared" si="40"/>
        <v>8.1860526035740303E-2</v>
      </c>
      <c r="AE46" s="128">
        <f t="shared" si="40"/>
        <v>8.1860526035740303E-2</v>
      </c>
      <c r="AF46" s="128">
        <f t="shared" si="40"/>
        <v>8.1860526035740303E-2</v>
      </c>
      <c r="AG46" s="128">
        <f t="shared" si="40"/>
        <v>8.1860526035740303E-2</v>
      </c>
      <c r="AH46" s="128">
        <f t="shared" si="40"/>
        <v>8.1860526035740303E-2</v>
      </c>
      <c r="AI46" s="128">
        <f t="shared" si="40"/>
        <v>8.1860526035740303E-2</v>
      </c>
      <c r="AJ46" s="128">
        <f t="shared" si="40"/>
        <v>8.1860526035740303E-2</v>
      </c>
      <c r="AK46" s="128">
        <f t="shared" si="40"/>
        <v>8.1860526035740303E-2</v>
      </c>
      <c r="AL46" s="128">
        <f t="shared" si="40"/>
        <v>8.1860526035740303E-2</v>
      </c>
      <c r="AM46" s="128">
        <f t="shared" si="40"/>
        <v>8.1860526035740303E-2</v>
      </c>
      <c r="AN46" s="128">
        <f t="shared" si="40"/>
        <v>8.1860526035740303E-2</v>
      </c>
      <c r="AO46" s="128">
        <f t="shared" si="40"/>
        <v>8.1860526035740303E-2</v>
      </c>
      <c r="AP46" s="128">
        <f t="shared" si="40"/>
        <v>8.1860526035740303E-2</v>
      </c>
      <c r="AQ46" s="128">
        <f t="shared" si="40"/>
        <v>8.1860526035740303E-2</v>
      </c>
      <c r="AR46" s="128">
        <f t="shared" si="40"/>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1">$K48+($Z48-$K48)*(L$2-$K$2)/($Z$2-$K$2)</f>
        <v>0.56333333333333335</v>
      </c>
      <c r="M48" s="92">
        <f t="shared" si="41"/>
        <v>0.57666666666666666</v>
      </c>
      <c r="N48" s="92">
        <f t="shared" si="41"/>
        <v>0.59000000000000008</v>
      </c>
      <c r="O48" s="128">
        <f t="shared" si="41"/>
        <v>0.60333333333333339</v>
      </c>
      <c r="P48" s="128">
        <f t="shared" si="41"/>
        <v>0.6166666666666667</v>
      </c>
      <c r="Q48" s="128">
        <f t="shared" si="41"/>
        <v>0.63</v>
      </c>
      <c r="R48" s="128">
        <f t="shared" si="41"/>
        <v>0.64333333333333331</v>
      </c>
      <c r="S48" s="128">
        <f t="shared" si="41"/>
        <v>0.65666666666666673</v>
      </c>
      <c r="T48" s="128">
        <f t="shared" si="41"/>
        <v>0.67</v>
      </c>
      <c r="U48" s="128">
        <f t="shared" si="41"/>
        <v>0.68333333333333335</v>
      </c>
      <c r="V48" s="128">
        <f t="shared" si="41"/>
        <v>0.69666666666666666</v>
      </c>
      <c r="W48" s="128">
        <f t="shared" si="41"/>
        <v>0.71</v>
      </c>
      <c r="X48" s="128">
        <f t="shared" si="41"/>
        <v>0.72333333333333338</v>
      </c>
      <c r="Y48" s="128">
        <f t="shared" si="41"/>
        <v>0.73666666666666669</v>
      </c>
      <c r="Z48" s="131">
        <v>0.75</v>
      </c>
      <c r="AA48" s="126">
        <f t="shared" ref="AA48:AR48" si="42">$Z48</f>
        <v>0.75</v>
      </c>
      <c r="AB48" s="126">
        <f t="shared" si="42"/>
        <v>0.75</v>
      </c>
      <c r="AC48" s="126">
        <f t="shared" si="42"/>
        <v>0.75</v>
      </c>
      <c r="AD48" s="126">
        <f t="shared" si="42"/>
        <v>0.75</v>
      </c>
      <c r="AE48" s="126">
        <f t="shared" si="42"/>
        <v>0.75</v>
      </c>
      <c r="AF48" s="126">
        <f t="shared" si="42"/>
        <v>0.75</v>
      </c>
      <c r="AG48" s="126">
        <f t="shared" si="42"/>
        <v>0.75</v>
      </c>
      <c r="AH48" s="126">
        <f t="shared" si="42"/>
        <v>0.75</v>
      </c>
      <c r="AI48" s="126">
        <f t="shared" si="42"/>
        <v>0.75</v>
      </c>
      <c r="AJ48" s="126">
        <f t="shared" si="42"/>
        <v>0.75</v>
      </c>
      <c r="AK48" s="126">
        <f t="shared" si="42"/>
        <v>0.75</v>
      </c>
      <c r="AL48" s="126">
        <f t="shared" si="42"/>
        <v>0.75</v>
      </c>
      <c r="AM48" s="126">
        <f t="shared" si="42"/>
        <v>0.75</v>
      </c>
      <c r="AN48" s="126">
        <f t="shared" si="42"/>
        <v>0.75</v>
      </c>
      <c r="AO48" s="126">
        <f t="shared" si="42"/>
        <v>0.75</v>
      </c>
      <c r="AP48" s="126">
        <f t="shared" si="42"/>
        <v>0.75</v>
      </c>
      <c r="AQ48" s="126">
        <f t="shared" si="42"/>
        <v>0.75</v>
      </c>
      <c r="AR48" s="126">
        <f t="shared" si="42"/>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3">($AH$49-$X$49)/COUNT($Y$2:$AH$2)+X49</f>
        <v>0.27766629809338272</v>
      </c>
      <c r="Z49" s="126">
        <f t="shared" si="43"/>
        <v>0.30667620983448241</v>
      </c>
      <c r="AA49" s="126">
        <f t="shared" si="43"/>
        <v>0.33568612157558209</v>
      </c>
      <c r="AB49" s="126">
        <f t="shared" si="43"/>
        <v>0.36469603331668177</v>
      </c>
      <c r="AC49" s="126">
        <f t="shared" si="43"/>
        <v>0.39370594505778145</v>
      </c>
      <c r="AD49" s="126">
        <f t="shared" si="43"/>
        <v>0.42271585679888113</v>
      </c>
      <c r="AE49" s="126">
        <f t="shared" si="43"/>
        <v>0.45172576853998081</v>
      </c>
      <c r="AF49" s="126">
        <f t="shared" si="43"/>
        <v>0.48073568028108049</v>
      </c>
      <c r="AG49" s="126">
        <f t="shared" si="43"/>
        <v>0.50974559202218017</v>
      </c>
      <c r="AH49" s="129">
        <f>0.65*'Extra State Data'!B65/'Extra State Data'!B66</f>
        <v>0.53875550376327985</v>
      </c>
      <c r="AI49" s="126">
        <f t="shared" ref="AI49:AQ49" si="44">($AR$49-$AH$49)/COUNT($AI$2:$AR$2)+AH49</f>
        <v>0.56776541550437953</v>
      </c>
      <c r="AJ49" s="126">
        <f t="shared" si="44"/>
        <v>0.59677532724547921</v>
      </c>
      <c r="AK49" s="126">
        <f t="shared" si="44"/>
        <v>0.6257852389865789</v>
      </c>
      <c r="AL49" s="126">
        <f t="shared" si="44"/>
        <v>0.65479515072767858</v>
      </c>
      <c r="AM49" s="126">
        <f t="shared" si="44"/>
        <v>0.68380506246877826</v>
      </c>
      <c r="AN49" s="126">
        <f t="shared" si="44"/>
        <v>0.71281497420987794</v>
      </c>
      <c r="AO49" s="126">
        <f t="shared" si="44"/>
        <v>0.74182488595097762</v>
      </c>
      <c r="AP49" s="126">
        <f t="shared" si="44"/>
        <v>0.7708347976920773</v>
      </c>
      <c r="AQ49" s="126">
        <f t="shared" si="44"/>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5">($AM$50-$N$50)/COUNT($O$2:$AM$2)+N50</f>
        <v>0.15436766739064367</v>
      </c>
      <c r="P50" s="126">
        <f t="shared" si="45"/>
        <v>0.18289212766934956</v>
      </c>
      <c r="Q50" s="126">
        <f t="shared" si="45"/>
        <v>0.21141658794805546</v>
      </c>
      <c r="R50" s="126">
        <f t="shared" si="45"/>
        <v>0.23994104822676135</v>
      </c>
      <c r="S50" s="126">
        <f t="shared" si="45"/>
        <v>0.26846550850546724</v>
      </c>
      <c r="T50" s="126">
        <f t="shared" si="45"/>
        <v>0.29698996878417316</v>
      </c>
      <c r="U50" s="126">
        <f t="shared" si="45"/>
        <v>0.32551442906287908</v>
      </c>
      <c r="V50" s="126">
        <f t="shared" si="45"/>
        <v>0.35403888934158501</v>
      </c>
      <c r="W50" s="126">
        <f t="shared" si="45"/>
        <v>0.38256334962029093</v>
      </c>
      <c r="X50" s="126">
        <f t="shared" si="45"/>
        <v>0.41108780989899685</v>
      </c>
      <c r="Y50" s="126">
        <f t="shared" si="45"/>
        <v>0.43961227017770277</v>
      </c>
      <c r="Z50" s="126">
        <f t="shared" si="45"/>
        <v>0.46813673045640869</v>
      </c>
      <c r="AA50" s="126">
        <f t="shared" si="45"/>
        <v>0.49666119073511461</v>
      </c>
      <c r="AB50" s="126">
        <f t="shared" si="45"/>
        <v>0.52518565101382053</v>
      </c>
      <c r="AC50" s="126">
        <f t="shared" si="45"/>
        <v>0.55371011129252645</v>
      </c>
      <c r="AD50" s="126">
        <f t="shared" si="45"/>
        <v>0.58223457157123237</v>
      </c>
      <c r="AE50" s="126">
        <f t="shared" si="45"/>
        <v>0.61075903184993829</v>
      </c>
      <c r="AF50" s="126">
        <f t="shared" si="45"/>
        <v>0.63928349212864422</v>
      </c>
      <c r="AG50" s="126">
        <f t="shared" si="45"/>
        <v>0.66780795240735014</v>
      </c>
      <c r="AH50" s="126">
        <f t="shared" si="45"/>
        <v>0.69633241268605606</v>
      </c>
      <c r="AI50" s="126">
        <f t="shared" si="45"/>
        <v>0.72485687296476198</v>
      </c>
      <c r="AJ50" s="126">
        <f t="shared" si="45"/>
        <v>0.7533813332434679</v>
      </c>
      <c r="AK50" s="126">
        <f t="shared" si="45"/>
        <v>0.78190579352217382</v>
      </c>
      <c r="AL50" s="126">
        <f t="shared" si="45"/>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6">$I52</f>
        <v>0.1</v>
      </c>
      <c r="K52" s="90">
        <f t="shared" si="46"/>
        <v>0.1</v>
      </c>
      <c r="L52" s="90">
        <f t="shared" si="46"/>
        <v>0.1</v>
      </c>
      <c r="M52" s="90">
        <f t="shared" si="46"/>
        <v>0.1</v>
      </c>
      <c r="N52" s="90">
        <f t="shared" si="46"/>
        <v>0.1</v>
      </c>
      <c r="O52" s="126">
        <f t="shared" si="46"/>
        <v>0.1</v>
      </c>
      <c r="P52" s="126">
        <f t="shared" si="46"/>
        <v>0.1</v>
      </c>
      <c r="Q52" s="126">
        <f t="shared" si="46"/>
        <v>0.1</v>
      </c>
      <c r="R52" s="126">
        <f t="shared" si="46"/>
        <v>0.1</v>
      </c>
      <c r="S52" s="126">
        <f t="shared" si="46"/>
        <v>0.1</v>
      </c>
      <c r="T52" s="126">
        <f t="shared" si="46"/>
        <v>0.1</v>
      </c>
      <c r="U52" s="126">
        <f t="shared" si="46"/>
        <v>0.1</v>
      </c>
      <c r="V52" s="126">
        <f t="shared" si="46"/>
        <v>0.1</v>
      </c>
      <c r="W52" s="126">
        <f t="shared" si="46"/>
        <v>0.1</v>
      </c>
      <c r="X52" s="126">
        <f t="shared" si="46"/>
        <v>0.1</v>
      </c>
      <c r="Y52" s="126">
        <f t="shared" si="46"/>
        <v>0.1</v>
      </c>
      <c r="Z52" s="126">
        <f t="shared" si="46"/>
        <v>0.1</v>
      </c>
      <c r="AA52" s="126">
        <f t="shared" si="46"/>
        <v>0.1</v>
      </c>
      <c r="AB52" s="126">
        <f t="shared" si="46"/>
        <v>0.1</v>
      </c>
      <c r="AC52" s="126">
        <f t="shared" si="46"/>
        <v>0.1</v>
      </c>
      <c r="AD52" s="126">
        <f t="shared" si="46"/>
        <v>0.1</v>
      </c>
      <c r="AE52" s="126">
        <f t="shared" si="46"/>
        <v>0.1</v>
      </c>
      <c r="AF52" s="126">
        <f t="shared" si="46"/>
        <v>0.1</v>
      </c>
      <c r="AG52" s="126">
        <f t="shared" si="46"/>
        <v>0.1</v>
      </c>
      <c r="AH52" s="126">
        <f t="shared" si="46"/>
        <v>0.1</v>
      </c>
      <c r="AI52" s="126">
        <f t="shared" si="46"/>
        <v>0.1</v>
      </c>
      <c r="AJ52" s="126">
        <f t="shared" si="46"/>
        <v>0.1</v>
      </c>
      <c r="AK52" s="126">
        <f t="shared" si="46"/>
        <v>0.1</v>
      </c>
      <c r="AL52" s="126">
        <f t="shared" si="46"/>
        <v>0.1</v>
      </c>
      <c r="AM52" s="126">
        <f t="shared" si="46"/>
        <v>0.1</v>
      </c>
      <c r="AN52" s="126">
        <f t="shared" si="46"/>
        <v>0.1</v>
      </c>
      <c r="AO52" s="126">
        <f t="shared" si="46"/>
        <v>0.1</v>
      </c>
      <c r="AP52" s="126">
        <f t="shared" si="46"/>
        <v>0.1</v>
      </c>
      <c r="AQ52" s="126">
        <f t="shared" si="46"/>
        <v>0.1</v>
      </c>
      <c r="AR52" s="126">
        <f t="shared" si="46"/>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8"/>
  <sheetViews>
    <sheetView workbookViewId="0"/>
  </sheetViews>
  <sheetFormatPr defaultRowHeight="15" x14ac:dyDescent="0.25"/>
  <cols>
    <col min="1" max="1" width="42.28515625" customWidth="1"/>
    <col min="2" max="2" width="13.28515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4" x14ac:dyDescent="0.25">
      <c r="A65" t="s">
        <v>222</v>
      </c>
      <c r="B65">
        <f>SUMIFS('EIA 2017 ESRAP Table 10'!E:E,'EIA 2017 ESRAP Table 10'!B:B,"VA",'EIA 2017 ESRAP Table 10'!C:C,"Investor Owned")</f>
        <v>92068151</v>
      </c>
      <c r="C65" t="s">
        <v>221</v>
      </c>
    </row>
    <row r="66" spans="1:4" x14ac:dyDescent="0.25">
      <c r="A66" t="s">
        <v>223</v>
      </c>
      <c r="B66">
        <f>SUMIF('EIA 2017 ESRAP Table 10'!B:B,"VA",'EIA 2017 ESRAP Table 10'!E:E)</f>
        <v>111078769</v>
      </c>
      <c r="C66" t="s">
        <v>221</v>
      </c>
    </row>
    <row r="67" spans="1:4" x14ac:dyDescent="0.25">
      <c r="A67" t="s">
        <v>224</v>
      </c>
      <c r="B67">
        <f>B66-B65</f>
        <v>19010618</v>
      </c>
      <c r="C67" t="s">
        <v>221</v>
      </c>
    </row>
    <row r="69" spans="1:4" x14ac:dyDescent="0.25">
      <c r="A69" s="4" t="s">
        <v>14</v>
      </c>
      <c r="B69" s="4"/>
      <c r="C69" s="4"/>
    </row>
    <row r="70" spans="1:4" x14ac:dyDescent="0.25">
      <c r="A70" t="s">
        <v>222</v>
      </c>
      <c r="B70">
        <f>SUMIFS('EIA 2017 ESRAP Table 10'!E:E,'EIA 2017 ESRAP Table 10'!B:B,"CA",'EIA 2017 ESRAP Table 10'!C:C,"Investor Owned")</f>
        <v>151104351</v>
      </c>
      <c r="C70" t="s">
        <v>221</v>
      </c>
    </row>
    <row r="71" spans="1:4" x14ac:dyDescent="0.25">
      <c r="A71" t="s">
        <v>242</v>
      </c>
      <c r="B71">
        <f>SUMIFS('EIA 2017 ESRAP Table 10'!E:E,'EIA 2017 ESRAP Table 10'!B:B,"CA",'EIA 2017 ESRAP Table 10'!C:C,"Municipal")</f>
        <v>41532599</v>
      </c>
      <c r="C71" t="s">
        <v>221</v>
      </c>
    </row>
    <row r="72" spans="1:4" x14ac:dyDescent="0.25">
      <c r="A72" t="s">
        <v>223</v>
      </c>
      <c r="B72">
        <f>SUMIF('EIA 2017 ESRAP Table 10'!B:B,"CA",'EIA 2017 ESRAP Table 10'!E:E)</f>
        <v>219016574</v>
      </c>
      <c r="C72" t="s">
        <v>221</v>
      </c>
    </row>
    <row r="74" spans="1:4" x14ac:dyDescent="0.25">
      <c r="A74" s="4" t="s">
        <v>103</v>
      </c>
      <c r="B74" s="4"/>
      <c r="C74" s="4"/>
      <c r="D74" t="s">
        <v>3007</v>
      </c>
    </row>
    <row r="75" spans="1:4" x14ac:dyDescent="0.25">
      <c r="A75" t="s">
        <v>3008</v>
      </c>
      <c r="B75" s="143">
        <v>886946</v>
      </c>
    </row>
    <row r="76" spans="1:4" x14ac:dyDescent="0.25">
      <c r="A76" t="s">
        <v>3009</v>
      </c>
      <c r="B76" s="143">
        <v>7819451</v>
      </c>
    </row>
    <row r="77" spans="1:4" x14ac:dyDescent="0.25">
      <c r="A77" t="s">
        <v>3010</v>
      </c>
      <c r="B77" s="144">
        <v>0.19</v>
      </c>
    </row>
    <row r="78" spans="1:4" x14ac:dyDescent="0.25">
      <c r="A78" t="s">
        <v>3011</v>
      </c>
      <c r="B78" s="145">
        <f>B75/(B76*B77)</f>
        <v>0.59699035675334022</v>
      </c>
      <c r="C78" s="101" t="s">
        <v>3012</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8" t="s">
        <v>243</v>
      </c>
      <c r="B1" s="149"/>
      <c r="C1" s="149"/>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A2" sqref="A2"/>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7.6571832216865365E-2</v>
      </c>
      <c r="E41" s="100">
        <f>IFERROR(IF($A41=FALSE,0,INDEX('RPS by State'!P:P,MATCH($C41,'RPS by State'!$B:$B,0))),0)</f>
        <v>7.6571832216865365E-2</v>
      </c>
      <c r="F41" s="100">
        <f>IFERROR(IF($A41=FALSE,0,INDEX('RPS by State'!Q:Q,MATCH($C41,'RPS by State'!$B:$B,0))),0)</f>
        <v>0.10624799685593758</v>
      </c>
      <c r="G41" s="100">
        <f>IFERROR(IF($A41=FALSE,0,INDEX('RPS by State'!R:R,MATCH($C41,'RPS by State'!$B:$B,0))),0)</f>
        <v>0.1359241614950098</v>
      </c>
      <c r="H41" s="100">
        <f>IFERROR(IF($A41=FALSE,0,INDEX('RPS by State'!S:S,MATCH($C41,'RPS by State'!$B:$B,0))),0)</f>
        <v>0.16560032613408202</v>
      </c>
      <c r="I41" s="100">
        <f>IFERROR(IF($A41=FALSE,0,INDEX('RPS by State'!T:T,MATCH($C41,'RPS by State'!$B:$B,0))),0)</f>
        <v>0.19527649077315423</v>
      </c>
      <c r="J41" s="100">
        <f>IFERROR(IF($A41=FALSE,0,INDEX('RPS by State'!U:U,MATCH($C41,'RPS by State'!$B:$B,0))),0)</f>
        <v>0.22495265541222645</v>
      </c>
      <c r="K41" s="100">
        <f>IFERROR(IF($A41=FALSE,0,INDEX('RPS by State'!V:V,MATCH($C41,'RPS by State'!$B:$B,0))),0)</f>
        <v>0.25462882005129867</v>
      </c>
      <c r="L41" s="100">
        <f>IFERROR(IF($A41=FALSE,0,INDEX('RPS by State'!W:W,MATCH($C41,'RPS by State'!$B:$B,0))),0)</f>
        <v>0.28430498469037091</v>
      </c>
      <c r="M41" s="100">
        <f>IFERROR(IF($A41=FALSE,0,INDEX('RPS by State'!X:X,MATCH($C41,'RPS by State'!$B:$B,0))),0)</f>
        <v>0.31398114932944315</v>
      </c>
      <c r="N41" s="100">
        <f>IFERROR(IF($A41=FALSE,0,INDEX('RPS by State'!Y:Y,MATCH($C41,'RPS by State'!$B:$B,0))),0)</f>
        <v>0.3436573139685154</v>
      </c>
      <c r="O41" s="100">
        <f>IFERROR(IF($A41=FALSE,0,INDEX('RPS by State'!Z:Z,MATCH($C41,'RPS by State'!$B:$B,0))),0)</f>
        <v>0.37333347860758764</v>
      </c>
      <c r="P41" s="100">
        <f>IFERROR(IF($A41=FALSE,0,INDEX('RPS by State'!AA:AA,MATCH($C41,'RPS by State'!$B:$B,0))),0)</f>
        <v>0.40300964324665978</v>
      </c>
      <c r="Q41" s="100">
        <f>IFERROR(IF($A41=FALSE,0,INDEX('RPS by State'!AB:AB,MATCH($C41,'RPS by State'!$B:$B,0))),0)</f>
        <v>0.40300964324665978</v>
      </c>
      <c r="R41" s="100">
        <f>IFERROR(IF($A41=FALSE,0,INDEX('RPS by State'!AC:AC,MATCH($C41,'RPS by State'!$B:$B,0))),0)</f>
        <v>0.40300964324665978</v>
      </c>
      <c r="S41" s="100">
        <f>IFERROR(IF($A41=FALSE,0,INDEX('RPS by State'!AD:AD,MATCH($C41,'RPS by State'!$B:$B,0))),0)</f>
        <v>0.40300964324665978</v>
      </c>
      <c r="T41" s="100">
        <f>IFERROR(IF($A41=FALSE,0,INDEX('RPS by State'!AE:AE,MATCH($C41,'RPS by State'!$B:$B,0))),0)</f>
        <v>0.40300964324665978</v>
      </c>
      <c r="U41" s="100">
        <f>IFERROR(IF($A41=FALSE,0,INDEX('RPS by State'!AF:AF,MATCH($C41,'RPS by State'!$B:$B,0))),0)</f>
        <v>0.40300964324665978</v>
      </c>
      <c r="V41" s="100">
        <f>IFERROR(IF($A41=FALSE,0,INDEX('RPS by State'!AG:AG,MATCH($C41,'RPS by State'!$B:$B,0))),0)</f>
        <v>0.40300964324665978</v>
      </c>
      <c r="W41" s="100">
        <f>IFERROR(IF($A41=FALSE,0,INDEX('RPS by State'!AH:AH,MATCH($C41,'RPS by State'!$B:$B,0))),0)</f>
        <v>0.40300964324665978</v>
      </c>
      <c r="X41" s="100">
        <f>IFERROR(IF($A41=FALSE,0,INDEX('RPS by State'!AI:AI,MATCH($C41,'RPS by State'!$B:$B,0))),0)</f>
        <v>0.40300964324665978</v>
      </c>
      <c r="Y41" s="100">
        <f>IFERROR(IF($A41=FALSE,0,INDEX('RPS by State'!AJ:AJ,MATCH($C41,'RPS by State'!$B:$B,0))),0)</f>
        <v>0.40300964324665978</v>
      </c>
      <c r="Z41" s="100">
        <f>IFERROR(IF($A41=FALSE,0,INDEX('RPS by State'!AK:AK,MATCH($C41,'RPS by State'!$B:$B,0))),0)</f>
        <v>0.40300964324665978</v>
      </c>
      <c r="AA41" s="100">
        <f>IFERROR(IF($A41=FALSE,0,INDEX('RPS by State'!AL:AL,MATCH($C41,'RPS by State'!$B:$B,0))),0)</f>
        <v>0.40300964324665978</v>
      </c>
      <c r="AB41" s="100">
        <f>IFERROR(IF($A41=FALSE,0,INDEX('RPS by State'!AM:AM,MATCH($C41,'RPS by State'!$B:$B,0))),0)</f>
        <v>0.40300964324665978</v>
      </c>
      <c r="AC41" s="100">
        <f>IFERROR(IF($A41=FALSE,0,INDEX('RPS by State'!AN:AN,MATCH($C41,'RPS by State'!$B:$B,0))),0)</f>
        <v>0.40300964324665978</v>
      </c>
      <c r="AD41" s="100">
        <f>IFERROR(IF($A41=FALSE,0,INDEX('RPS by State'!AO:AO,MATCH($C41,'RPS by State'!$B:$B,0))),0)</f>
        <v>0.40300964324665978</v>
      </c>
      <c r="AE41" s="100">
        <f>IFERROR(IF($A41=FALSE,0,INDEX('RPS by State'!AP:AP,MATCH($C41,'RPS by State'!$B:$B,0))),0)</f>
        <v>0.40300964324665978</v>
      </c>
      <c r="AF41" s="100">
        <f>IFERROR(IF($A41=FALSE,0,INDEX('RPS by State'!AQ:AQ,MATCH($C41,'RPS by State'!$B:$B,0))),0)</f>
        <v>0.40300964324665978</v>
      </c>
      <c r="AG41" s="100">
        <f>IFERROR(IF($A41=FALSE,0,INDEX('RPS by State'!AR:AR,MATCH($C41,'RPS by State'!$B:$B,0))),0)</f>
        <v>0.40300964324665978</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workbookViewId="0"/>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2024-01-22T19:38:07Z</dcterms:modified>
</cp:coreProperties>
</file>