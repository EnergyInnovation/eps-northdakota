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OliviaAshmoore\Documents\Github Repos\state-eps-data\ND\elec\RACP\"/>
    </mc:Choice>
  </mc:AlternateContent>
  <xr:revisionPtr revIDLastSave="0" documentId="8_{484946A8-65B9-4053-A5BE-D9A950022EB7}" xr6:coauthVersionLast="47" xr6:coauthVersionMax="47" xr10:uidLastSave="{00000000-0000-0000-0000-000000000000}"/>
  <bookViews>
    <workbookView xWindow="-98" yWindow="-98" windowWidth="21795" windowHeight="13335" activeTab="3" xr2:uid="{00000000-000D-0000-FFFF-FFFF00000000}"/>
  </bookViews>
  <sheets>
    <sheet name="About" sheetId="1" r:id="rId1"/>
    <sheet name="RPS Targets (%)" sheetId="2" r:id="rId2"/>
    <sheet name="ACP by State" sheetId="3" r:id="rId3"/>
    <sheet name="RACP-BRACP" sheetId="4" r:id="rId4"/>
    <sheet name="RACP-RACP" sheetId="5" r:id="rId5"/>
  </sheets>
  <definedNames>
    <definedName name="_xlnm._FilterDatabase" localSheetId="2" hidden="1">'ACP by State'!$A$2:$G$52</definedName>
    <definedName name="GenY06_2">#REF!</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Net_Generation_by_State__Type_1">#REF!</definedName>
    <definedName name="Net_Generation_by_State__Type_of_Producer__Energy_Source">#REF!</definedName>
    <definedName name="PRGenY06">#REF!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5" l="1"/>
  <c r="C166" i="2" l="1"/>
  <c r="C165" i="2"/>
  <c r="C164" i="2"/>
  <c r="C163" i="2"/>
  <c r="C162" i="2"/>
  <c r="C161" i="2"/>
  <c r="C160" i="2"/>
  <c r="C159" i="2"/>
  <c r="C158" i="2"/>
  <c r="C157" i="2"/>
  <c r="C156" i="2"/>
  <c r="C155" i="2"/>
  <c r="C154" i="2"/>
  <c r="C153" i="2"/>
  <c r="C152" i="2"/>
  <c r="C151" i="2"/>
  <c r="C150" i="2"/>
  <c r="C149" i="2"/>
  <c r="C148" i="2"/>
  <c r="C147" i="2"/>
  <c r="C146" i="2"/>
  <c r="C145" i="2"/>
  <c r="C144" i="2"/>
  <c r="C143" i="2"/>
  <c r="C142" i="2"/>
  <c r="C141" i="2"/>
  <c r="C140" i="2"/>
  <c r="C139" i="2"/>
  <c r="C138" i="2"/>
  <c r="C137" i="2"/>
  <c r="C136" i="2"/>
  <c r="C135" i="2"/>
  <c r="C134" i="2"/>
  <c r="C133" i="2"/>
  <c r="C132" i="2"/>
  <c r="C131" i="2"/>
  <c r="C130" i="2"/>
  <c r="C129" i="2"/>
  <c r="C128" i="2"/>
  <c r="C127" i="2"/>
  <c r="C126" i="2"/>
  <c r="C125" i="2"/>
  <c r="C124" i="2"/>
  <c r="C123" i="2"/>
  <c r="C122" i="2"/>
  <c r="C121" i="2"/>
  <c r="C120" i="2"/>
  <c r="C119" i="2"/>
  <c r="C118" i="2"/>
  <c r="C117" i="2"/>
  <c r="C116" i="2"/>
  <c r="C115" i="2"/>
  <c r="C114" i="2"/>
  <c r="C113" i="2"/>
  <c r="C112" i="2"/>
  <c r="C111" i="2"/>
  <c r="C110" i="2"/>
  <c r="C109" i="2"/>
  <c r="C108" i="2"/>
  <c r="C107" i="2"/>
  <c r="C106" i="2"/>
  <c r="C105" i="2"/>
  <c r="C104" i="2"/>
  <c r="C103" i="2"/>
  <c r="C102" i="2"/>
  <c r="C101" i="2"/>
  <c r="C100" i="2"/>
  <c r="C99" i="2"/>
  <c r="C98" i="2"/>
  <c r="C97" i="2"/>
  <c r="C96" i="2"/>
  <c r="C95" i="2"/>
  <c r="C94" i="2"/>
  <c r="C93" i="2"/>
  <c r="C92" i="2"/>
  <c r="C91" i="2"/>
  <c r="C90" i="2"/>
  <c r="C89" i="2"/>
  <c r="C88" i="2"/>
  <c r="C87" i="2"/>
  <c r="C86" i="2"/>
  <c r="C85" i="2"/>
  <c r="C84" i="2"/>
  <c r="C83" i="2"/>
  <c r="C82" i="2"/>
  <c r="C81" i="2"/>
  <c r="C80" i="2"/>
  <c r="C79" i="2"/>
  <c r="C78" i="2"/>
  <c r="C77" i="2"/>
  <c r="C76" i="2"/>
  <c r="C75" i="2"/>
  <c r="C74" i="2"/>
  <c r="C73" i="2"/>
  <c r="C72" i="2"/>
  <c r="C71" i="2"/>
  <c r="C70" i="2"/>
  <c r="C69" i="2"/>
  <c r="C68" i="2"/>
  <c r="C67" i="2"/>
  <c r="C66" i="2"/>
  <c r="C65" i="2"/>
  <c r="C64" i="2"/>
  <c r="C63" i="2"/>
  <c r="C62" i="2"/>
  <c r="C61" i="2"/>
  <c r="C60" i="2"/>
  <c r="C59" i="2"/>
  <c r="C58" i="2"/>
  <c r="C57" i="2"/>
  <c r="C56" i="2"/>
  <c r="C55" i="2"/>
  <c r="C54" i="2"/>
  <c r="C53" i="2"/>
  <c r="C52" i="2"/>
  <c r="C51" i="2"/>
  <c r="C50" i="2"/>
  <c r="C49" i="2"/>
  <c r="C48" i="2"/>
  <c r="C47" i="2"/>
  <c r="C46" i="2"/>
  <c r="C45" i="2"/>
  <c r="C44" i="2"/>
  <c r="C43" i="2"/>
  <c r="C42" i="2"/>
  <c r="C41" i="2"/>
  <c r="C40" i="2"/>
  <c r="C39" i="2"/>
  <c r="C38" i="2"/>
  <c r="C37" i="2"/>
  <c r="C36" i="2"/>
  <c r="C35" i="2"/>
  <c r="C34" i="2"/>
  <c r="C33" i="2"/>
  <c r="C32" i="2"/>
  <c r="C31" i="2"/>
  <c r="C30" i="2"/>
  <c r="C29" i="2"/>
  <c r="C28" i="2"/>
  <c r="C27" i="2"/>
  <c r="C26" i="2"/>
  <c r="E62" i="1"/>
  <c r="E61" i="1"/>
  <c r="E60" i="1"/>
  <c r="E59" i="1"/>
  <c r="E58" i="1"/>
  <c r="E57" i="1"/>
  <c r="E56" i="1"/>
  <c r="E55" i="1"/>
  <c r="B2" i="1"/>
  <c r="B2" i="4" s="1"/>
</calcChain>
</file>

<file path=xl/sharedStrings.xml><?xml version="1.0" encoding="utf-8"?>
<sst xmlns="http://schemas.openxmlformats.org/spreadsheetml/2006/main" count="711" uniqueCount="311">
  <si>
    <t>RACP RPS Alternative Compliance Payment</t>
  </si>
  <si>
    <t>Alabama</t>
  </si>
  <si>
    <t>AL</t>
  </si>
  <si>
    <t>Alaska</t>
  </si>
  <si>
    <t>AK</t>
  </si>
  <si>
    <t>Arizona</t>
  </si>
  <si>
    <t>AZ</t>
  </si>
  <si>
    <t>Sources:</t>
  </si>
  <si>
    <t>Arkansas</t>
  </si>
  <si>
    <t>AR</t>
  </si>
  <si>
    <t>State</t>
  </si>
  <si>
    <t>Source</t>
  </si>
  <si>
    <t>California</t>
  </si>
  <si>
    <t>CA</t>
  </si>
  <si>
    <t>Arizona Corporation Commission (ACC) https://azcc.gov/</t>
  </si>
  <si>
    <t>Colorado</t>
  </si>
  <si>
    <t>CO</t>
  </si>
  <si>
    <t>California Public Utilities Commission (CPUC) https://www.cpuc.ca.gov/</t>
  </si>
  <si>
    <t>Connecticut</t>
  </si>
  <si>
    <t>CT</t>
  </si>
  <si>
    <t>Colorado Public Utilities Commission (PUC) https://puc.colorado.gov/</t>
  </si>
  <si>
    <t>Delaware</t>
  </si>
  <si>
    <t>DE</t>
  </si>
  <si>
    <t>Connecticut Public Utilities Regulatory Authority (PURA) https://portal.ct.gov/PURA</t>
  </si>
  <si>
    <t>Florida</t>
  </si>
  <si>
    <t>FL</t>
  </si>
  <si>
    <t>Delaware Public Service Commission (PSC) https://depsc.delaware.gov/</t>
  </si>
  <si>
    <t>Georgia</t>
  </si>
  <si>
    <t>GA</t>
  </si>
  <si>
    <t>HI</t>
  </si>
  <si>
    <t>Hawaii Public Utilities Commission (PUC) https://puc.hawaii.gov/</t>
  </si>
  <si>
    <t>Hawaii</t>
  </si>
  <si>
    <t>IA</t>
  </si>
  <si>
    <t>Iowa Utilities Board (IUB) https://iub.iowa.gov/</t>
  </si>
  <si>
    <t>Idaho</t>
  </si>
  <si>
    <t>ID</t>
  </si>
  <si>
    <t>IL</t>
  </si>
  <si>
    <t>Illinois Commerce Commission (ICC) https://www.icc.illinois.gov/</t>
  </si>
  <si>
    <t>Illinois</t>
  </si>
  <si>
    <t>KS</t>
  </si>
  <si>
    <t>Kansas Corporation Commission (KCC) https://kcc.ks.gov/</t>
  </si>
  <si>
    <t>Indiana</t>
  </si>
  <si>
    <t>IN</t>
  </si>
  <si>
    <t>MA</t>
  </si>
  <si>
    <t>Massachusetts Department of Energy Resources (DOER) https://www.mass.gov/orgs/department-of-energy-resources</t>
  </si>
  <si>
    <t>Iowa</t>
  </si>
  <si>
    <t>MD</t>
  </si>
  <si>
    <t>Maryland Public Service Commission (PSC) http://www.psc.state.md.us/</t>
  </si>
  <si>
    <t>Kansas</t>
  </si>
  <si>
    <t>ME</t>
  </si>
  <si>
    <t>Maine Public Utilities Commission (PUC) https://www.maine.gov/mpuc/</t>
  </si>
  <si>
    <t>Kentucky</t>
  </si>
  <si>
    <t>KY</t>
  </si>
  <si>
    <t>MI</t>
  </si>
  <si>
    <t>Michigan Public Service Commission (MPSC) https://www.michigan.gov/mpsc/</t>
  </si>
  <si>
    <t>Louisiana</t>
  </si>
  <si>
    <t>LA</t>
  </si>
  <si>
    <t>MN</t>
  </si>
  <si>
    <t>Minnesota Public Utilities Commission (PUC) https://mn.gov/puc/</t>
  </si>
  <si>
    <t>Maine</t>
  </si>
  <si>
    <t>MO</t>
  </si>
  <si>
    <t>Missouri Public Service Commission (PSC) https://psc.mo.gov/</t>
  </si>
  <si>
    <t>Maryland</t>
  </si>
  <si>
    <t>MT</t>
  </si>
  <si>
    <t>Montana Public Service Commission (PSC) http://psc.mt.gov/</t>
  </si>
  <si>
    <t>Massachusetts</t>
  </si>
  <si>
    <t>NC</t>
  </si>
  <si>
    <t>North Carolina Utilities Commission (NCUC) https://www.ncuc.net/</t>
  </si>
  <si>
    <t>Michigan</t>
  </si>
  <si>
    <t>NE</t>
  </si>
  <si>
    <t>Nebraska Public Service Commission (PSC) http://psc.nebraska.gov/</t>
  </si>
  <si>
    <t>Minnesota</t>
  </si>
  <si>
    <t>NH</t>
  </si>
  <si>
    <t>New Hampshire Public Utilities Commission (PUC) https://www.puc.nh.gov/</t>
  </si>
  <si>
    <t>Mississippi</t>
  </si>
  <si>
    <t>MS</t>
  </si>
  <si>
    <t>NJ</t>
  </si>
  <si>
    <t>New Jersey Board of Public Utilities (BPU) https://www.nj.gov/bpu/</t>
  </si>
  <si>
    <t>Missouri</t>
  </si>
  <si>
    <t>NM</t>
  </si>
  <si>
    <t>New Mexico Public Regulation Commission (PRC) https://www.nmprc.state.nm.us/</t>
  </si>
  <si>
    <t>Montana</t>
  </si>
  <si>
    <t>NV</t>
  </si>
  <si>
    <t>Nevada Public Utilities Commission (PUC) http://puc.nv.gov/</t>
  </si>
  <si>
    <t>Nebraska</t>
  </si>
  <si>
    <t>NY</t>
  </si>
  <si>
    <t>New York State Public Service Commission (PSC) http://www.dps.ny.gov/</t>
  </si>
  <si>
    <t>Nevada</t>
  </si>
  <si>
    <t>OH</t>
  </si>
  <si>
    <t>Public Utilities Commission of Ohio (PUCO) http://www.puco.ohio.gov/</t>
  </si>
  <si>
    <t>New Hampshire</t>
  </si>
  <si>
    <t>OR</t>
  </si>
  <si>
    <t>Oregon Public Utility Commission (PUC) https://www.oregon.gov/puc/</t>
  </si>
  <si>
    <t>New Jersey</t>
  </si>
  <si>
    <t>PA</t>
  </si>
  <si>
    <t>Pennsylvania Public Utility Commission (PUC) https://www.puc.pa.gov/</t>
  </si>
  <si>
    <t>New Mexico</t>
  </si>
  <si>
    <t>RI</t>
  </si>
  <si>
    <t>Rhode Island Public Utilities Commission (PUC) https://ripuc.ri.gov/</t>
  </si>
  <si>
    <t>New York</t>
  </si>
  <si>
    <t>TX</t>
  </si>
  <si>
    <t>Public Utility Commission of Texas (PUCT) https://www.puc.texas.gov/</t>
  </si>
  <si>
    <t>North Carolina</t>
  </si>
  <si>
    <t>VA</t>
  </si>
  <si>
    <t>Virginia State Corporation Commission (SCC) https://www.scc.virginia.gov/</t>
  </si>
  <si>
    <t>North Dakota</t>
  </si>
  <si>
    <t>ND</t>
  </si>
  <si>
    <t>VT</t>
  </si>
  <si>
    <t>Vermont Public Utility Commission (PUC) https://puc.vermont.gov/</t>
  </si>
  <si>
    <t>Ohio</t>
  </si>
  <si>
    <t>WA</t>
  </si>
  <si>
    <t>Washington Utilities and Transportation Commission (UTC) https://www.utc.wa.gov/</t>
  </si>
  <si>
    <t>Oklahoma</t>
  </si>
  <si>
    <t>OK</t>
  </si>
  <si>
    <t>WI</t>
  </si>
  <si>
    <t>Public Service Commission of Wisconsin (PSC) https://psc.wi.gov/</t>
  </si>
  <si>
    <t>Oregon</t>
  </si>
  <si>
    <t>Pennsylvania</t>
  </si>
  <si>
    <t>Notes:</t>
  </si>
  <si>
    <t>For now, we put in a cost cap of $100/MWh.</t>
  </si>
  <si>
    <t>Rhode Island</t>
  </si>
  <si>
    <t>This variable is input using the currency unit specified in web-app/OCCF, not 2012 USD.</t>
  </si>
  <si>
    <t>South Carolina</t>
  </si>
  <si>
    <t>SC</t>
  </si>
  <si>
    <t xml:space="preserve">This is because it is a control variable visible in the web app, so users will interact with </t>
  </si>
  <si>
    <t>South Dakota</t>
  </si>
  <si>
    <t>SD</t>
  </si>
  <si>
    <t>this lever in output currency units.</t>
  </si>
  <si>
    <t>Tennessee</t>
  </si>
  <si>
    <t>TN</t>
  </si>
  <si>
    <t>Texas</t>
  </si>
  <si>
    <t>2023 dollars per 2012 dollar</t>
  </si>
  <si>
    <t>Utah</t>
  </si>
  <si>
    <t>UT</t>
  </si>
  <si>
    <t>Vermont</t>
  </si>
  <si>
    <t>If a state does not have an existing RACP, we set the value to 9999</t>
  </si>
  <si>
    <t>Virginia</t>
  </si>
  <si>
    <t>2026-06-12 ACP refresh (main RPS Class I ACP, excludes solar carve-outs):</t>
  </si>
  <si>
    <t>Washington</t>
  </si>
  <si>
    <t xml:space="preserve">  Changed: CT 55.15-&gt;40, MD 30-&gt;25, MA 35-&gt;40 (CES-&gt;Class I), NH 61.18-&gt;63.29, OH 45-&gt;66.01, RI 67.07-&gt;80.59.</t>
  </si>
  <si>
    <t>West Virginia</t>
  </si>
  <si>
    <t>WV</t>
  </si>
  <si>
    <t xml:space="preserve">  Confirmed unchanged: ME 50, NJ 50 (non-solar), WA 50 (statutory base).</t>
  </si>
  <si>
    <t>Wisconsin</t>
  </si>
  <si>
    <t xml:space="preserve">  NOT refreshed (kept, flagged for verification): OR 110, DE 25, MT 10, VT 12.28.</t>
  </si>
  <si>
    <t>Wyoming</t>
  </si>
  <si>
    <t>WY</t>
  </si>
  <si>
    <t xml:space="preserve">  Per-state source, confidence, and date are in the ACP by State tab (cols F-H).</t>
  </si>
  <si>
    <t xml:space="preserve">  All values are draft inputs sourced via web search of DSIRE / state PUC / statute and MUST be</t>
  </si>
  <si>
    <t xml:space="preserve">  verified against primary sources before external use. 2025 legislation is in flux in several states (e.g., NJ, CT).</t>
  </si>
  <si>
    <t>2012 prices</t>
  </si>
  <si>
    <t>Year</t>
  </si>
  <si>
    <t>Deflator (x nominal $ -&gt; 2012 USD)</t>
  </si>
  <si>
    <t>2018............................................................................. .</t>
  </si>
  <si>
    <t>2019............................................................................. .</t>
  </si>
  <si>
    <t>2020............................................................................. .</t>
  </si>
  <si>
    <t>2021............................................................................. .</t>
  </si>
  <si>
    <t>2022............................................................................. .</t>
  </si>
  <si>
    <t>2023............................................................................. .</t>
  </si>
  <si>
    <t>2025 = CPI_2012/CPI_2025 (229.594/322.0 est). Multiply nominal $ by this to get 2012 USD.</t>
  </si>
  <si>
    <t>Clean lookup for RACP output: per-state $-year -&gt; 2012 USD deflation.</t>
  </si>
  <si>
    <t>RPS and CES Percentage Targets</t>
  </si>
  <si>
    <t>Contact: Galen Barbose</t>
  </si>
  <si>
    <t>Lawrence Berkeley National Laboratory</t>
  </si>
  <si>
    <t>(510) 495-2593, glbarbose@lbl.gov</t>
  </si>
  <si>
    <t>Last update: August 2024</t>
  </si>
  <si>
    <t>RPS and CES Targets (Percent of Applicable Retail Electricity Sales)</t>
  </si>
  <si>
    <t>Has RPS?</t>
  </si>
  <si>
    <t>Special Notes</t>
  </si>
  <si>
    <t>RPS Tier or Carve Out</t>
  </si>
  <si>
    <t>RPS applies only to IOUs and coops</t>
  </si>
  <si>
    <t>Total RPS</t>
  </si>
  <si>
    <t xml:space="preserve">   DG Carve-Out</t>
  </si>
  <si>
    <t>Through 2015, the values shown here represent targets for the state's three large IOUs through 2015 (targets for other utilities' were lower).  From 2016 onward, the values shown here represent statewide targets applicable to all utilities.</t>
  </si>
  <si>
    <t>Total CES</t>
  </si>
  <si>
    <t xml:space="preserve">CES is based on emission reduction target (80% by 2030 for most utilities, 100% by 2050 for Xcel), translated here into an equivalent minimum percent of retail sales from zero-carbon generation sources.  </t>
  </si>
  <si>
    <t xml:space="preserve">   IOUs</t>
  </si>
  <si>
    <t xml:space="preserve">   Coops (G&amp;T-served or &gt;100k customers)</t>
  </si>
  <si>
    <t xml:space="preserve">   Munis &amp; Non-G&amp;T served Coops with &lt;100k customers)</t>
  </si>
  <si>
    <t>DG Carve-Out (Wtd. Avg.)</t>
  </si>
  <si>
    <t xml:space="preserve">   Coops (&gt;10k customers)</t>
  </si>
  <si>
    <t xml:space="preserve">   Coops (&lt;10k customers)</t>
  </si>
  <si>
    <t>None</t>
  </si>
  <si>
    <t xml:space="preserve">   Class I</t>
  </si>
  <si>
    <t xml:space="preserve">   Class II</t>
  </si>
  <si>
    <t>DC</t>
  </si>
  <si>
    <t xml:space="preserve">   Solar Carve-Out</t>
  </si>
  <si>
    <t xml:space="preserve">   Tier I Non-Solar</t>
  </si>
  <si>
    <t xml:space="preserve">   Tier II</t>
  </si>
  <si>
    <t xml:space="preserve">   New Non-Solar</t>
  </si>
  <si>
    <t xml:space="preserve">   Existing</t>
  </si>
  <si>
    <t>Starting in 2022, the target represents the percentage of total generation, rather than percentage of retail sales</t>
  </si>
  <si>
    <t>Legacy RPS that applied only to the two IOUs, denominated in MW terms; translated to equivalent percentage of applicable sales</t>
  </si>
  <si>
    <t>RPS applies only to IOUs and competitive retail suppliers</t>
  </si>
  <si>
    <t xml:space="preserve">   New Wind Requirement</t>
  </si>
  <si>
    <t xml:space="preserve">   New Solar Requirement (total)</t>
  </si>
  <si>
    <t xml:space="preserve">   New Solar Requirement (DG portion)</t>
  </si>
  <si>
    <t>The RPS was repealed in 2015</t>
  </si>
  <si>
    <t>RPS and CES do not apply to municipal utilities. Class I Solar carve-out consists of the SREC I, SREC II, and SMART programs; the targets for those programs are denominated in MW and translated here to the equivalent percentage of retail electricity sales. CES-E targets from 2023 onward are subject to annual adjustments based on retail electricity sales growth.</t>
  </si>
  <si>
    <t xml:space="preserve">   Class I (Solar Carve-Out)</t>
  </si>
  <si>
    <t xml:space="preserve">   Class I (Non-Solar)</t>
  </si>
  <si>
    <t xml:space="preserve">   Class II Existing RE</t>
  </si>
  <si>
    <t xml:space="preserve">   Class II MSW</t>
  </si>
  <si>
    <t xml:space="preserve">   New (CES)</t>
  </si>
  <si>
    <t xml:space="preserve">   Existing (CES-E)</t>
  </si>
  <si>
    <t>Targets across LSE types; weighted averages are based on retail elecricity sales by each type of LSE.  Offshore wind carve-outs apply only if sufficient generation is available.</t>
  </si>
  <si>
    <t xml:space="preserve">   IOUs &amp; competitive retailers</t>
  </si>
  <si>
    <t xml:space="preserve">   Cooperatives</t>
  </si>
  <si>
    <t xml:space="preserve">   Municipal utilities</t>
  </si>
  <si>
    <t>Solar Carve-Out (Wtd. Avg.)</t>
  </si>
  <si>
    <t>Offshore Wind Carve-Out (Wtd. Avg.)</t>
  </si>
  <si>
    <t>Geothermal Heat Pump Carve-Out</t>
  </si>
  <si>
    <t>Tier I Non-Carve-Out (Wtd. Avg.)</t>
  </si>
  <si>
    <t>Tier II</t>
  </si>
  <si>
    <t xml:space="preserve">   Class I/New</t>
  </si>
  <si>
    <t xml:space="preserve">   Class IA</t>
  </si>
  <si>
    <t xml:space="preserve">   Thermal</t>
  </si>
  <si>
    <t>Targets differ between Xcel and other utilities, and the weighted average is based on the retail electricity sales of utilities subject to the RPS. Wind and solar carve-outs apply to only a subset of RPS-obligated utilities, as indicated.</t>
  </si>
  <si>
    <t xml:space="preserve">   Xcel</t>
  </si>
  <si>
    <t xml:space="preserve">   Other utilities</t>
  </si>
  <si>
    <t>Solar Carve-Out (IOUs only)</t>
  </si>
  <si>
    <t>RPS applies only to IOUs</t>
  </si>
  <si>
    <t>The RPS was repealed in 2021</t>
  </si>
  <si>
    <t>CES is denominated as an emission reduction target; translated here into an equivalent percent of retail sales based on resource mix in baseline year.</t>
  </si>
  <si>
    <t xml:space="preserve">   Munis and Coops</t>
  </si>
  <si>
    <t>Solar Carve-Out</t>
  </si>
  <si>
    <t>Swine Waste Carve-Out</t>
  </si>
  <si>
    <t>Poultry Waste Carve-Out</t>
  </si>
  <si>
    <t>Total CES (Duke only)</t>
  </si>
  <si>
    <t>CES applies to Lincoln Electric System, Nebraska Public Power District, and Omaha Public Power District</t>
  </si>
  <si>
    <t xml:space="preserve">   Lincoln Electric</t>
  </si>
  <si>
    <t xml:space="preserve">   Nebraska PPD and Omaha PPD</t>
  </si>
  <si>
    <t>RPS does not apply to municipal utilities</t>
  </si>
  <si>
    <t xml:space="preserve">   Class I (Non-Thermal)</t>
  </si>
  <si>
    <t xml:space="preserve">NH </t>
  </si>
  <si>
    <t xml:space="preserve">   Class I (Thermal)</t>
  </si>
  <si>
    <t xml:space="preserve">   Class II (Solar Carve-Out)</t>
  </si>
  <si>
    <t xml:space="preserve">   Class III (Existing Biomass/Methane)</t>
  </si>
  <si>
    <t xml:space="preserve">   Class IV (Existing Small Hydro)</t>
  </si>
  <si>
    <t>RPS applies only to IOUs and competetitive retail suppliers. Class I Non-Solar includes the TREC and SuSI programs, but excludes the previous SREC registration program.</t>
  </si>
  <si>
    <t xml:space="preserve">   Class I Non-Solar</t>
  </si>
  <si>
    <t>RPS does not apply to municipal utilities. Targets differ between IOUs and Coops, and the weighted average is based on the retail electricity sales of utilities subject to the RPS.</t>
  </si>
  <si>
    <t xml:space="preserve">   Coops</t>
  </si>
  <si>
    <t>IOU RPS: DG Diversity Requirement</t>
  </si>
  <si>
    <t>IOU RPS: Wind Diversity Requirement</t>
  </si>
  <si>
    <t>IOU RPS: Solar Diversity Requirement</t>
  </si>
  <si>
    <t>IOU RPS: Non-Wind/Solar Diversity Requirement</t>
  </si>
  <si>
    <t>RPS targets through 2017 are based on legacy RPS.  Targets from 2018-2021 are based on final NYSERDA Phase 2 Implementation Plan. Targets from 2022-2029 are interpolated assuming a linear ramp up to the final 70% percentage requirement in 2030.</t>
  </si>
  <si>
    <t xml:space="preserve">   Large IOUs</t>
  </si>
  <si>
    <t xml:space="preserve">   Large Consumer Owned Utilities</t>
  </si>
  <si>
    <t xml:space="preserve">   Medium-to-Large Utilities</t>
  </si>
  <si>
    <t xml:space="preserve">   Medium Utilities</t>
  </si>
  <si>
    <t xml:space="preserve">   Small Utilities</t>
  </si>
  <si>
    <t xml:space="preserve">   New</t>
  </si>
  <si>
    <t>RPS applies only to IOUs and competitive retail suppliers and denominated in MW terms; translated to equivalent percentage of applicable sales based on average capacity factor of operating wind power projects in Texas.</t>
  </si>
  <si>
    <t>RPS applies to the portion of the utilities' load not served by nuclear; translated here to the equivalent percentage of total retail sales based on existing nuclear generation in the utilities' fleets. The Total RPS and Total CES shown here is a weighted average of the two utilities, denominated as a percentage of those utilities' total retail sales.</t>
  </si>
  <si>
    <t xml:space="preserve">   Appalachian RPS (% of non-nuclear)</t>
  </si>
  <si>
    <t xml:space="preserve">   Dominion RPS (% of non-nuclear)</t>
  </si>
  <si>
    <t xml:space="preserve">   DG Carve-Out (Dominion)</t>
  </si>
  <si>
    <t xml:space="preserve">   Appalachian Power</t>
  </si>
  <si>
    <t xml:space="preserve">   Dominion Power</t>
  </si>
  <si>
    <t xml:space="preserve">   DG Carve-Out (Wtd. Avg.)</t>
  </si>
  <si>
    <t>Alternative Compliance Payment</t>
  </si>
  <si>
    <t>State Abbr.</t>
  </si>
  <si>
    <t>$/MWh</t>
  </si>
  <si>
    <t>more details</t>
  </si>
  <si>
    <t>2026 refresh note</t>
  </si>
  <si>
    <t>Confidence</t>
  </si>
  <si>
    <t>Last checked</t>
  </si>
  <si>
    <t>Dollar year (for 2012$ deflation)</t>
  </si>
  <si>
    <t>N/A</t>
  </si>
  <si>
    <t>Under existing law, the CPUC has been authorized to impose penalties on utilities that fail to meet their procurement requirements under the RPS. Those potential penalties have never been clearly quantified as in some other states that have an Alternative Compliance Payment. SB 350, however, tasks the CPUC with adopting a schedule of penalties for noncompliance. The legislation further states that the cost of any penalties paid by a utility will not be collected in the rates it charges its customers.  </t>
  </si>
  <si>
    <t>CT Class I RPS ACP = 4.0 cents/kWh = $40/MWh, effective 2021 (CT Gen. Stat. 16-244c; CT OLR).</t>
  </si>
  <si>
    <t>Main Class I ACP; replaces prior 5.5c/kWh ($55.15) value.</t>
  </si>
  <si>
    <t>Moderate</t>
  </si>
  <si>
    <t>2026-06-12</t>
  </si>
  <si>
    <t>https://programs.dsireusa.org/system/program/detail/1231/renewables-portfolio-standard</t>
  </si>
  <si>
    <t>NOT REFRESHED. Only solar SACP ($400-500/SREC) located, not the main RPS Class I ACP. Kept existing $25. VERIFY against DE PSC.</t>
  </si>
  <si>
    <t>Low</t>
  </si>
  <si>
    <t>each ARES's ACP is different, based on the utility service territory in which it operates. The remaining 50% of an ARES's obligation may be met with ACP payments or by procuring renewable energy or renewable energy credits (RECs). The ACPs submitted by ARES is remitted directly to the ICC, which forwards that money to the IPA's Renewable Energy Resources Fund (RERF) to be used for the purchase of RECs. For more information, see the ICC website "Renewable Portfolio Standards For ARES." </t>
  </si>
  <si>
    <t>Maine PUC: Class I ACP statutory cap $50/MWh, set by rule annually (since 2020).</t>
  </si>
  <si>
    <t>Confirmed unchanged.</t>
  </si>
  <si>
    <t>High</t>
  </si>
  <si>
    <t>MD PSC Renewable Energy Portfolio Standard report, Tier 1 ACP for 2025 compliance year.</t>
  </si>
  <si>
    <t>Tier 1 (excludes solar carve-out).</t>
  </si>
  <si>
    <t>225 CMR 14.07 RPS Class I ACP: $60 (2021), $50 (2022), $40 (2023 onward).</t>
  </si>
  <si>
    <t>Switched from prior CES ACP ($35) to main RPS Class I per scope decision.</t>
  </si>
  <si>
    <t>Mod-High</t>
  </si>
  <si>
    <t>https://programs.dsireusa.org/system/program/detail/384/renewable-resource-standard</t>
  </si>
  <si>
    <t>NOT REFRESHED this cycle. Kept existing $10. VERIFY against MT PSC.</t>
  </si>
  <si>
    <t>NH Dept of Energy, RPS Class I (non-thermal) ACP, 2025 = $63.29/MWh (2024 = $62.24).</t>
  </si>
  <si>
    <t>Class I non-thermal; NH publishes historic ACP table.</t>
  </si>
  <si>
    <t>NJ BPU / NJAC 14:8-2.10: Class I (non-solar) ACP fixed at $50/MWh since 2004.</t>
  </si>
  <si>
    <t>Confirmed unchanged. Excludes solar SACP ($208/MWh 2025).</t>
  </si>
  <si>
    <t>https://programs.dsireusa.org/system/program/detail/5883/clean-energy-standard</t>
  </si>
  <si>
    <t>https://programs.dsireusa.org/system/program/detail/2660/clean-energy-and-energy-efficiency-portfolio-standard</t>
  </si>
  <si>
    <t>None stated. The Commission may assess penalties if utilities fail to comply.</t>
  </si>
  <si>
    <t>PUCO RPS, 2025 ACP = $66.01/MWh (statutory base $45 CPI-adjusted per ORC 4928.64).</t>
  </si>
  <si>
    <t>Prior file value $45 was the un-adjusted statutory base.</t>
  </si>
  <si>
    <t>https://programs.dsireusa.org/system/program/detail/2594/renewable-portfolio-standard</t>
  </si>
  <si>
    <t>The Oregon Public Utilities Commission (PUC) established the 2014-2015 ACP rate as $110 per megawatt-hour (MWh) for Portland General Electric, Pacific Power, and electric service providers. </t>
  </si>
  <si>
    <t>NOT REFRESHED. Web search returned $50/MWh which conflicts with existing $110; low confidence. Kept existing. VERIFY against Oregon PUC.</t>
  </si>
  <si>
    <t>RI PUC Renewable Energy Standard, ACP = $80.59/MWh (2023 compliance year; latest found).</t>
  </si>
  <si>
    <t>2025 rate not located; 2023 value used. Verify current.</t>
  </si>
  <si>
    <t>programs exist at the city level</t>
  </si>
  <si>
    <t>https://programs.dsireusa.org/system/program/detail/5786/renewable-energy-standard</t>
  </si>
  <si>
    <t>NOT REFRESHED this cycle. Kept existing $12.28. (VT Tier I ACP tracks near MA ACP per DPS.) VERIFY against VT PUC.</t>
  </si>
  <si>
    <t>RCW 19.285.060: $50/MWh base administrative penalty, GDP-deflator adjusted since 2007.</t>
  </si>
  <si>
    <t>Statutory base; current inflation-adjusted value likely higher. Verify.</t>
  </si>
  <si>
    <t>none provided</t>
  </si>
  <si>
    <t>Cost Cap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</si>
</sst>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00000"/>
  </numFmts>
  <fonts count="21" x14ac:knownFonts="1">
    <font>
      <sz val="11"/>
      <color theme="1"/>
      <name val="Calibri"/>
      <family val="2"/>
      <scheme val="minor"/>
    </font>
    <font>
      <b/>
      <sz val="11"/>
      <color theme="1"/>
      <name val="Calibri"/>
      <family val="2"/>
      <scheme val="minor"/>
    </font>
    <font>
      <sz val="11"/>
      <color theme="1"/>
      <name val="Calibri"/>
      <family val="2"/>
    </font>
    <font>
      <sz val="11"/>
      <color rgb="FF000000"/>
      <name val="Calibri"/>
      <family val="2"/>
    </font>
    <font>
      <sz val="10"/>
      <name val="Arial"/>
      <family val="2"/>
    </font>
    <font>
      <b/>
      <sz val="14"/>
      <color theme="0"/>
      <name val="Arial"/>
      <family val="2"/>
    </font>
    <font>
      <sz val="10"/>
      <color theme="0" tint="-0.499984740745262"/>
      <name val="Arial"/>
      <family val="2"/>
    </font>
    <font>
      <sz val="10"/>
      <color theme="0"/>
      <name val="Arial"/>
      <family val="2"/>
    </font>
    <font>
      <b/>
      <sz val="11"/>
      <name val="Arial"/>
      <family val="2"/>
    </font>
    <font>
      <u/>
      <sz val="10"/>
      <color indexed="12"/>
      <name val="Arial"/>
      <family val="2"/>
    </font>
    <font>
      <b/>
      <u/>
      <sz val="11"/>
      <color theme="10"/>
      <name val="Arial"/>
      <family val="2"/>
    </font>
    <font>
      <i/>
      <sz val="11"/>
      <color rgb="FFFF0000"/>
      <name val="Arial"/>
      <family val="2"/>
    </font>
    <font>
      <b/>
      <sz val="12"/>
      <name val="Arial"/>
      <family val="2"/>
    </font>
    <font>
      <b/>
      <sz val="10"/>
      <name val="Arial"/>
      <family val="2"/>
    </font>
    <font>
      <b/>
      <sz val="10"/>
      <color theme="0"/>
      <name val="Arial"/>
      <family val="2"/>
    </font>
    <font>
      <sz val="11"/>
      <color theme="1"/>
      <name val="Calibri"/>
      <family val="2"/>
      <scheme val="minor"/>
    </font>
    <font>
      <sz val="11"/>
      <color rgb="FF444444"/>
      <name val="Arial"/>
      <family val="2"/>
    </font>
    <font>
      <u/>
      <sz val="11"/>
      <color theme="10"/>
      <name val="Calibri"/>
      <family val="2"/>
      <scheme val="minor"/>
    </font>
    <font>
      <sz val="11"/>
      <color rgb="FF000000"/>
      <name val="Arial"/>
      <family val="2"/>
    </font>
    <font>
      <b/>
      <sz val="11"/>
      <name val="Calibri"/>
    </font>
    <font>
      <i/>
      <sz val="11"/>
      <color rgb="FF666666"/>
      <name val="Calibri"/>
    </font>
  </fonts>
  <fills count="7">
    <fill>
      <patternFill patternType="none"/>
    </fill>
    <fill>
      <patternFill patternType="gray125"/>
    </fill>
    <fill>
      <patternFill patternType="solid">
        <fgColor theme="0"/>
        <bgColor indexed="64"/>
      </patternFill>
    </fill>
    <fill>
      <patternFill patternType="solid">
        <fgColor theme="3" tint="-0.249977111117893"/>
        <bgColor indexed="64"/>
      </patternFill>
    </fill>
    <fill>
      <patternFill patternType="solid">
        <fgColor theme="0" tint="-4.9989318521683403E-2"/>
        <bgColor indexed="64"/>
      </patternFill>
    </fill>
    <fill>
      <patternFill patternType="solid">
        <fgColor rgb="FFFFFFCC"/>
        <bgColor indexed="64"/>
      </patternFill>
    </fill>
    <fill>
      <patternFill patternType="solid">
        <fgColor rgb="FFFF0000"/>
        <bgColor indexed="64"/>
      </patternFill>
    </fill>
  </fills>
  <borders count="14">
    <border>
      <left/>
      <right/>
      <top/>
      <bottom/>
      <diagonal/>
    </border>
    <border>
      <left style="thin">
        <color theme="0"/>
      </left>
      <right/>
      <top style="thin">
        <color theme="0"/>
      </top>
      <bottom style="thin">
        <color theme="0"/>
      </bottom>
      <diagonal/>
    </border>
    <border>
      <left/>
      <right/>
      <top style="thin">
        <color theme="0"/>
      </top>
      <bottom style="thin">
        <color theme="0"/>
      </bottom>
      <diagonal/>
    </border>
    <border>
      <left style="thin">
        <color theme="0"/>
      </left>
      <right style="thin">
        <color theme="0"/>
      </right>
      <top style="thin">
        <color theme="0"/>
      </top>
      <bottom style="thin">
        <color theme="0"/>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right style="thin">
        <color indexed="64"/>
      </right>
      <top style="thin">
        <color indexed="64"/>
      </top>
      <bottom/>
      <diagonal/>
    </border>
    <border>
      <left/>
      <right style="thin">
        <color indexed="64"/>
      </right>
      <top/>
      <bottom style="thin">
        <color indexed="64"/>
      </bottom>
      <diagonal/>
    </border>
    <border>
      <left/>
      <right style="thin">
        <color indexed="64"/>
      </right>
      <top/>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style="thin">
        <color indexed="64"/>
      </left>
      <right/>
      <top/>
      <bottom style="thin">
        <color indexed="64"/>
      </bottom>
      <diagonal/>
    </border>
  </borders>
  <cellStyleXfs count="6">
    <xf numFmtId="0" fontId="0" fillId="0" borderId="0"/>
    <xf numFmtId="0" fontId="4" fillId="0" borderId="0"/>
    <xf numFmtId="0" fontId="9" fillId="0" borderId="0">
      <alignment vertical="top"/>
      <protection locked="0"/>
    </xf>
    <xf numFmtId="165" fontId="4" fillId="0" borderId="0">
      <alignment horizontal="left" wrapText="1"/>
    </xf>
    <xf numFmtId="9" fontId="15" fillId="0" borderId="0"/>
    <xf numFmtId="0" fontId="17" fillId="0" borderId="0"/>
  </cellStyleXfs>
  <cellXfs count="64">
    <xf numFmtId="0" fontId="0" fillId="0" borderId="0" xfId="0"/>
    <xf numFmtId="0" fontId="1" fillId="0" borderId="0" xfId="0" applyFont="1"/>
    <xf numFmtId="14" fontId="0" fillId="0" borderId="0" xfId="0" applyNumberFormat="1"/>
    <xf numFmtId="0" fontId="3" fillId="0" borderId="0" xfId="0" applyFont="1"/>
    <xf numFmtId="0" fontId="2" fillId="0" borderId="0" xfId="0" applyFont="1"/>
    <xf numFmtId="0" fontId="4" fillId="2" borderId="1" xfId="1" applyFill="1" applyBorder="1"/>
    <xf numFmtId="0" fontId="5" fillId="3" borderId="1" xfId="1" applyFont="1" applyFill="1" applyBorder="1"/>
    <xf numFmtId="0" fontId="5" fillId="3" borderId="2" xfId="1" applyFont="1" applyFill="1" applyBorder="1"/>
    <xf numFmtId="0" fontId="6" fillId="2" borderId="3" xfId="1" applyFont="1" applyFill="1" applyBorder="1"/>
    <xf numFmtId="0" fontId="7" fillId="2" borderId="3" xfId="1" applyFont="1" applyFill="1" applyBorder="1"/>
    <xf numFmtId="0" fontId="4" fillId="2" borderId="3" xfId="1" applyFill="1" applyBorder="1"/>
    <xf numFmtId="0" fontId="4" fillId="2" borderId="0" xfId="1" applyFill="1"/>
    <xf numFmtId="0" fontId="8" fillId="2" borderId="3" xfId="1" applyFont="1" applyFill="1" applyBorder="1"/>
    <xf numFmtId="0" fontId="6" fillId="2" borderId="0" xfId="1" applyFont="1" applyFill="1"/>
    <xf numFmtId="0" fontId="7" fillId="2" borderId="0" xfId="1" applyFont="1" applyFill="1"/>
    <xf numFmtId="0" fontId="10" fillId="2" borderId="3" xfId="2" applyFont="1" applyFill="1" applyBorder="1" applyAlignment="1" applyProtection="1"/>
    <xf numFmtId="0" fontId="11" fillId="2" borderId="3" xfId="1" applyFont="1" applyFill="1" applyBorder="1"/>
    <xf numFmtId="0" fontId="12" fillId="0" borderId="4" xfId="1" applyFont="1" applyBorder="1"/>
    <xf numFmtId="0" fontId="13" fillId="4" borderId="0" xfId="1" applyFont="1" applyFill="1"/>
    <xf numFmtId="0" fontId="14" fillId="3" borderId="5" xfId="1" applyFont="1" applyFill="1" applyBorder="1" applyAlignment="1">
      <alignment vertical="center" wrapText="1"/>
    </xf>
    <xf numFmtId="0" fontId="14" fillId="3" borderId="6" xfId="1" applyFont="1" applyFill="1" applyBorder="1" applyAlignment="1">
      <alignment vertical="center" wrapText="1"/>
    </xf>
    <xf numFmtId="0" fontId="14" fillId="3" borderId="5" xfId="1" applyFont="1" applyFill="1" applyBorder="1" applyAlignment="1">
      <alignment horizontal="center" vertical="center"/>
    </xf>
    <xf numFmtId="0" fontId="4" fillId="4" borderId="0" xfId="1" applyFill="1"/>
    <xf numFmtId="0" fontId="4" fillId="0" borderId="6" xfId="1" applyBorder="1" applyAlignment="1">
      <alignment vertical="center"/>
    </xf>
    <xf numFmtId="0" fontId="4" fillId="0" borderId="6" xfId="1" applyBorder="1" applyAlignment="1">
      <alignment vertical="center" wrapText="1"/>
    </xf>
    <xf numFmtId="0" fontId="4" fillId="0" borderId="5" xfId="1" applyBorder="1" applyAlignment="1">
      <alignment horizontal="left" vertical="top"/>
    </xf>
    <xf numFmtId="10" fontId="4" fillId="5" borderId="5" xfId="1" applyNumberFormat="1" applyFill="1" applyBorder="1" applyAlignment="1">
      <alignment horizontal="center" vertical="center"/>
    </xf>
    <xf numFmtId="0" fontId="4" fillId="0" borderId="4" xfId="1" applyBorder="1" applyAlignment="1">
      <alignment vertical="center"/>
    </xf>
    <xf numFmtId="0" fontId="4" fillId="0" borderId="4" xfId="1" applyBorder="1" applyAlignment="1">
      <alignment vertical="center" wrapText="1"/>
    </xf>
    <xf numFmtId="0" fontId="4" fillId="0" borderId="7" xfId="1" applyBorder="1" applyAlignment="1">
      <alignment vertical="center"/>
    </xf>
    <xf numFmtId="0" fontId="4" fillId="0" borderId="7" xfId="1" applyBorder="1" applyAlignment="1">
      <alignment vertical="center" wrapText="1"/>
    </xf>
    <xf numFmtId="10" fontId="4" fillId="6" borderId="5" xfId="1" applyNumberFormat="1" applyFill="1" applyBorder="1" applyAlignment="1">
      <alignment horizontal="center" vertical="center"/>
    </xf>
    <xf numFmtId="0" fontId="4" fillId="0" borderId="5" xfId="1" applyBorder="1" applyAlignment="1">
      <alignment horizontal="left" vertical="center"/>
    </xf>
    <xf numFmtId="0" fontId="4" fillId="0" borderId="5" xfId="1" applyBorder="1" applyAlignment="1">
      <alignment horizontal="center" vertical="center"/>
    </xf>
    <xf numFmtId="0" fontId="4" fillId="0" borderId="7" xfId="1" applyBorder="1" applyAlignment="1">
      <alignment horizontal="center" vertical="center"/>
    </xf>
    <xf numFmtId="0" fontId="4" fillId="0" borderId="7" xfId="1" applyBorder="1" applyAlignment="1">
      <alignment horizontal="left" vertical="center"/>
    </xf>
    <xf numFmtId="2" fontId="3" fillId="0" borderId="0" xfId="0" applyNumberFormat="1" applyFont="1"/>
    <xf numFmtId="0" fontId="0" fillId="0" borderId="0" xfId="0" applyAlignment="1">
      <alignment horizontal="right"/>
    </xf>
    <xf numFmtId="0" fontId="0" fillId="0" borderId="0" xfId="4" applyNumberFormat="1" applyFont="1"/>
    <xf numFmtId="164" fontId="0" fillId="0" borderId="0" xfId="0" applyNumberFormat="1"/>
    <xf numFmtId="0" fontId="16" fillId="0" borderId="0" xfId="0" applyFont="1"/>
    <xf numFmtId="0" fontId="17" fillId="0" borderId="0" xfId="5"/>
    <xf numFmtId="0" fontId="18" fillId="0" borderId="0" xfId="0" applyFont="1"/>
    <xf numFmtId="2" fontId="0" fillId="0" borderId="0" xfId="0" applyNumberFormat="1"/>
    <xf numFmtId="0" fontId="14" fillId="3" borderId="6" xfId="1" applyFont="1" applyFill="1" applyBorder="1" applyAlignment="1">
      <alignment horizontal="center" vertical="center" wrapText="1"/>
    </xf>
    <xf numFmtId="0" fontId="4" fillId="0" borderId="8" xfId="1" applyBorder="1" applyAlignment="1">
      <alignment vertical="center" wrapText="1"/>
    </xf>
    <xf numFmtId="0" fontId="4" fillId="0" borderId="9" xfId="1" applyBorder="1" applyAlignment="1">
      <alignment vertical="center" wrapText="1"/>
    </xf>
    <xf numFmtId="0" fontId="4" fillId="0" borderId="10" xfId="1" applyBorder="1" applyAlignment="1">
      <alignment vertical="center" wrapText="1"/>
    </xf>
    <xf numFmtId="0" fontId="4" fillId="0" borderId="7" xfId="1" applyBorder="1" applyAlignment="1">
      <alignment vertical="top" wrapText="1"/>
    </xf>
    <xf numFmtId="0" fontId="4" fillId="0" borderId="4" xfId="1" applyBorder="1" applyAlignment="1">
      <alignment horizontal="center" vertical="center"/>
    </xf>
    <xf numFmtId="0" fontId="4" fillId="0" borderId="4" xfId="1" applyBorder="1" applyAlignment="1">
      <alignment horizontal="left" vertical="center" wrapText="1"/>
    </xf>
    <xf numFmtId="0" fontId="4" fillId="2" borderId="8" xfId="1" applyFill="1" applyBorder="1"/>
    <xf numFmtId="0" fontId="4" fillId="2" borderId="6" xfId="1" applyFill="1" applyBorder="1"/>
    <xf numFmtId="10" fontId="4" fillId="2" borderId="0" xfId="1" applyNumberFormat="1" applyFill="1"/>
    <xf numFmtId="10" fontId="4" fillId="5" borderId="5" xfId="1" applyNumberFormat="1" applyFill="1" applyBorder="1"/>
    <xf numFmtId="0" fontId="4" fillId="2" borderId="5" xfId="1" applyFill="1" applyBorder="1"/>
    <xf numFmtId="0" fontId="4" fillId="2" borderId="7" xfId="1" applyFill="1" applyBorder="1"/>
    <xf numFmtId="0" fontId="4" fillId="2" borderId="4" xfId="1" applyFill="1" applyBorder="1"/>
    <xf numFmtId="0" fontId="4" fillId="2" borderId="10" xfId="1" applyFill="1" applyBorder="1"/>
    <xf numFmtId="0" fontId="4" fillId="2" borderId="11" xfId="1" applyFill="1" applyBorder="1"/>
    <xf numFmtId="0" fontId="4" fillId="2" borderId="12" xfId="1" applyFill="1" applyBorder="1"/>
    <xf numFmtId="0" fontId="4" fillId="2" borderId="13" xfId="1" applyFill="1" applyBorder="1"/>
    <xf numFmtId="0" fontId="19" fillId="0" borderId="0" xfId="0" applyFont="1"/>
    <xf numFmtId="0" fontId="20" fillId="0" borderId="0" xfId="0" applyFont="1"/>
  </cellXfs>
  <cellStyles count="6">
    <cellStyle name="Hyperlink" xfId="5" builtinId="8"/>
    <cellStyle name="Hyperlink 3" xfId="2" xr:uid="{00000000-0005-0000-0000-000002000000}"/>
    <cellStyle name="Normal" xfId="0" builtinId="0"/>
    <cellStyle name="Normal 4" xfId="1" xr:uid="{00000000-0005-0000-0000-000001000000}"/>
    <cellStyle name="Normal 5" xfId="3" xr:uid="{00000000-0005-0000-0000-000003000000}"/>
    <cellStyle name="Percent" xfId="4" builtinId="5"/>
  </cellStyles>
  <dxfs count="5">
    <dxf>
      <font>
        <color rgb="FF9C0006"/>
      </font>
      <fill>
        <patternFill>
          <bgColor rgb="FFFFC7CE"/>
        </patternFill>
      </fill>
    </dxf>
    <dxf>
      <fill>
        <patternFill>
          <bgColor theme="9" tint="0.59996337778862885"/>
        </patternFill>
      </fill>
    </dxf>
    <dxf>
      <fill>
        <patternFill>
          <bgColor rgb="FFCCCCFF"/>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hyperlink" Target="https://www.icc.illinois.gov/electricity/RenewablePortfolioStandards.asp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2"/>
  <sheetViews>
    <sheetView workbookViewId="0">
      <selection activeCell="B2" sqref="B2"/>
    </sheetView>
  </sheetViews>
  <sheetFormatPr defaultRowHeight="14.25" x14ac:dyDescent="0.45"/>
  <cols>
    <col min="1" max="1" width="13.265625" customWidth="1"/>
  </cols>
  <sheetData>
    <row r="1" spans="1:12" x14ac:dyDescent="0.45">
      <c r="A1" s="1" t="s">
        <v>0</v>
      </c>
      <c r="B1" s="3" t="s">
        <v>105</v>
      </c>
      <c r="C1" s="2">
        <v>46253</v>
      </c>
      <c r="E1" s="2">
        <v>45467</v>
      </c>
      <c r="K1" s="3" t="s">
        <v>1</v>
      </c>
      <c r="L1" s="3" t="s">
        <v>2</v>
      </c>
    </row>
    <row r="2" spans="1:12" x14ac:dyDescent="0.45">
      <c r="B2" s="4" t="str">
        <f>LOOKUP(B1,K1:L50,L1:L50)</f>
        <v>ND</v>
      </c>
      <c r="K2" s="3" t="s">
        <v>3</v>
      </c>
      <c r="L2" s="3" t="s">
        <v>4</v>
      </c>
    </row>
    <row r="3" spans="1:12" x14ac:dyDescent="0.45">
      <c r="K3" s="3" t="s">
        <v>5</v>
      </c>
      <c r="L3" s="3" t="s">
        <v>6</v>
      </c>
    </row>
    <row r="4" spans="1:12" x14ac:dyDescent="0.45">
      <c r="A4" s="1" t="s">
        <v>7</v>
      </c>
      <c r="K4" s="3" t="s">
        <v>8</v>
      </c>
      <c r="L4" s="3" t="s">
        <v>9</v>
      </c>
    </row>
    <row r="5" spans="1:12" x14ac:dyDescent="0.45">
      <c r="A5" s="1" t="s">
        <v>10</v>
      </c>
      <c r="B5" s="1" t="s">
        <v>11</v>
      </c>
      <c r="K5" s="3" t="s">
        <v>12</v>
      </c>
      <c r="L5" s="3" t="s">
        <v>13</v>
      </c>
    </row>
    <row r="6" spans="1:12" x14ac:dyDescent="0.45">
      <c r="A6" s="36" t="s">
        <v>6</v>
      </c>
      <c r="B6" t="s">
        <v>14</v>
      </c>
      <c r="K6" s="3" t="s">
        <v>15</v>
      </c>
      <c r="L6" s="3" t="s">
        <v>16</v>
      </c>
    </row>
    <row r="7" spans="1:12" x14ac:dyDescent="0.45">
      <c r="A7" s="36" t="s">
        <v>13</v>
      </c>
      <c r="B7" t="s">
        <v>17</v>
      </c>
      <c r="K7" s="3" t="s">
        <v>18</v>
      </c>
      <c r="L7" s="3" t="s">
        <v>19</v>
      </c>
    </row>
    <row r="8" spans="1:12" x14ac:dyDescent="0.45">
      <c r="A8" s="36" t="s">
        <v>16</v>
      </c>
      <c r="B8" t="s">
        <v>20</v>
      </c>
      <c r="K8" s="3" t="s">
        <v>21</v>
      </c>
      <c r="L8" s="3" t="s">
        <v>22</v>
      </c>
    </row>
    <row r="9" spans="1:12" x14ac:dyDescent="0.45">
      <c r="A9" s="36" t="s">
        <v>19</v>
      </c>
      <c r="B9" t="s">
        <v>23</v>
      </c>
      <c r="K9" s="3" t="s">
        <v>24</v>
      </c>
      <c r="L9" s="3" t="s">
        <v>25</v>
      </c>
    </row>
    <row r="10" spans="1:12" x14ac:dyDescent="0.45">
      <c r="A10" s="36" t="s">
        <v>22</v>
      </c>
      <c r="B10" t="s">
        <v>26</v>
      </c>
      <c r="K10" s="3" t="s">
        <v>27</v>
      </c>
      <c r="L10" s="3" t="s">
        <v>28</v>
      </c>
    </row>
    <row r="11" spans="1:12" x14ac:dyDescent="0.45">
      <c r="A11" s="36" t="s">
        <v>29</v>
      </c>
      <c r="B11" t="s">
        <v>30</v>
      </c>
      <c r="K11" s="3" t="s">
        <v>31</v>
      </c>
      <c r="L11" s="3" t="s">
        <v>29</v>
      </c>
    </row>
    <row r="12" spans="1:12" x14ac:dyDescent="0.45">
      <c r="A12" s="36" t="s">
        <v>32</v>
      </c>
      <c r="B12" t="s">
        <v>33</v>
      </c>
      <c r="K12" s="3" t="s">
        <v>34</v>
      </c>
      <c r="L12" s="3" t="s">
        <v>35</v>
      </c>
    </row>
    <row r="13" spans="1:12" x14ac:dyDescent="0.45">
      <c r="A13" s="36" t="s">
        <v>36</v>
      </c>
      <c r="B13" t="s">
        <v>37</v>
      </c>
      <c r="K13" s="3" t="s">
        <v>38</v>
      </c>
      <c r="L13" s="3" t="s">
        <v>36</v>
      </c>
    </row>
    <row r="14" spans="1:12" x14ac:dyDescent="0.45">
      <c r="A14" s="36" t="s">
        <v>39</v>
      </c>
      <c r="B14" t="s">
        <v>40</v>
      </c>
      <c r="K14" s="3" t="s">
        <v>41</v>
      </c>
      <c r="L14" s="3" t="s">
        <v>42</v>
      </c>
    </row>
    <row r="15" spans="1:12" x14ac:dyDescent="0.45">
      <c r="A15" s="36" t="s">
        <v>43</v>
      </c>
      <c r="B15" t="s">
        <v>44</v>
      </c>
      <c r="K15" s="3" t="s">
        <v>45</v>
      </c>
      <c r="L15" s="3" t="s">
        <v>32</v>
      </c>
    </row>
    <row r="16" spans="1:12" x14ac:dyDescent="0.45">
      <c r="A16" s="36" t="s">
        <v>46</v>
      </c>
      <c r="B16" t="s">
        <v>47</v>
      </c>
      <c r="K16" s="3" t="s">
        <v>48</v>
      </c>
      <c r="L16" s="3" t="s">
        <v>39</v>
      </c>
    </row>
    <row r="17" spans="1:12" x14ac:dyDescent="0.45">
      <c r="A17" s="36" t="s">
        <v>49</v>
      </c>
      <c r="B17" t="s">
        <v>50</v>
      </c>
      <c r="K17" s="3" t="s">
        <v>51</v>
      </c>
      <c r="L17" s="3" t="s">
        <v>52</v>
      </c>
    </row>
    <row r="18" spans="1:12" x14ac:dyDescent="0.45">
      <c r="A18" s="36" t="s">
        <v>53</v>
      </c>
      <c r="B18" t="s">
        <v>54</v>
      </c>
      <c r="K18" s="3" t="s">
        <v>55</v>
      </c>
      <c r="L18" s="3" t="s">
        <v>56</v>
      </c>
    </row>
    <row r="19" spans="1:12" x14ac:dyDescent="0.45">
      <c r="A19" s="36" t="s">
        <v>57</v>
      </c>
      <c r="B19" t="s">
        <v>58</v>
      </c>
      <c r="K19" s="3" t="s">
        <v>59</v>
      </c>
      <c r="L19" s="3" t="s">
        <v>49</v>
      </c>
    </row>
    <row r="20" spans="1:12" x14ac:dyDescent="0.45">
      <c r="A20" s="36" t="s">
        <v>60</v>
      </c>
      <c r="B20" t="s">
        <v>61</v>
      </c>
      <c r="K20" s="3" t="s">
        <v>62</v>
      </c>
      <c r="L20" s="3" t="s">
        <v>46</v>
      </c>
    </row>
    <row r="21" spans="1:12" x14ac:dyDescent="0.45">
      <c r="A21" s="36" t="s">
        <v>63</v>
      </c>
      <c r="B21" t="s">
        <v>64</v>
      </c>
      <c r="K21" s="3" t="s">
        <v>65</v>
      </c>
      <c r="L21" s="3" t="s">
        <v>43</v>
      </c>
    </row>
    <row r="22" spans="1:12" x14ac:dyDescent="0.45">
      <c r="A22" s="36" t="s">
        <v>66</v>
      </c>
      <c r="B22" t="s">
        <v>67</v>
      </c>
      <c r="K22" s="3" t="s">
        <v>68</v>
      </c>
      <c r="L22" s="3" t="s">
        <v>53</v>
      </c>
    </row>
    <row r="23" spans="1:12" x14ac:dyDescent="0.45">
      <c r="A23" s="36" t="s">
        <v>69</v>
      </c>
      <c r="B23" t="s">
        <v>70</v>
      </c>
      <c r="K23" s="3" t="s">
        <v>71</v>
      </c>
      <c r="L23" s="3" t="s">
        <v>57</v>
      </c>
    </row>
    <row r="24" spans="1:12" x14ac:dyDescent="0.45">
      <c r="A24" s="36" t="s">
        <v>72</v>
      </c>
      <c r="B24" t="s">
        <v>73</v>
      </c>
      <c r="K24" s="3" t="s">
        <v>74</v>
      </c>
      <c r="L24" s="3" t="s">
        <v>75</v>
      </c>
    </row>
    <row r="25" spans="1:12" x14ac:dyDescent="0.45">
      <c r="A25" s="36" t="s">
        <v>76</v>
      </c>
      <c r="B25" t="s">
        <v>77</v>
      </c>
      <c r="K25" s="3" t="s">
        <v>78</v>
      </c>
      <c r="L25" s="3" t="s">
        <v>60</v>
      </c>
    </row>
    <row r="26" spans="1:12" x14ac:dyDescent="0.45">
      <c r="A26" s="36" t="s">
        <v>79</v>
      </c>
      <c r="B26" t="s">
        <v>80</v>
      </c>
      <c r="K26" s="3" t="s">
        <v>81</v>
      </c>
      <c r="L26" s="3" t="s">
        <v>63</v>
      </c>
    </row>
    <row r="27" spans="1:12" x14ac:dyDescent="0.45">
      <c r="A27" s="36" t="s">
        <v>82</v>
      </c>
      <c r="B27" t="s">
        <v>83</v>
      </c>
      <c r="K27" s="3" t="s">
        <v>84</v>
      </c>
      <c r="L27" s="3" t="s">
        <v>69</v>
      </c>
    </row>
    <row r="28" spans="1:12" x14ac:dyDescent="0.45">
      <c r="A28" s="36" t="s">
        <v>85</v>
      </c>
      <c r="B28" t="s">
        <v>86</v>
      </c>
      <c r="K28" s="3" t="s">
        <v>87</v>
      </c>
      <c r="L28" s="3" t="s">
        <v>82</v>
      </c>
    </row>
    <row r="29" spans="1:12" x14ac:dyDescent="0.45">
      <c r="A29" s="36" t="s">
        <v>88</v>
      </c>
      <c r="B29" t="s">
        <v>89</v>
      </c>
      <c r="K29" s="3" t="s">
        <v>90</v>
      </c>
      <c r="L29" s="3" t="s">
        <v>72</v>
      </c>
    </row>
    <row r="30" spans="1:12" x14ac:dyDescent="0.45">
      <c r="A30" s="36" t="s">
        <v>91</v>
      </c>
      <c r="B30" t="s">
        <v>92</v>
      </c>
      <c r="K30" s="3" t="s">
        <v>93</v>
      </c>
      <c r="L30" s="3" t="s">
        <v>76</v>
      </c>
    </row>
    <row r="31" spans="1:12" x14ac:dyDescent="0.45">
      <c r="A31" s="36" t="s">
        <v>94</v>
      </c>
      <c r="B31" t="s">
        <v>95</v>
      </c>
      <c r="K31" s="3" t="s">
        <v>96</v>
      </c>
      <c r="L31" s="3" t="s">
        <v>79</v>
      </c>
    </row>
    <row r="32" spans="1:12" x14ac:dyDescent="0.45">
      <c r="A32" s="36" t="s">
        <v>97</v>
      </c>
      <c r="B32" t="s">
        <v>98</v>
      </c>
      <c r="K32" s="3" t="s">
        <v>99</v>
      </c>
      <c r="L32" s="3" t="s">
        <v>85</v>
      </c>
    </row>
    <row r="33" spans="1:12" x14ac:dyDescent="0.45">
      <c r="A33" s="36" t="s">
        <v>100</v>
      </c>
      <c r="B33" t="s">
        <v>101</v>
      </c>
      <c r="K33" s="3" t="s">
        <v>102</v>
      </c>
      <c r="L33" s="3" t="s">
        <v>66</v>
      </c>
    </row>
    <row r="34" spans="1:12" x14ac:dyDescent="0.45">
      <c r="A34" s="36" t="s">
        <v>103</v>
      </c>
      <c r="B34" t="s">
        <v>104</v>
      </c>
      <c r="K34" s="3" t="s">
        <v>105</v>
      </c>
      <c r="L34" s="3" t="s">
        <v>106</v>
      </c>
    </row>
    <row r="35" spans="1:12" x14ac:dyDescent="0.45">
      <c r="A35" s="36" t="s">
        <v>107</v>
      </c>
      <c r="B35" t="s">
        <v>108</v>
      </c>
      <c r="K35" s="3" t="s">
        <v>109</v>
      </c>
      <c r="L35" s="3" t="s">
        <v>88</v>
      </c>
    </row>
    <row r="36" spans="1:12" x14ac:dyDescent="0.45">
      <c r="A36" s="36" t="s">
        <v>110</v>
      </c>
      <c r="B36" t="s">
        <v>111</v>
      </c>
      <c r="K36" s="3" t="s">
        <v>112</v>
      </c>
      <c r="L36" s="3" t="s">
        <v>113</v>
      </c>
    </row>
    <row r="37" spans="1:12" x14ac:dyDescent="0.45">
      <c r="A37" s="36" t="s">
        <v>114</v>
      </c>
      <c r="B37" t="s">
        <v>115</v>
      </c>
      <c r="K37" s="3" t="s">
        <v>116</v>
      </c>
      <c r="L37" s="3" t="s">
        <v>91</v>
      </c>
    </row>
    <row r="38" spans="1:12" x14ac:dyDescent="0.45">
      <c r="K38" s="3" t="s">
        <v>117</v>
      </c>
      <c r="L38" s="3" t="s">
        <v>94</v>
      </c>
    </row>
    <row r="39" spans="1:12" x14ac:dyDescent="0.45">
      <c r="A39" t="s">
        <v>118</v>
      </c>
      <c r="B39" t="s">
        <v>119</v>
      </c>
      <c r="K39" s="3" t="s">
        <v>120</v>
      </c>
      <c r="L39" s="3" t="s">
        <v>97</v>
      </c>
    </row>
    <row r="40" spans="1:12" x14ac:dyDescent="0.45">
      <c r="B40" t="s">
        <v>121</v>
      </c>
      <c r="K40" s="3" t="s">
        <v>122</v>
      </c>
      <c r="L40" s="3" t="s">
        <v>123</v>
      </c>
    </row>
    <row r="41" spans="1:12" x14ac:dyDescent="0.45">
      <c r="B41" t="s">
        <v>124</v>
      </c>
      <c r="K41" s="3" t="s">
        <v>125</v>
      </c>
      <c r="L41" s="3" t="s">
        <v>126</v>
      </c>
    </row>
    <row r="42" spans="1:12" x14ac:dyDescent="0.45">
      <c r="B42" t="s">
        <v>127</v>
      </c>
      <c r="K42" s="3" t="s">
        <v>128</v>
      </c>
      <c r="L42" s="3" t="s">
        <v>129</v>
      </c>
    </row>
    <row r="43" spans="1:12" x14ac:dyDescent="0.45">
      <c r="K43" s="3" t="s">
        <v>130</v>
      </c>
      <c r="L43" s="3" t="s">
        <v>100</v>
      </c>
    </row>
    <row r="44" spans="1:12" x14ac:dyDescent="0.45">
      <c r="A44">
        <v>0.75350342301658668</v>
      </c>
      <c r="B44" t="s">
        <v>131</v>
      </c>
      <c r="K44" s="3" t="s">
        <v>132</v>
      </c>
      <c r="L44" s="3" t="s">
        <v>133</v>
      </c>
    </row>
    <row r="45" spans="1:12" x14ac:dyDescent="0.45">
      <c r="K45" s="3" t="s">
        <v>134</v>
      </c>
      <c r="L45" s="3" t="s">
        <v>107</v>
      </c>
    </row>
    <row r="46" spans="1:12" x14ac:dyDescent="0.45">
      <c r="B46" t="s">
        <v>135</v>
      </c>
      <c r="K46" s="3" t="s">
        <v>136</v>
      </c>
      <c r="L46" s="3" t="s">
        <v>103</v>
      </c>
    </row>
    <row r="47" spans="1:12" x14ac:dyDescent="0.45">
      <c r="A47" s="62" t="s">
        <v>137</v>
      </c>
      <c r="K47" s="3" t="s">
        <v>138</v>
      </c>
      <c r="L47" s="3" t="s">
        <v>110</v>
      </c>
    </row>
    <row r="48" spans="1:12" x14ac:dyDescent="0.45">
      <c r="A48" s="63" t="s">
        <v>139</v>
      </c>
      <c r="K48" s="3" t="s">
        <v>140</v>
      </c>
      <c r="L48" s="3" t="s">
        <v>141</v>
      </c>
    </row>
    <row r="49" spans="1:12" x14ac:dyDescent="0.45">
      <c r="A49" s="63" t="s">
        <v>142</v>
      </c>
      <c r="K49" s="3" t="s">
        <v>143</v>
      </c>
      <c r="L49" s="3" t="s">
        <v>114</v>
      </c>
    </row>
    <row r="50" spans="1:12" x14ac:dyDescent="0.45">
      <c r="A50" s="63" t="s">
        <v>144</v>
      </c>
      <c r="K50" s="3" t="s">
        <v>145</v>
      </c>
      <c r="L50" s="3" t="s">
        <v>146</v>
      </c>
    </row>
    <row r="51" spans="1:12" x14ac:dyDescent="0.45">
      <c r="A51" s="63" t="s">
        <v>147</v>
      </c>
    </row>
    <row r="52" spans="1:12" x14ac:dyDescent="0.45">
      <c r="A52" s="63" t="s">
        <v>148</v>
      </c>
    </row>
    <row r="53" spans="1:12" x14ac:dyDescent="0.45">
      <c r="A53" s="63" t="s">
        <v>149</v>
      </c>
    </row>
    <row r="54" spans="1:12" x14ac:dyDescent="0.45">
      <c r="B54" t="s">
        <v>150</v>
      </c>
      <c r="D54" s="62" t="s">
        <v>151</v>
      </c>
      <c r="E54" s="62" t="s">
        <v>152</v>
      </c>
    </row>
    <row r="55" spans="1:12" x14ac:dyDescent="0.45">
      <c r="A55" t="s">
        <v>153</v>
      </c>
      <c r="B55">
        <v>0.9143273584567535</v>
      </c>
      <c r="D55">
        <v>2018</v>
      </c>
      <c r="E55">
        <f t="shared" ref="E55:E62" si="0">B55</f>
        <v>0.9143273584567535</v>
      </c>
    </row>
    <row r="56" spans="1:12" x14ac:dyDescent="0.45">
      <c r="A56" t="s">
        <v>154</v>
      </c>
      <c r="B56">
        <v>0.89805481563188172</v>
      </c>
      <c r="D56">
        <v>2019</v>
      </c>
      <c r="E56">
        <f t="shared" si="0"/>
        <v>0.89805481563188172</v>
      </c>
    </row>
    <row r="57" spans="1:12" x14ac:dyDescent="0.45">
      <c r="A57" t="s">
        <v>155</v>
      </c>
      <c r="B57">
        <v>0.88711067149387013</v>
      </c>
      <c r="D57">
        <v>2020</v>
      </c>
      <c r="E57">
        <f t="shared" si="0"/>
        <v>0.88711067149387013</v>
      </c>
    </row>
    <row r="58" spans="1:12" x14ac:dyDescent="0.45">
      <c r="A58" t="s">
        <v>156</v>
      </c>
      <c r="B58">
        <v>0.84730412960844359</v>
      </c>
      <c r="D58">
        <v>2021</v>
      </c>
      <c r="E58">
        <f t="shared" si="0"/>
        <v>0.84730412960844359</v>
      </c>
    </row>
    <row r="59" spans="1:12" x14ac:dyDescent="0.45">
      <c r="A59" t="s">
        <v>157</v>
      </c>
      <c r="B59">
        <v>0.78452102304761584</v>
      </c>
      <c r="D59">
        <v>2022</v>
      </c>
      <c r="E59">
        <f t="shared" si="0"/>
        <v>0.78452102304761584</v>
      </c>
    </row>
    <row r="60" spans="1:12" x14ac:dyDescent="0.45">
      <c r="A60" t="s">
        <v>158</v>
      </c>
      <c r="B60" s="39">
        <v>0.75350342301658668</v>
      </c>
      <c r="D60">
        <v>2023</v>
      </c>
      <c r="E60">
        <f t="shared" si="0"/>
        <v>0.75350342301658668</v>
      </c>
    </row>
    <row r="61" spans="1:12" x14ac:dyDescent="0.45">
      <c r="A61">
        <v>2024</v>
      </c>
      <c r="B61">
        <v>0.73191600598044548</v>
      </c>
      <c r="D61">
        <v>2024</v>
      </c>
      <c r="E61">
        <f t="shared" si="0"/>
        <v>0.73191600598044548</v>
      </c>
    </row>
    <row r="62" spans="1:12" x14ac:dyDescent="0.45">
      <c r="A62">
        <v>2025</v>
      </c>
      <c r="B62">
        <v>0.71302484470000005</v>
      </c>
      <c r="D62">
        <v>2025</v>
      </c>
      <c r="E62">
        <f t="shared" si="0"/>
        <v>0.71302484470000005</v>
      </c>
    </row>
    <row r="63" spans="1:12" x14ac:dyDescent="0.45">
      <c r="B63" s="63" t="s">
        <v>159</v>
      </c>
      <c r="D63" s="63" t="s">
        <v>160</v>
      </c>
    </row>
    <row r="85" spans="2:2" x14ac:dyDescent="0.45">
      <c r="B85" s="36"/>
    </row>
    <row r="86" spans="2:2" x14ac:dyDescent="0.45">
      <c r="B86" s="36"/>
    </row>
    <row r="87" spans="2:2" x14ac:dyDescent="0.45">
      <c r="B87" s="36"/>
    </row>
    <row r="88" spans="2:2" x14ac:dyDescent="0.45">
      <c r="B88" s="36"/>
    </row>
    <row r="89" spans="2:2" x14ac:dyDescent="0.45">
      <c r="B89" s="36"/>
    </row>
    <row r="90" spans="2:2" x14ac:dyDescent="0.45">
      <c r="B90" s="36"/>
    </row>
    <row r="91" spans="2:2" x14ac:dyDescent="0.45">
      <c r="B91" s="36"/>
    </row>
    <row r="92" spans="2:2" x14ac:dyDescent="0.45">
      <c r="B92" s="36"/>
    </row>
    <row r="93" spans="2:2" x14ac:dyDescent="0.45">
      <c r="B93" s="36"/>
    </row>
    <row r="94" spans="2:2" x14ac:dyDescent="0.45">
      <c r="B94" s="36"/>
    </row>
    <row r="95" spans="2:2" x14ac:dyDescent="0.45">
      <c r="B95" s="36"/>
    </row>
    <row r="96" spans="2:2" x14ac:dyDescent="0.45">
      <c r="B96" s="36"/>
    </row>
    <row r="97" spans="2:2" x14ac:dyDescent="0.45">
      <c r="B97" s="36"/>
    </row>
    <row r="98" spans="2:2" x14ac:dyDescent="0.45">
      <c r="B98" s="36"/>
    </row>
    <row r="99" spans="2:2" x14ac:dyDescent="0.45">
      <c r="B99" s="36"/>
    </row>
    <row r="100" spans="2:2" x14ac:dyDescent="0.45">
      <c r="B100" s="36"/>
    </row>
    <row r="101" spans="2:2" x14ac:dyDescent="0.45">
      <c r="B101" s="36"/>
    </row>
    <row r="102" spans="2:2" x14ac:dyDescent="0.45">
      <c r="B102" s="36"/>
    </row>
  </sheetData>
  <conditionalFormatting sqref="B1">
    <cfRule type="duplicateValues" dxfId="4" priority="2"/>
  </conditionalFormatting>
  <conditionalFormatting sqref="K1:K1048576">
    <cfRule type="duplicateValues" dxfId="3" priority="1"/>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H166"/>
  <sheetViews>
    <sheetView topLeftCell="A46" zoomScale="76" workbookViewId="0">
      <selection activeCell="C70" sqref="C70"/>
    </sheetView>
  </sheetViews>
  <sheetFormatPr defaultColWidth="9.1328125" defaultRowHeight="12.75" x14ac:dyDescent="0.35"/>
  <cols>
    <col min="1" max="1" width="9.1328125" style="11" customWidth="1"/>
    <col min="2" max="2" width="18.59765625" style="11" customWidth="1"/>
    <col min="3" max="3" width="35.1328125" style="11" customWidth="1"/>
    <col min="4" max="4" width="9.1328125" style="11" customWidth="1"/>
    <col min="5" max="5" width="22.59765625" style="11" customWidth="1"/>
    <col min="6" max="6" width="36.86328125" style="11" customWidth="1"/>
    <col min="7" max="25" width="9.59765625" style="11" hidden="1" customWidth="1"/>
    <col min="26" max="26" width="9.1328125" style="11" hidden="1" customWidth="1"/>
    <col min="27" max="57" width="9.1328125" style="11" customWidth="1"/>
    <col min="58" max="59" width="9.1328125" style="13" customWidth="1"/>
    <col min="60" max="60" width="9.1328125" style="14" customWidth="1"/>
    <col min="61" max="61" width="9.1328125" style="11" customWidth="1"/>
    <col min="62" max="16384" width="9.1328125" style="11"/>
  </cols>
  <sheetData>
    <row r="1" spans="1:60" s="10" customFormat="1" ht="18" customHeight="1" x14ac:dyDescent="0.5">
      <c r="A1" s="5"/>
      <c r="B1" s="5"/>
      <c r="C1" s="5"/>
      <c r="D1" s="6" t="s">
        <v>161</v>
      </c>
      <c r="E1" s="7"/>
      <c r="F1" s="7"/>
      <c r="G1" s="7"/>
      <c r="H1" s="7"/>
      <c r="I1" s="7"/>
      <c r="J1" s="7"/>
      <c r="K1" s="7"/>
      <c r="L1" s="7"/>
      <c r="M1" s="7"/>
      <c r="N1" s="7"/>
      <c r="O1" s="7"/>
      <c r="P1" s="7"/>
      <c r="Q1" s="7"/>
      <c r="R1" s="7"/>
      <c r="S1" s="7"/>
      <c r="T1" s="7"/>
      <c r="U1" s="7"/>
      <c r="V1" s="7"/>
      <c r="W1" s="7"/>
      <c r="X1" s="7"/>
      <c r="Y1" s="7"/>
      <c r="Z1" s="7"/>
      <c r="AA1" s="7"/>
      <c r="AB1" s="7"/>
      <c r="AC1" s="7"/>
      <c r="AD1" s="7"/>
      <c r="AE1" s="7"/>
      <c r="AF1" s="7"/>
      <c r="AG1" s="7"/>
      <c r="AH1" s="7"/>
      <c r="AI1" s="7"/>
      <c r="AJ1" s="7"/>
      <c r="AK1" s="7"/>
      <c r="AL1" s="7"/>
      <c r="AM1" s="7"/>
      <c r="AN1" s="7"/>
      <c r="AO1" s="7"/>
      <c r="AP1" s="7"/>
      <c r="AQ1" s="7"/>
      <c r="AR1" s="7"/>
      <c r="AS1" s="7"/>
      <c r="AT1" s="7"/>
      <c r="AU1" s="7"/>
      <c r="AV1" s="7"/>
      <c r="AW1" s="7"/>
      <c r="AX1" s="7"/>
      <c r="AY1" s="7"/>
      <c r="AZ1" s="7"/>
      <c r="BA1" s="7"/>
      <c r="BB1" s="7"/>
      <c r="BC1" s="7"/>
      <c r="BD1" s="7"/>
      <c r="BE1" s="7"/>
      <c r="BF1" s="8"/>
      <c r="BG1" s="8"/>
      <c r="BH1" s="9"/>
    </row>
    <row r="12" spans="1:60" ht="15" customHeight="1" x14ac:dyDescent="0.4">
      <c r="D12" s="12"/>
    </row>
    <row r="13" spans="1:60" ht="15" customHeight="1" x14ac:dyDescent="0.4">
      <c r="D13" s="12" t="s">
        <v>162</v>
      </c>
    </row>
    <row r="14" spans="1:60" ht="15" customHeight="1" x14ac:dyDescent="0.4">
      <c r="D14" s="15" t="s">
        <v>163</v>
      </c>
    </row>
    <row r="15" spans="1:60" ht="14.25" customHeight="1" x14ac:dyDescent="0.4">
      <c r="D15" s="16" t="s">
        <v>164</v>
      </c>
    </row>
    <row r="16" spans="1:60" x14ac:dyDescent="0.35">
      <c r="D16" s="11" t="s">
        <v>165</v>
      </c>
    </row>
    <row r="24" spans="2:60" ht="15.75" customHeight="1" x14ac:dyDescent="0.4">
      <c r="D24" s="17" t="s">
        <v>166</v>
      </c>
    </row>
    <row r="25" spans="2:60" ht="13.15" x14ac:dyDescent="0.4">
      <c r="B25" s="18" t="s">
        <v>167</v>
      </c>
      <c r="C25" s="18"/>
      <c r="D25" s="44" t="s">
        <v>10</v>
      </c>
      <c r="E25" s="19" t="s">
        <v>168</v>
      </c>
      <c r="F25" s="20" t="s">
        <v>169</v>
      </c>
      <c r="G25" s="21">
        <v>2000</v>
      </c>
      <c r="H25" s="21">
        <v>2001</v>
      </c>
      <c r="I25" s="21">
        <v>2002</v>
      </c>
      <c r="J25" s="21">
        <v>2003</v>
      </c>
      <c r="K25" s="21">
        <v>2004</v>
      </c>
      <c r="L25" s="21">
        <v>2005</v>
      </c>
      <c r="M25" s="21">
        <v>2006</v>
      </c>
      <c r="N25" s="21">
        <v>2007</v>
      </c>
      <c r="O25" s="21">
        <v>2008</v>
      </c>
      <c r="P25" s="21">
        <v>2009</v>
      </c>
      <c r="Q25" s="21">
        <v>2010</v>
      </c>
      <c r="R25" s="21">
        <v>2011</v>
      </c>
      <c r="S25" s="21">
        <v>2012</v>
      </c>
      <c r="T25" s="21">
        <v>2013</v>
      </c>
      <c r="U25" s="21">
        <v>2014</v>
      </c>
      <c r="V25" s="21">
        <v>2015</v>
      </c>
      <c r="W25" s="21">
        <v>2016</v>
      </c>
      <c r="X25" s="21">
        <v>2017</v>
      </c>
      <c r="Y25" s="21">
        <v>2018</v>
      </c>
      <c r="Z25" s="21">
        <v>2019</v>
      </c>
      <c r="AA25" s="21">
        <v>2020</v>
      </c>
      <c r="AB25" s="21">
        <v>2021</v>
      </c>
      <c r="AC25" s="21">
        <v>2022</v>
      </c>
      <c r="AD25" s="21">
        <v>2023</v>
      </c>
      <c r="AE25" s="21">
        <v>2024</v>
      </c>
      <c r="AF25" s="21">
        <v>2025</v>
      </c>
      <c r="AG25" s="21">
        <v>2026</v>
      </c>
      <c r="AH25" s="21">
        <v>2027</v>
      </c>
      <c r="AI25" s="21">
        <v>2028</v>
      </c>
      <c r="AJ25" s="21">
        <v>2029</v>
      </c>
      <c r="AK25" s="21">
        <v>2030</v>
      </c>
      <c r="AL25" s="21">
        <v>2031</v>
      </c>
      <c r="AM25" s="21">
        <v>2032</v>
      </c>
      <c r="AN25" s="21">
        <v>2033</v>
      </c>
      <c r="AO25" s="21">
        <v>2034</v>
      </c>
      <c r="AP25" s="21">
        <v>2035</v>
      </c>
      <c r="AQ25" s="21">
        <v>2036</v>
      </c>
      <c r="AR25" s="21">
        <v>2037</v>
      </c>
      <c r="AS25" s="21">
        <v>2038</v>
      </c>
      <c r="AT25" s="21">
        <v>2039</v>
      </c>
      <c r="AU25" s="21">
        <v>2040</v>
      </c>
      <c r="AV25" s="21">
        <v>2041</v>
      </c>
      <c r="AW25" s="21">
        <v>2042</v>
      </c>
      <c r="AX25" s="21">
        <v>2043</v>
      </c>
      <c r="AY25" s="21">
        <v>2044</v>
      </c>
      <c r="AZ25" s="21">
        <v>2045</v>
      </c>
      <c r="BA25" s="21">
        <v>2046</v>
      </c>
      <c r="BB25" s="21">
        <v>2047</v>
      </c>
      <c r="BC25" s="21">
        <v>2048</v>
      </c>
      <c r="BD25" s="21">
        <v>2049</v>
      </c>
      <c r="BE25" s="21">
        <v>2050</v>
      </c>
      <c r="BF25" s="11"/>
      <c r="BG25" s="11"/>
      <c r="BH25" s="11"/>
    </row>
    <row r="26" spans="2:60" ht="12.75" customHeight="1" x14ac:dyDescent="0.35">
      <c r="B26" s="22" t="b">
        <v>1</v>
      </c>
      <c r="C26" s="22" t="str">
        <f t="shared" ref="C26:C57" si="0">D26&amp;"_"&amp;F26</f>
        <v>AZ_Total RPS</v>
      </c>
      <c r="D26" s="23" t="s">
        <v>6</v>
      </c>
      <c r="E26" s="45" t="s">
        <v>170</v>
      </c>
      <c r="F26" s="25" t="s">
        <v>171</v>
      </c>
      <c r="G26" s="26">
        <v>0</v>
      </c>
      <c r="H26" s="26">
        <v>2E-3</v>
      </c>
      <c r="I26" s="26">
        <v>4.0000000000000001E-3</v>
      </c>
      <c r="J26" s="26">
        <v>6.0000000000000001E-3</v>
      </c>
      <c r="K26" s="26">
        <v>8.0000000000000002E-3</v>
      </c>
      <c r="L26" s="26">
        <v>0.01</v>
      </c>
      <c r="M26" s="26">
        <v>1.2500000000000001E-2</v>
      </c>
      <c r="N26" s="26">
        <v>1.4999999999999999E-2</v>
      </c>
      <c r="O26" s="26">
        <v>1.7500000000000002E-2</v>
      </c>
      <c r="P26" s="26">
        <v>0.02</v>
      </c>
      <c r="Q26" s="26">
        <v>2.5000000000000001E-2</v>
      </c>
      <c r="R26" s="26">
        <v>0.03</v>
      </c>
      <c r="S26" s="26">
        <v>3.5000000000000003E-2</v>
      </c>
      <c r="T26" s="26">
        <v>0.04</v>
      </c>
      <c r="U26" s="26">
        <v>4.4999999999999998E-2</v>
      </c>
      <c r="V26" s="26">
        <v>0.05</v>
      </c>
      <c r="W26" s="26">
        <v>0.06</v>
      </c>
      <c r="X26" s="26">
        <v>7.0000000000000007E-2</v>
      </c>
      <c r="Y26" s="26">
        <v>0.08</v>
      </c>
      <c r="Z26" s="26">
        <v>0.09</v>
      </c>
      <c r="AA26" s="26">
        <v>0.1</v>
      </c>
      <c r="AB26" s="26">
        <v>0.11</v>
      </c>
      <c r="AC26" s="26">
        <v>0.12</v>
      </c>
      <c r="AD26" s="26">
        <v>0.13</v>
      </c>
      <c r="AE26" s="26">
        <v>0.14000000000000001</v>
      </c>
      <c r="AF26" s="26">
        <v>0.15</v>
      </c>
      <c r="AG26" s="26">
        <v>0.15</v>
      </c>
      <c r="AH26" s="26">
        <v>0.15</v>
      </c>
      <c r="AI26" s="26">
        <v>0.15</v>
      </c>
      <c r="AJ26" s="26">
        <v>0.15</v>
      </c>
      <c r="AK26" s="26">
        <v>0.15</v>
      </c>
      <c r="AL26" s="26">
        <v>0.15</v>
      </c>
      <c r="AM26" s="26">
        <v>0.15</v>
      </c>
      <c r="AN26" s="26">
        <v>0.15</v>
      </c>
      <c r="AO26" s="26">
        <v>0.15</v>
      </c>
      <c r="AP26" s="26">
        <v>0.15</v>
      </c>
      <c r="AQ26" s="26">
        <v>0.15</v>
      </c>
      <c r="AR26" s="26">
        <v>0.15</v>
      </c>
      <c r="AS26" s="26">
        <v>0.15</v>
      </c>
      <c r="AT26" s="26">
        <v>0.15</v>
      </c>
      <c r="AU26" s="26">
        <v>0.15</v>
      </c>
      <c r="AV26" s="26">
        <v>0.15</v>
      </c>
      <c r="AW26" s="26">
        <v>0.15</v>
      </c>
      <c r="AX26" s="26">
        <v>0.15</v>
      </c>
      <c r="AY26" s="26">
        <v>0.15</v>
      </c>
      <c r="AZ26" s="26">
        <v>0.15</v>
      </c>
      <c r="BA26" s="26">
        <v>0.15</v>
      </c>
      <c r="BB26" s="26">
        <v>0.15</v>
      </c>
      <c r="BC26" s="26">
        <v>0.15</v>
      </c>
      <c r="BD26" s="26">
        <v>0.15</v>
      </c>
      <c r="BE26" s="26">
        <v>0.15</v>
      </c>
      <c r="BF26" s="11"/>
      <c r="BG26" s="11"/>
      <c r="BH26" s="11"/>
    </row>
    <row r="27" spans="2:60" x14ac:dyDescent="0.35">
      <c r="B27" s="22" t="b">
        <v>1</v>
      </c>
      <c r="C27" s="22" t="str">
        <f t="shared" si="0"/>
        <v>AZ_   DG Carve-Out</v>
      </c>
      <c r="D27" s="27" t="s">
        <v>6</v>
      </c>
      <c r="E27" s="46"/>
      <c r="F27" s="25" t="s">
        <v>172</v>
      </c>
      <c r="G27" s="26">
        <v>0</v>
      </c>
      <c r="H27" s="26">
        <v>0</v>
      </c>
      <c r="I27" s="26">
        <v>0</v>
      </c>
      <c r="J27" s="26">
        <v>0</v>
      </c>
      <c r="K27" s="26">
        <v>0</v>
      </c>
      <c r="L27" s="26">
        <v>0</v>
      </c>
      <c r="M27" s="26">
        <v>0</v>
      </c>
      <c r="N27" s="26">
        <v>0</v>
      </c>
      <c r="O27" s="26">
        <v>1.8E-3</v>
      </c>
      <c r="P27" s="26">
        <v>3.0000000000000001E-3</v>
      </c>
      <c r="Q27" s="26">
        <v>5.0000000000000001E-3</v>
      </c>
      <c r="R27" s="26">
        <v>7.4999999999999997E-3</v>
      </c>
      <c r="S27" s="26">
        <v>1.0500000000000001E-2</v>
      </c>
      <c r="T27" s="26">
        <v>1.2E-2</v>
      </c>
      <c r="U27" s="26">
        <v>1.35E-2</v>
      </c>
      <c r="V27" s="26">
        <v>1.4999999999999999E-2</v>
      </c>
      <c r="W27" s="26">
        <v>1.7999999999999999E-2</v>
      </c>
      <c r="X27" s="26">
        <v>2.1000000000000001E-2</v>
      </c>
      <c r="Y27" s="26">
        <v>2.4E-2</v>
      </c>
      <c r="Z27" s="26">
        <v>2.7E-2</v>
      </c>
      <c r="AA27" s="26">
        <v>0.03</v>
      </c>
      <c r="AB27" s="26">
        <v>3.3000000000000002E-2</v>
      </c>
      <c r="AC27" s="26">
        <v>3.5999999999999997E-2</v>
      </c>
      <c r="AD27" s="26">
        <v>3.9E-2</v>
      </c>
      <c r="AE27" s="26">
        <v>4.2000000000000003E-2</v>
      </c>
      <c r="AF27" s="26">
        <v>4.4999999999999998E-2</v>
      </c>
      <c r="AG27" s="26">
        <v>4.4999999999999998E-2</v>
      </c>
      <c r="AH27" s="26">
        <v>4.4999999999999998E-2</v>
      </c>
      <c r="AI27" s="26">
        <v>4.4999999999999998E-2</v>
      </c>
      <c r="AJ27" s="26">
        <v>4.4999999999999998E-2</v>
      </c>
      <c r="AK27" s="26">
        <v>4.4999999999999998E-2</v>
      </c>
      <c r="AL27" s="26">
        <v>4.4999999999999998E-2</v>
      </c>
      <c r="AM27" s="26">
        <v>4.4999999999999998E-2</v>
      </c>
      <c r="AN27" s="26">
        <v>4.4999999999999998E-2</v>
      </c>
      <c r="AO27" s="26">
        <v>4.4999999999999998E-2</v>
      </c>
      <c r="AP27" s="26">
        <v>4.4999999999999998E-2</v>
      </c>
      <c r="AQ27" s="26">
        <v>4.4999999999999998E-2</v>
      </c>
      <c r="AR27" s="26">
        <v>4.4999999999999998E-2</v>
      </c>
      <c r="AS27" s="26">
        <v>4.4999999999999998E-2</v>
      </c>
      <c r="AT27" s="26">
        <v>4.4999999999999998E-2</v>
      </c>
      <c r="AU27" s="26">
        <v>4.4999999999999998E-2</v>
      </c>
      <c r="AV27" s="26">
        <v>4.4999999999999998E-2</v>
      </c>
      <c r="AW27" s="26">
        <v>4.4999999999999998E-2</v>
      </c>
      <c r="AX27" s="26">
        <v>4.4999999999999998E-2</v>
      </c>
      <c r="AY27" s="26">
        <v>4.4999999999999998E-2</v>
      </c>
      <c r="AZ27" s="26">
        <v>4.4999999999999998E-2</v>
      </c>
      <c r="BA27" s="26">
        <v>4.4999999999999998E-2</v>
      </c>
      <c r="BB27" s="26">
        <v>4.4999999999999998E-2</v>
      </c>
      <c r="BC27" s="26">
        <v>4.4999999999999998E-2</v>
      </c>
      <c r="BD27" s="26">
        <v>4.4999999999999998E-2</v>
      </c>
      <c r="BE27" s="26">
        <v>4.4999999999999998E-2</v>
      </c>
      <c r="BF27" s="11"/>
      <c r="BG27" s="11"/>
      <c r="BH27" s="11"/>
    </row>
    <row r="28" spans="2:60" ht="12.75" customHeight="1" x14ac:dyDescent="0.35">
      <c r="B28" s="22" t="b">
        <v>1</v>
      </c>
      <c r="C28" s="22" t="str">
        <f t="shared" si="0"/>
        <v>CA_Total RPS</v>
      </c>
      <c r="D28" s="23" t="s">
        <v>13</v>
      </c>
      <c r="E28" s="45" t="s">
        <v>173</v>
      </c>
      <c r="F28" s="25" t="s">
        <v>171</v>
      </c>
      <c r="G28" s="26">
        <v>0</v>
      </c>
      <c r="H28" s="26">
        <v>0</v>
      </c>
      <c r="I28" s="26">
        <v>0</v>
      </c>
      <c r="J28" s="26">
        <v>0.11849999999999999</v>
      </c>
      <c r="K28" s="26">
        <v>0.1285</v>
      </c>
      <c r="L28" s="26">
        <v>0.13850000000000001</v>
      </c>
      <c r="M28" s="26">
        <v>0.14849999999999999</v>
      </c>
      <c r="N28" s="26">
        <v>0.1585</v>
      </c>
      <c r="O28" s="26">
        <v>0.16850000000000001</v>
      </c>
      <c r="P28" s="26">
        <v>0.17849999999999999</v>
      </c>
      <c r="Q28" s="26">
        <v>0.2</v>
      </c>
      <c r="R28" s="26">
        <v>0.2</v>
      </c>
      <c r="S28" s="26">
        <v>0.2</v>
      </c>
      <c r="T28" s="26">
        <v>0.2</v>
      </c>
      <c r="U28" s="26">
        <v>0.217</v>
      </c>
      <c r="V28" s="26">
        <v>0.23300000000000001</v>
      </c>
      <c r="W28" s="26">
        <v>0.25</v>
      </c>
      <c r="X28" s="26">
        <v>0.27</v>
      </c>
      <c r="Y28" s="26">
        <v>0.28999999999999998</v>
      </c>
      <c r="Z28" s="26">
        <v>0.31</v>
      </c>
      <c r="AA28" s="26">
        <v>0.33</v>
      </c>
      <c r="AB28" s="26">
        <v>0.35799999999999998</v>
      </c>
      <c r="AC28" s="26">
        <v>0.38500000000000001</v>
      </c>
      <c r="AD28" s="26">
        <v>0.41299999999999998</v>
      </c>
      <c r="AE28" s="26">
        <v>0.44</v>
      </c>
      <c r="AF28" s="26">
        <v>0.47</v>
      </c>
      <c r="AG28" s="26">
        <v>0.49199999999999999</v>
      </c>
      <c r="AH28" s="26">
        <v>0.52</v>
      </c>
      <c r="AI28" s="26">
        <v>0.54600000000000004</v>
      </c>
      <c r="AJ28" s="26">
        <v>0.57199999999999995</v>
      </c>
      <c r="AK28" s="26">
        <v>0.6</v>
      </c>
      <c r="AL28" s="26">
        <v>0.6</v>
      </c>
      <c r="AM28" s="26">
        <v>0.6</v>
      </c>
      <c r="AN28" s="26">
        <v>0.6</v>
      </c>
      <c r="AO28" s="26">
        <v>0.6</v>
      </c>
      <c r="AP28" s="26">
        <v>0.6</v>
      </c>
      <c r="AQ28" s="26">
        <v>0.6</v>
      </c>
      <c r="AR28" s="26">
        <v>0.6</v>
      </c>
      <c r="AS28" s="26">
        <v>0.6</v>
      </c>
      <c r="AT28" s="26">
        <v>0.6</v>
      </c>
      <c r="AU28" s="26">
        <v>0.6</v>
      </c>
      <c r="AV28" s="26">
        <v>0.6</v>
      </c>
      <c r="AW28" s="26">
        <v>0.6</v>
      </c>
      <c r="AX28" s="26">
        <v>0.6</v>
      </c>
      <c r="AY28" s="26">
        <v>0.6</v>
      </c>
      <c r="AZ28" s="26">
        <v>0.6</v>
      </c>
      <c r="BA28" s="26">
        <v>0.6</v>
      </c>
      <c r="BB28" s="26">
        <v>0.6</v>
      </c>
      <c r="BC28" s="26">
        <v>0.6</v>
      </c>
      <c r="BD28" s="26">
        <v>0.6</v>
      </c>
      <c r="BE28" s="26">
        <v>0.6</v>
      </c>
      <c r="BF28" s="11"/>
      <c r="BG28" s="11"/>
      <c r="BH28" s="11"/>
    </row>
    <row r="29" spans="2:60" x14ac:dyDescent="0.35">
      <c r="B29" s="22" t="b">
        <v>1</v>
      </c>
      <c r="C29" s="22" t="str">
        <f t="shared" si="0"/>
        <v>CA_Total CES</v>
      </c>
      <c r="D29" s="29" t="s">
        <v>13</v>
      </c>
      <c r="E29" s="46"/>
      <c r="F29" s="25" t="s">
        <v>174</v>
      </c>
      <c r="G29" s="26">
        <v>0</v>
      </c>
      <c r="H29" s="26">
        <v>0</v>
      </c>
      <c r="I29" s="26">
        <v>0</v>
      </c>
      <c r="J29" s="26">
        <v>0</v>
      </c>
      <c r="K29" s="26">
        <v>0</v>
      </c>
      <c r="L29" s="26">
        <v>0</v>
      </c>
      <c r="M29" s="26">
        <v>0</v>
      </c>
      <c r="N29" s="26">
        <v>0</v>
      </c>
      <c r="O29" s="26">
        <v>0</v>
      </c>
      <c r="P29" s="26">
        <v>0</v>
      </c>
      <c r="Q29" s="26">
        <v>0</v>
      </c>
      <c r="R29" s="26">
        <v>0</v>
      </c>
      <c r="S29" s="26">
        <v>0</v>
      </c>
      <c r="T29" s="26">
        <v>0</v>
      </c>
      <c r="U29" s="26">
        <v>0</v>
      </c>
      <c r="V29" s="26">
        <v>0</v>
      </c>
      <c r="W29" s="26">
        <v>0</v>
      </c>
      <c r="X29" s="26">
        <v>0</v>
      </c>
      <c r="Y29" s="26">
        <v>0</v>
      </c>
      <c r="Z29" s="26">
        <v>0</v>
      </c>
      <c r="AA29" s="26">
        <v>0</v>
      </c>
      <c r="AB29" s="26">
        <v>0</v>
      </c>
      <c r="AC29" s="26">
        <v>0</v>
      </c>
      <c r="AD29" s="26">
        <v>0</v>
      </c>
      <c r="AE29" s="26">
        <v>0</v>
      </c>
      <c r="AF29" s="26">
        <v>0</v>
      </c>
      <c r="AG29" s="26">
        <v>0</v>
      </c>
      <c r="AH29" s="26">
        <v>0</v>
      </c>
      <c r="AI29" s="26">
        <v>0</v>
      </c>
      <c r="AJ29" s="26">
        <v>0</v>
      </c>
      <c r="AK29" s="26">
        <v>0</v>
      </c>
      <c r="AL29" s="26">
        <v>0</v>
      </c>
      <c r="AM29" s="26">
        <v>0</v>
      </c>
      <c r="AN29" s="26">
        <v>0</v>
      </c>
      <c r="AO29" s="26">
        <v>0</v>
      </c>
      <c r="AP29" s="26">
        <v>0.9</v>
      </c>
      <c r="AQ29" s="26">
        <v>0.9</v>
      </c>
      <c r="AR29" s="26">
        <v>0.9</v>
      </c>
      <c r="AS29" s="26">
        <v>0.9</v>
      </c>
      <c r="AT29" s="26">
        <v>0.9</v>
      </c>
      <c r="AU29" s="26">
        <v>0.95</v>
      </c>
      <c r="AV29" s="26">
        <v>0.95</v>
      </c>
      <c r="AW29" s="26">
        <v>0.95</v>
      </c>
      <c r="AX29" s="26">
        <v>0.95</v>
      </c>
      <c r="AY29" s="26">
        <v>0.95</v>
      </c>
      <c r="AZ29" s="26">
        <v>1</v>
      </c>
      <c r="BA29" s="26">
        <v>1</v>
      </c>
      <c r="BB29" s="26">
        <v>1</v>
      </c>
      <c r="BC29" s="26">
        <v>1</v>
      </c>
      <c r="BD29" s="26">
        <v>1</v>
      </c>
      <c r="BE29" s="26">
        <v>1</v>
      </c>
      <c r="BF29" s="11"/>
      <c r="BG29" s="11"/>
      <c r="BH29" s="11"/>
    </row>
    <row r="30" spans="2:60" ht="12.75" customHeight="1" x14ac:dyDescent="0.35">
      <c r="B30" s="22" t="b">
        <v>1</v>
      </c>
      <c r="C30" s="22" t="str">
        <f t="shared" si="0"/>
        <v>CO_Total RPS</v>
      </c>
      <c r="D30" s="23" t="s">
        <v>16</v>
      </c>
      <c r="E30" s="45" t="s">
        <v>175</v>
      </c>
      <c r="F30" s="25" t="s">
        <v>171</v>
      </c>
      <c r="G30" s="26">
        <v>0</v>
      </c>
      <c r="H30" s="26">
        <v>0</v>
      </c>
      <c r="I30" s="26">
        <v>0</v>
      </c>
      <c r="J30" s="26">
        <v>0</v>
      </c>
      <c r="K30" s="26">
        <v>0</v>
      </c>
      <c r="L30" s="26">
        <v>0</v>
      </c>
      <c r="M30" s="26">
        <v>0</v>
      </c>
      <c r="N30" s="26">
        <v>0.03</v>
      </c>
      <c r="O30" s="26">
        <v>3.4599999999999999E-2</v>
      </c>
      <c r="P30" s="26">
        <v>3.4299999999999997E-2</v>
      </c>
      <c r="Q30" s="26">
        <v>3.4200000000000001E-2</v>
      </c>
      <c r="R30" s="26">
        <v>8.4400000000000003E-2</v>
      </c>
      <c r="S30" s="26">
        <v>8.4900000000000003E-2</v>
      </c>
      <c r="T30" s="26">
        <v>8.5099999999999995E-2</v>
      </c>
      <c r="U30" s="26">
        <v>8.5000000000000006E-2</v>
      </c>
      <c r="V30" s="26">
        <v>0.14499999999999999</v>
      </c>
      <c r="W30" s="26">
        <v>0.14419999999999999</v>
      </c>
      <c r="X30" s="26">
        <v>0.14369999999999999</v>
      </c>
      <c r="Y30" s="26">
        <v>0.1419</v>
      </c>
      <c r="Z30" s="26">
        <v>0.14050000000000001</v>
      </c>
      <c r="AA30" s="26">
        <v>0.24149999999999999</v>
      </c>
      <c r="AB30" s="26">
        <v>0.2414</v>
      </c>
      <c r="AC30" s="26">
        <v>0.23899999999999999</v>
      </c>
      <c r="AD30" s="26">
        <v>0.23899999999999999</v>
      </c>
      <c r="AE30" s="26">
        <v>0.23899999999999999</v>
      </c>
      <c r="AF30" s="26">
        <v>0.23899999999999999</v>
      </c>
      <c r="AG30" s="26">
        <v>0.23899999999999999</v>
      </c>
      <c r="AH30" s="26">
        <v>0.23899999999999999</v>
      </c>
      <c r="AI30" s="26">
        <v>0.23899999999999999</v>
      </c>
      <c r="AJ30" s="26">
        <v>0.23899999999999999</v>
      </c>
      <c r="AK30" s="26">
        <v>0.23899999999999999</v>
      </c>
      <c r="AL30" s="26">
        <v>0.23899999999999999</v>
      </c>
      <c r="AM30" s="26">
        <v>0.23899999999999999</v>
      </c>
      <c r="AN30" s="26">
        <v>0.23899999999999999</v>
      </c>
      <c r="AO30" s="26">
        <v>0.23899999999999999</v>
      </c>
      <c r="AP30" s="26">
        <v>0.23899999999999999</v>
      </c>
      <c r="AQ30" s="26">
        <v>0.23899999999999999</v>
      </c>
      <c r="AR30" s="26">
        <v>0.23899999999999999</v>
      </c>
      <c r="AS30" s="26">
        <v>0.23899999999999999</v>
      </c>
      <c r="AT30" s="26">
        <v>0.23899999999999999</v>
      </c>
      <c r="AU30" s="26">
        <v>0.23899999999999999</v>
      </c>
      <c r="AV30" s="26">
        <v>0.23899999999999999</v>
      </c>
      <c r="AW30" s="26">
        <v>0.23899999999999999</v>
      </c>
      <c r="AX30" s="26">
        <v>0.23899999999999999</v>
      </c>
      <c r="AY30" s="26">
        <v>0.23899999999999999</v>
      </c>
      <c r="AZ30" s="26">
        <v>0.23899999999999999</v>
      </c>
      <c r="BA30" s="26">
        <v>0.23899999999999999</v>
      </c>
      <c r="BB30" s="26">
        <v>0.23899999999999999</v>
      </c>
      <c r="BC30" s="26">
        <v>0.23899999999999999</v>
      </c>
      <c r="BD30" s="26">
        <v>0.23899999999999999</v>
      </c>
      <c r="BE30" s="26">
        <v>0.23899999999999999</v>
      </c>
      <c r="BF30" s="11"/>
      <c r="BG30" s="11"/>
      <c r="BH30" s="11"/>
    </row>
    <row r="31" spans="2:60" x14ac:dyDescent="0.35">
      <c r="B31" s="22" t="b">
        <v>1</v>
      </c>
      <c r="C31" s="22" t="str">
        <f t="shared" si="0"/>
        <v>CO_   IOUs</v>
      </c>
      <c r="D31" s="29" t="s">
        <v>16</v>
      </c>
      <c r="E31" s="47"/>
      <c r="F31" s="25" t="s">
        <v>176</v>
      </c>
      <c r="G31" s="26">
        <v>0</v>
      </c>
      <c r="H31" s="26">
        <v>0</v>
      </c>
      <c r="I31" s="26">
        <v>0</v>
      </c>
      <c r="J31" s="26">
        <v>0</v>
      </c>
      <c r="K31" s="26">
        <v>0</v>
      </c>
      <c r="L31" s="26">
        <v>0</v>
      </c>
      <c r="M31" s="26">
        <v>0</v>
      </c>
      <c r="N31" s="26">
        <v>0.03</v>
      </c>
      <c r="O31" s="26">
        <v>0.05</v>
      </c>
      <c r="P31" s="26">
        <v>0.05</v>
      </c>
      <c r="Q31" s="26">
        <v>0.05</v>
      </c>
      <c r="R31" s="26">
        <v>0.12</v>
      </c>
      <c r="S31" s="26">
        <v>0.12</v>
      </c>
      <c r="T31" s="26">
        <v>0.12</v>
      </c>
      <c r="U31" s="26">
        <v>0.12</v>
      </c>
      <c r="V31" s="26">
        <v>0.2</v>
      </c>
      <c r="W31" s="26">
        <v>0.2</v>
      </c>
      <c r="X31" s="26">
        <v>0.2</v>
      </c>
      <c r="Y31" s="26">
        <v>0.2</v>
      </c>
      <c r="Z31" s="26">
        <v>0.2</v>
      </c>
      <c r="AA31" s="26">
        <v>0.3</v>
      </c>
      <c r="AB31" s="26">
        <v>0.3</v>
      </c>
      <c r="AC31" s="26">
        <v>0.3</v>
      </c>
      <c r="AD31" s="26">
        <v>0.3</v>
      </c>
      <c r="AE31" s="26">
        <v>0.3</v>
      </c>
      <c r="AF31" s="26">
        <v>0.3</v>
      </c>
      <c r="AG31" s="26">
        <v>0.3</v>
      </c>
      <c r="AH31" s="26">
        <v>0.3</v>
      </c>
      <c r="AI31" s="26">
        <v>0.3</v>
      </c>
      <c r="AJ31" s="26">
        <v>0.3</v>
      </c>
      <c r="AK31" s="26">
        <v>0.3</v>
      </c>
      <c r="AL31" s="26">
        <v>0.3</v>
      </c>
      <c r="AM31" s="26">
        <v>0.3</v>
      </c>
      <c r="AN31" s="26">
        <v>0.3</v>
      </c>
      <c r="AO31" s="26">
        <v>0.3</v>
      </c>
      <c r="AP31" s="26">
        <v>0.3</v>
      </c>
      <c r="AQ31" s="26">
        <v>0.3</v>
      </c>
      <c r="AR31" s="26">
        <v>0.3</v>
      </c>
      <c r="AS31" s="26">
        <v>0.3</v>
      </c>
      <c r="AT31" s="26">
        <v>0.3</v>
      </c>
      <c r="AU31" s="26">
        <v>0.3</v>
      </c>
      <c r="AV31" s="26">
        <v>0.3</v>
      </c>
      <c r="AW31" s="26">
        <v>0.3</v>
      </c>
      <c r="AX31" s="26">
        <v>0.3</v>
      </c>
      <c r="AY31" s="26">
        <v>0.3</v>
      </c>
      <c r="AZ31" s="26">
        <v>0.3</v>
      </c>
      <c r="BA31" s="26">
        <v>0.3</v>
      </c>
      <c r="BB31" s="26">
        <v>0.3</v>
      </c>
      <c r="BC31" s="26">
        <v>0.3</v>
      </c>
      <c r="BD31" s="26">
        <v>0.3</v>
      </c>
      <c r="BE31" s="26">
        <v>0.3</v>
      </c>
      <c r="BF31" s="11"/>
      <c r="BG31" s="11"/>
      <c r="BH31" s="11"/>
    </row>
    <row r="32" spans="2:60" x14ac:dyDescent="0.35">
      <c r="B32" s="22" t="b">
        <v>1</v>
      </c>
      <c r="C32" s="22" t="str">
        <f t="shared" si="0"/>
        <v>CO_   Coops (G&amp;T-served or &gt;100k customers)</v>
      </c>
      <c r="D32" s="29" t="s">
        <v>16</v>
      </c>
      <c r="E32" s="47"/>
      <c r="F32" s="25" t="s">
        <v>177</v>
      </c>
      <c r="G32" s="26">
        <v>0</v>
      </c>
      <c r="H32" s="26">
        <v>0</v>
      </c>
      <c r="I32" s="26">
        <v>0</v>
      </c>
      <c r="J32" s="26">
        <v>0</v>
      </c>
      <c r="K32" s="26">
        <v>0</v>
      </c>
      <c r="L32" s="26">
        <v>0</v>
      </c>
      <c r="M32" s="26">
        <v>0</v>
      </c>
      <c r="N32" s="26">
        <v>0</v>
      </c>
      <c r="O32" s="26">
        <v>0.01</v>
      </c>
      <c r="P32" s="26">
        <v>0.01</v>
      </c>
      <c r="Q32" s="26">
        <v>0.01</v>
      </c>
      <c r="R32" s="26">
        <v>0.03</v>
      </c>
      <c r="S32" s="26">
        <v>0.03</v>
      </c>
      <c r="T32" s="26">
        <v>0.03</v>
      </c>
      <c r="U32" s="26">
        <v>0.03</v>
      </c>
      <c r="V32" s="26">
        <v>0.06</v>
      </c>
      <c r="W32" s="26">
        <v>0.06</v>
      </c>
      <c r="X32" s="26">
        <v>0.06</v>
      </c>
      <c r="Y32" s="26">
        <v>0.06</v>
      </c>
      <c r="Z32" s="26">
        <v>0.06</v>
      </c>
      <c r="AA32" s="26">
        <v>0.2</v>
      </c>
      <c r="AB32" s="26">
        <v>0.2</v>
      </c>
      <c r="AC32" s="26">
        <v>0.2</v>
      </c>
      <c r="AD32" s="26">
        <v>0.2</v>
      </c>
      <c r="AE32" s="26">
        <v>0.2</v>
      </c>
      <c r="AF32" s="26">
        <v>0.2</v>
      </c>
      <c r="AG32" s="26">
        <v>0.2</v>
      </c>
      <c r="AH32" s="26">
        <v>0.2</v>
      </c>
      <c r="AI32" s="26">
        <v>0.2</v>
      </c>
      <c r="AJ32" s="26">
        <v>0.2</v>
      </c>
      <c r="AK32" s="26">
        <v>0.2</v>
      </c>
      <c r="AL32" s="26">
        <v>0.2</v>
      </c>
      <c r="AM32" s="26">
        <v>0.2</v>
      </c>
      <c r="AN32" s="26">
        <v>0.2</v>
      </c>
      <c r="AO32" s="26">
        <v>0.2</v>
      </c>
      <c r="AP32" s="26">
        <v>0.2</v>
      </c>
      <c r="AQ32" s="26">
        <v>0.2</v>
      </c>
      <c r="AR32" s="26">
        <v>0.2</v>
      </c>
      <c r="AS32" s="26">
        <v>0.2</v>
      </c>
      <c r="AT32" s="26">
        <v>0.2</v>
      </c>
      <c r="AU32" s="26">
        <v>0.2</v>
      </c>
      <c r="AV32" s="26">
        <v>0.2</v>
      </c>
      <c r="AW32" s="26">
        <v>0.2</v>
      </c>
      <c r="AX32" s="26">
        <v>0.2</v>
      </c>
      <c r="AY32" s="26">
        <v>0.2</v>
      </c>
      <c r="AZ32" s="26">
        <v>0.2</v>
      </c>
      <c r="BA32" s="26">
        <v>0.2</v>
      </c>
      <c r="BB32" s="26">
        <v>0.2</v>
      </c>
      <c r="BC32" s="26">
        <v>0.2</v>
      </c>
      <c r="BD32" s="26">
        <v>0.2</v>
      </c>
      <c r="BE32" s="26">
        <v>0.2</v>
      </c>
      <c r="BF32" s="11"/>
      <c r="BG32" s="11"/>
      <c r="BH32" s="11"/>
    </row>
    <row r="33" spans="2:60" x14ac:dyDescent="0.35">
      <c r="B33" s="22" t="b">
        <v>1</v>
      </c>
      <c r="C33" s="22" t="str">
        <f t="shared" si="0"/>
        <v>CO_   Munis &amp; Non-G&amp;T served Coops with &lt;100k customers)</v>
      </c>
      <c r="D33" s="29" t="s">
        <v>16</v>
      </c>
      <c r="E33" s="47"/>
      <c r="F33" s="25" t="s">
        <v>178</v>
      </c>
      <c r="G33" s="26">
        <v>0</v>
      </c>
      <c r="H33" s="26">
        <v>0</v>
      </c>
      <c r="I33" s="26">
        <v>0</v>
      </c>
      <c r="J33" s="26">
        <v>0</v>
      </c>
      <c r="K33" s="26">
        <v>0</v>
      </c>
      <c r="L33" s="26">
        <v>0</v>
      </c>
      <c r="M33" s="26">
        <v>0</v>
      </c>
      <c r="N33" s="26">
        <v>0</v>
      </c>
      <c r="O33" s="26">
        <v>0.01</v>
      </c>
      <c r="P33" s="26">
        <v>0.01</v>
      </c>
      <c r="Q33" s="26">
        <v>0.01</v>
      </c>
      <c r="R33" s="26">
        <v>0.03</v>
      </c>
      <c r="S33" s="26">
        <v>0.03</v>
      </c>
      <c r="T33" s="26">
        <v>0.03</v>
      </c>
      <c r="U33" s="26">
        <v>0.03</v>
      </c>
      <c r="V33" s="26">
        <v>0.06</v>
      </c>
      <c r="W33" s="26">
        <v>0.06</v>
      </c>
      <c r="X33" s="26">
        <v>0.06</v>
      </c>
      <c r="Y33" s="26">
        <v>0.06</v>
      </c>
      <c r="Z33" s="26">
        <v>0.06</v>
      </c>
      <c r="AA33" s="26">
        <v>0.1</v>
      </c>
      <c r="AB33" s="26">
        <v>0.1</v>
      </c>
      <c r="AC33" s="26">
        <v>0.1</v>
      </c>
      <c r="AD33" s="26">
        <v>0.1</v>
      </c>
      <c r="AE33" s="26">
        <v>0.1</v>
      </c>
      <c r="AF33" s="26">
        <v>0.1</v>
      </c>
      <c r="AG33" s="26">
        <v>0.1</v>
      </c>
      <c r="AH33" s="26">
        <v>0.1</v>
      </c>
      <c r="AI33" s="26">
        <v>0.1</v>
      </c>
      <c r="AJ33" s="26">
        <v>0.1</v>
      </c>
      <c r="AK33" s="26">
        <v>0.1</v>
      </c>
      <c r="AL33" s="26">
        <v>0.1</v>
      </c>
      <c r="AM33" s="26">
        <v>0.1</v>
      </c>
      <c r="AN33" s="26">
        <v>0.1</v>
      </c>
      <c r="AO33" s="26">
        <v>0.1</v>
      </c>
      <c r="AP33" s="26">
        <v>0.1</v>
      </c>
      <c r="AQ33" s="26">
        <v>0.1</v>
      </c>
      <c r="AR33" s="26">
        <v>0.1</v>
      </c>
      <c r="AS33" s="26">
        <v>0.1</v>
      </c>
      <c r="AT33" s="26">
        <v>0.1</v>
      </c>
      <c r="AU33" s="26">
        <v>0.1</v>
      </c>
      <c r="AV33" s="26">
        <v>0.1</v>
      </c>
      <c r="AW33" s="26">
        <v>0.1</v>
      </c>
      <c r="AX33" s="26">
        <v>0.1</v>
      </c>
      <c r="AY33" s="26">
        <v>0.1</v>
      </c>
      <c r="AZ33" s="26">
        <v>0.1</v>
      </c>
      <c r="BA33" s="26">
        <v>0.1</v>
      </c>
      <c r="BB33" s="26">
        <v>0.1</v>
      </c>
      <c r="BC33" s="26">
        <v>0.1</v>
      </c>
      <c r="BD33" s="26">
        <v>0.1</v>
      </c>
      <c r="BE33" s="26">
        <v>0.1</v>
      </c>
      <c r="BF33" s="11"/>
      <c r="BG33" s="11"/>
      <c r="BH33" s="11"/>
    </row>
    <row r="34" spans="2:60" x14ac:dyDescent="0.35">
      <c r="B34" s="22" t="b">
        <v>1</v>
      </c>
      <c r="C34" s="22" t="str">
        <f t="shared" si="0"/>
        <v>CO_DG Carve-Out (Wtd. Avg.)</v>
      </c>
      <c r="D34" s="29" t="s">
        <v>16</v>
      </c>
      <c r="E34" s="47"/>
      <c r="F34" s="25" t="s">
        <v>179</v>
      </c>
      <c r="G34" s="26">
        <v>0</v>
      </c>
      <c r="H34" s="26">
        <v>0</v>
      </c>
      <c r="I34" s="26">
        <v>0</v>
      </c>
      <c r="J34" s="26">
        <v>0</v>
      </c>
      <c r="K34" s="26">
        <v>0</v>
      </c>
      <c r="L34" s="26">
        <v>0</v>
      </c>
      <c r="M34" s="26">
        <v>0</v>
      </c>
      <c r="N34" s="26">
        <v>0</v>
      </c>
      <c r="O34" s="26">
        <v>0</v>
      </c>
      <c r="P34" s="26">
        <v>0</v>
      </c>
      <c r="Q34" s="26">
        <v>0</v>
      </c>
      <c r="R34" s="26">
        <v>6.0000000000000001E-3</v>
      </c>
      <c r="S34" s="26">
        <v>6.1000000000000004E-3</v>
      </c>
      <c r="T34" s="26">
        <v>7.7000000000000002E-3</v>
      </c>
      <c r="U34" s="26">
        <v>7.6E-3</v>
      </c>
      <c r="V34" s="26">
        <v>1.06E-2</v>
      </c>
      <c r="W34" s="26">
        <v>1.0500000000000001E-2</v>
      </c>
      <c r="X34" s="26">
        <v>1.2E-2</v>
      </c>
      <c r="Y34" s="26">
        <v>1.17E-2</v>
      </c>
      <c r="Z34" s="26">
        <v>1.15E-2</v>
      </c>
      <c r="AA34" s="26">
        <v>1.95E-2</v>
      </c>
      <c r="AB34" s="26">
        <v>1.95E-2</v>
      </c>
      <c r="AC34" s="26">
        <v>1.9099999999999999E-2</v>
      </c>
      <c r="AD34" s="26">
        <v>1.9099999999999999E-2</v>
      </c>
      <c r="AE34" s="26">
        <v>1.9099999999999999E-2</v>
      </c>
      <c r="AF34" s="26">
        <v>1.9099999999999999E-2</v>
      </c>
      <c r="AG34" s="26">
        <v>1.9099999999999999E-2</v>
      </c>
      <c r="AH34" s="26">
        <v>1.9099999999999999E-2</v>
      </c>
      <c r="AI34" s="26">
        <v>1.9099999999999999E-2</v>
      </c>
      <c r="AJ34" s="26">
        <v>1.9099999999999999E-2</v>
      </c>
      <c r="AK34" s="26">
        <v>1.9099999999999999E-2</v>
      </c>
      <c r="AL34" s="26">
        <v>1.9099999999999999E-2</v>
      </c>
      <c r="AM34" s="26">
        <v>1.9099999999999999E-2</v>
      </c>
      <c r="AN34" s="26">
        <v>1.9099999999999999E-2</v>
      </c>
      <c r="AO34" s="26">
        <v>1.9099999999999999E-2</v>
      </c>
      <c r="AP34" s="26">
        <v>1.9099999999999999E-2</v>
      </c>
      <c r="AQ34" s="26">
        <v>1.9099999999999999E-2</v>
      </c>
      <c r="AR34" s="26">
        <v>1.9099999999999999E-2</v>
      </c>
      <c r="AS34" s="26">
        <v>1.9099999999999999E-2</v>
      </c>
      <c r="AT34" s="26">
        <v>1.9099999999999999E-2</v>
      </c>
      <c r="AU34" s="26">
        <v>1.9099999999999999E-2</v>
      </c>
      <c r="AV34" s="26">
        <v>1.9099999999999999E-2</v>
      </c>
      <c r="AW34" s="26">
        <v>1.9099999999999999E-2</v>
      </c>
      <c r="AX34" s="26">
        <v>1.9099999999999999E-2</v>
      </c>
      <c r="AY34" s="26">
        <v>1.9099999999999999E-2</v>
      </c>
      <c r="AZ34" s="26">
        <v>1.9099999999999999E-2</v>
      </c>
      <c r="BA34" s="26">
        <v>1.9099999999999999E-2</v>
      </c>
      <c r="BB34" s="26">
        <v>1.9099999999999999E-2</v>
      </c>
      <c r="BC34" s="26">
        <v>1.9099999999999999E-2</v>
      </c>
      <c r="BD34" s="26">
        <v>1.9099999999999999E-2</v>
      </c>
      <c r="BE34" s="26">
        <v>1.9099999999999999E-2</v>
      </c>
      <c r="BF34" s="11"/>
      <c r="BG34" s="11"/>
      <c r="BH34" s="11"/>
    </row>
    <row r="35" spans="2:60" x14ac:dyDescent="0.35">
      <c r="B35" s="22" t="b">
        <v>1</v>
      </c>
      <c r="C35" s="22" t="str">
        <f t="shared" si="0"/>
        <v>CO_   IOUs</v>
      </c>
      <c r="D35" s="29" t="s">
        <v>16</v>
      </c>
      <c r="E35" s="47"/>
      <c r="F35" s="25" t="s">
        <v>176</v>
      </c>
      <c r="G35" s="26">
        <v>0</v>
      </c>
      <c r="H35" s="26">
        <v>0</v>
      </c>
      <c r="I35" s="26">
        <v>0</v>
      </c>
      <c r="J35" s="26">
        <v>0</v>
      </c>
      <c r="K35" s="26">
        <v>0</v>
      </c>
      <c r="L35" s="26">
        <v>0</v>
      </c>
      <c r="M35" s="26">
        <v>0</v>
      </c>
      <c r="N35" s="26">
        <v>0</v>
      </c>
      <c r="O35" s="26">
        <v>0</v>
      </c>
      <c r="P35" s="26">
        <v>0</v>
      </c>
      <c r="Q35" s="26">
        <v>0</v>
      </c>
      <c r="R35" s="26">
        <v>0.01</v>
      </c>
      <c r="S35" s="26">
        <v>0.01</v>
      </c>
      <c r="T35" s="26">
        <v>1.2500000000000001E-2</v>
      </c>
      <c r="U35" s="26">
        <v>1.2500000000000001E-2</v>
      </c>
      <c r="V35" s="26">
        <v>1.7500000000000002E-2</v>
      </c>
      <c r="W35" s="26">
        <v>1.7500000000000002E-2</v>
      </c>
      <c r="X35" s="26">
        <v>0.02</v>
      </c>
      <c r="Y35" s="26">
        <v>0.02</v>
      </c>
      <c r="Z35" s="26">
        <v>0.02</v>
      </c>
      <c r="AA35" s="26">
        <v>0.03</v>
      </c>
      <c r="AB35" s="26">
        <v>0.03</v>
      </c>
      <c r="AC35" s="26">
        <v>0.03</v>
      </c>
      <c r="AD35" s="26">
        <v>0.03</v>
      </c>
      <c r="AE35" s="26">
        <v>0.03</v>
      </c>
      <c r="AF35" s="26">
        <v>0.03</v>
      </c>
      <c r="AG35" s="26">
        <v>0.03</v>
      </c>
      <c r="AH35" s="26">
        <v>0.03</v>
      </c>
      <c r="AI35" s="26">
        <v>0.03</v>
      </c>
      <c r="AJ35" s="26">
        <v>0.03</v>
      </c>
      <c r="AK35" s="26">
        <v>0.03</v>
      </c>
      <c r="AL35" s="26">
        <v>0.03</v>
      </c>
      <c r="AM35" s="26">
        <v>0.03</v>
      </c>
      <c r="AN35" s="26">
        <v>0.03</v>
      </c>
      <c r="AO35" s="26">
        <v>0.03</v>
      </c>
      <c r="AP35" s="26">
        <v>0.03</v>
      </c>
      <c r="AQ35" s="26">
        <v>0.03</v>
      </c>
      <c r="AR35" s="26">
        <v>0.03</v>
      </c>
      <c r="AS35" s="26">
        <v>0.03</v>
      </c>
      <c r="AT35" s="26">
        <v>0.03</v>
      </c>
      <c r="AU35" s="26">
        <v>0.03</v>
      </c>
      <c r="AV35" s="26">
        <v>0.03</v>
      </c>
      <c r="AW35" s="26">
        <v>0.03</v>
      </c>
      <c r="AX35" s="26">
        <v>0.03</v>
      </c>
      <c r="AY35" s="26">
        <v>0.03</v>
      </c>
      <c r="AZ35" s="26">
        <v>0.03</v>
      </c>
      <c r="BA35" s="26">
        <v>0.03</v>
      </c>
      <c r="BB35" s="26">
        <v>0.03</v>
      </c>
      <c r="BC35" s="26">
        <v>0.03</v>
      </c>
      <c r="BD35" s="26">
        <v>0.03</v>
      </c>
      <c r="BE35" s="26">
        <v>0.03</v>
      </c>
      <c r="BF35" s="11"/>
      <c r="BG35" s="11"/>
      <c r="BH35" s="11"/>
    </row>
    <row r="36" spans="2:60" x14ac:dyDescent="0.35">
      <c r="B36" s="22" t="b">
        <v>1</v>
      </c>
      <c r="C36" s="22" t="str">
        <f t="shared" si="0"/>
        <v>CO_   Coops (&gt;10k customers)</v>
      </c>
      <c r="D36" s="29" t="s">
        <v>16</v>
      </c>
      <c r="E36" s="47"/>
      <c r="F36" s="25" t="s">
        <v>180</v>
      </c>
      <c r="G36" s="26">
        <v>0</v>
      </c>
      <c r="H36" s="26">
        <v>0</v>
      </c>
      <c r="I36" s="26">
        <v>0</v>
      </c>
      <c r="J36" s="26">
        <v>0</v>
      </c>
      <c r="K36" s="26">
        <v>0</v>
      </c>
      <c r="L36" s="26">
        <v>0</v>
      </c>
      <c r="M36" s="26">
        <v>0</v>
      </c>
      <c r="N36" s="26">
        <v>0</v>
      </c>
      <c r="O36" s="26">
        <v>0</v>
      </c>
      <c r="P36" s="26">
        <v>0</v>
      </c>
      <c r="Q36" s="26">
        <v>0</v>
      </c>
      <c r="R36" s="26">
        <v>0</v>
      </c>
      <c r="S36" s="26">
        <v>0</v>
      </c>
      <c r="T36" s="26">
        <v>0</v>
      </c>
      <c r="U36" s="26">
        <v>0</v>
      </c>
      <c r="V36" s="26">
        <v>0</v>
      </c>
      <c r="W36" s="26">
        <v>0</v>
      </c>
      <c r="X36" s="26">
        <v>0</v>
      </c>
      <c r="Y36" s="26">
        <v>0</v>
      </c>
      <c r="Z36" s="26">
        <v>0</v>
      </c>
      <c r="AA36" s="26">
        <v>0.01</v>
      </c>
      <c r="AB36" s="26">
        <v>0.01</v>
      </c>
      <c r="AC36" s="26">
        <v>0.01</v>
      </c>
      <c r="AD36" s="26">
        <v>0.01</v>
      </c>
      <c r="AE36" s="26">
        <v>0.01</v>
      </c>
      <c r="AF36" s="26">
        <v>0.01</v>
      </c>
      <c r="AG36" s="26">
        <v>0.01</v>
      </c>
      <c r="AH36" s="26">
        <v>0.01</v>
      </c>
      <c r="AI36" s="26">
        <v>0.01</v>
      </c>
      <c r="AJ36" s="26">
        <v>0.01</v>
      </c>
      <c r="AK36" s="26">
        <v>0.01</v>
      </c>
      <c r="AL36" s="26">
        <v>0.01</v>
      </c>
      <c r="AM36" s="26">
        <v>0.01</v>
      </c>
      <c r="AN36" s="26">
        <v>0.01</v>
      </c>
      <c r="AO36" s="26">
        <v>0.01</v>
      </c>
      <c r="AP36" s="26">
        <v>0.01</v>
      </c>
      <c r="AQ36" s="26">
        <v>0.01</v>
      </c>
      <c r="AR36" s="26">
        <v>0.01</v>
      </c>
      <c r="AS36" s="26">
        <v>0.01</v>
      </c>
      <c r="AT36" s="26">
        <v>0.01</v>
      </c>
      <c r="AU36" s="26">
        <v>0.01</v>
      </c>
      <c r="AV36" s="26">
        <v>0.01</v>
      </c>
      <c r="AW36" s="26">
        <v>0.01</v>
      </c>
      <c r="AX36" s="26">
        <v>0.01</v>
      </c>
      <c r="AY36" s="26">
        <v>0.01</v>
      </c>
      <c r="AZ36" s="26">
        <v>0.01</v>
      </c>
      <c r="BA36" s="26">
        <v>0.01</v>
      </c>
      <c r="BB36" s="26">
        <v>0.01</v>
      </c>
      <c r="BC36" s="26">
        <v>0.01</v>
      </c>
      <c r="BD36" s="26">
        <v>0.01</v>
      </c>
      <c r="BE36" s="26">
        <v>0.01</v>
      </c>
      <c r="BF36" s="11"/>
      <c r="BG36" s="11"/>
      <c r="BH36" s="11"/>
    </row>
    <row r="37" spans="2:60" x14ac:dyDescent="0.35">
      <c r="B37" s="22" t="b">
        <v>1</v>
      </c>
      <c r="C37" s="22" t="str">
        <f t="shared" si="0"/>
        <v>CO_   Coops (&lt;10k customers)</v>
      </c>
      <c r="D37" s="29" t="s">
        <v>16</v>
      </c>
      <c r="E37" s="47"/>
      <c r="F37" s="25" t="s">
        <v>181</v>
      </c>
      <c r="G37" s="26">
        <v>0</v>
      </c>
      <c r="H37" s="26">
        <v>0</v>
      </c>
      <c r="I37" s="26">
        <v>0</v>
      </c>
      <c r="J37" s="26">
        <v>0</v>
      </c>
      <c r="K37" s="26">
        <v>0</v>
      </c>
      <c r="L37" s="26">
        <v>0</v>
      </c>
      <c r="M37" s="26">
        <v>0</v>
      </c>
      <c r="N37" s="26">
        <v>0</v>
      </c>
      <c r="O37" s="26">
        <v>0</v>
      </c>
      <c r="P37" s="26">
        <v>0</v>
      </c>
      <c r="Q37" s="26">
        <v>0</v>
      </c>
      <c r="R37" s="26">
        <v>0</v>
      </c>
      <c r="S37" s="26">
        <v>0</v>
      </c>
      <c r="T37" s="26">
        <v>0</v>
      </c>
      <c r="U37" s="26">
        <v>0</v>
      </c>
      <c r="V37" s="26">
        <v>0</v>
      </c>
      <c r="W37" s="26">
        <v>0</v>
      </c>
      <c r="X37" s="26">
        <v>0</v>
      </c>
      <c r="Y37" s="26">
        <v>0</v>
      </c>
      <c r="Z37" s="26">
        <v>0</v>
      </c>
      <c r="AA37" s="26">
        <v>7.4999999999999997E-3</v>
      </c>
      <c r="AB37" s="26">
        <v>7.4999999999999997E-3</v>
      </c>
      <c r="AC37" s="26">
        <v>7.4999999999999997E-3</v>
      </c>
      <c r="AD37" s="26">
        <v>7.4999999999999997E-3</v>
      </c>
      <c r="AE37" s="26">
        <v>7.4999999999999997E-3</v>
      </c>
      <c r="AF37" s="26">
        <v>7.4999999999999997E-3</v>
      </c>
      <c r="AG37" s="26">
        <v>7.4999999999999997E-3</v>
      </c>
      <c r="AH37" s="26">
        <v>7.4999999999999997E-3</v>
      </c>
      <c r="AI37" s="26">
        <v>7.4999999999999997E-3</v>
      </c>
      <c r="AJ37" s="26">
        <v>7.4999999999999997E-3</v>
      </c>
      <c r="AK37" s="26">
        <v>7.4999999999999997E-3</v>
      </c>
      <c r="AL37" s="26">
        <v>7.4999999999999997E-3</v>
      </c>
      <c r="AM37" s="26">
        <v>7.4999999999999997E-3</v>
      </c>
      <c r="AN37" s="26">
        <v>7.4999999999999997E-3</v>
      </c>
      <c r="AO37" s="26">
        <v>7.4999999999999997E-3</v>
      </c>
      <c r="AP37" s="26">
        <v>7.4999999999999997E-3</v>
      </c>
      <c r="AQ37" s="26">
        <v>7.4999999999999997E-3</v>
      </c>
      <c r="AR37" s="26">
        <v>7.4999999999999997E-3</v>
      </c>
      <c r="AS37" s="26">
        <v>7.4999999999999997E-3</v>
      </c>
      <c r="AT37" s="26">
        <v>7.4999999999999997E-3</v>
      </c>
      <c r="AU37" s="26">
        <v>7.4999999999999997E-3</v>
      </c>
      <c r="AV37" s="26">
        <v>7.4999999999999997E-3</v>
      </c>
      <c r="AW37" s="26">
        <v>7.4999999999999997E-3</v>
      </c>
      <c r="AX37" s="26">
        <v>7.4999999999999997E-3</v>
      </c>
      <c r="AY37" s="26">
        <v>7.4999999999999997E-3</v>
      </c>
      <c r="AZ37" s="26">
        <v>7.4999999999999997E-3</v>
      </c>
      <c r="BA37" s="26">
        <v>7.4999999999999997E-3</v>
      </c>
      <c r="BB37" s="26">
        <v>7.4999999999999997E-3</v>
      </c>
      <c r="BC37" s="26">
        <v>7.4999999999999997E-3</v>
      </c>
      <c r="BD37" s="26">
        <v>7.4999999999999997E-3</v>
      </c>
      <c r="BE37" s="26">
        <v>7.4999999999999997E-3</v>
      </c>
      <c r="BF37" s="11"/>
      <c r="BG37" s="11"/>
      <c r="BH37" s="11"/>
    </row>
    <row r="38" spans="2:60" x14ac:dyDescent="0.35">
      <c r="B38" s="22" t="b">
        <v>1</v>
      </c>
      <c r="C38" s="22" t="str">
        <f t="shared" si="0"/>
        <v>CO_Total CES</v>
      </c>
      <c r="D38" s="27" t="s">
        <v>16</v>
      </c>
      <c r="E38" s="46"/>
      <c r="F38" s="25" t="s">
        <v>174</v>
      </c>
      <c r="G38" s="26">
        <v>0</v>
      </c>
      <c r="H38" s="26">
        <v>0</v>
      </c>
      <c r="I38" s="26">
        <v>0</v>
      </c>
      <c r="J38" s="26">
        <v>0</v>
      </c>
      <c r="K38" s="26">
        <v>0</v>
      </c>
      <c r="L38" s="26">
        <v>0</v>
      </c>
      <c r="M38" s="26">
        <v>0</v>
      </c>
      <c r="N38" s="26">
        <v>0</v>
      </c>
      <c r="O38" s="26">
        <v>0</v>
      </c>
      <c r="P38" s="26">
        <v>0</v>
      </c>
      <c r="Q38" s="26">
        <v>0</v>
      </c>
      <c r="R38" s="26">
        <v>0</v>
      </c>
      <c r="S38" s="26">
        <v>0</v>
      </c>
      <c r="T38" s="26">
        <v>0</v>
      </c>
      <c r="U38" s="26">
        <v>0</v>
      </c>
      <c r="V38" s="26">
        <v>0</v>
      </c>
      <c r="W38" s="26">
        <v>0</v>
      </c>
      <c r="X38" s="26">
        <v>0</v>
      </c>
      <c r="Y38" s="26">
        <v>0</v>
      </c>
      <c r="Z38" s="26">
        <v>0</v>
      </c>
      <c r="AA38" s="26">
        <v>0</v>
      </c>
      <c r="AB38" s="26">
        <v>0</v>
      </c>
      <c r="AC38" s="26">
        <v>0</v>
      </c>
      <c r="AD38" s="26">
        <v>0</v>
      </c>
      <c r="AE38" s="26">
        <v>0</v>
      </c>
      <c r="AF38" s="26">
        <v>0</v>
      </c>
      <c r="AG38" s="26">
        <v>0</v>
      </c>
      <c r="AH38" s="26">
        <v>0.1143</v>
      </c>
      <c r="AI38" s="26">
        <v>0.1236</v>
      </c>
      <c r="AJ38" s="26">
        <v>0.13159999999999999</v>
      </c>
      <c r="AK38" s="26">
        <v>0.68100000000000005</v>
      </c>
      <c r="AL38" s="26">
        <v>0.68389999999999995</v>
      </c>
      <c r="AM38" s="26">
        <v>0.68700000000000006</v>
      </c>
      <c r="AN38" s="26">
        <v>0.68979999999999997</v>
      </c>
      <c r="AO38" s="26">
        <v>0.69279999999999997</v>
      </c>
      <c r="AP38" s="26">
        <v>0.69589999999999996</v>
      </c>
      <c r="AQ38" s="26">
        <v>0.69889999999999997</v>
      </c>
      <c r="AR38" s="26">
        <v>0.7016</v>
      </c>
      <c r="AS38" s="26">
        <v>0.70389999999999997</v>
      </c>
      <c r="AT38" s="26">
        <v>0.70609999999999995</v>
      </c>
      <c r="AU38" s="26">
        <v>0.70830000000000004</v>
      </c>
      <c r="AV38" s="26">
        <v>0.71089999999999998</v>
      </c>
      <c r="AW38" s="26">
        <v>0.7137</v>
      </c>
      <c r="AX38" s="26">
        <v>0.71660000000000001</v>
      </c>
      <c r="AY38" s="26">
        <v>0.71950000000000003</v>
      </c>
      <c r="AZ38" s="26">
        <v>0.72340000000000004</v>
      </c>
      <c r="BA38" s="26">
        <v>0.72599999999999998</v>
      </c>
      <c r="BB38" s="26">
        <v>0.72889999999999999</v>
      </c>
      <c r="BC38" s="26">
        <v>0.73160000000000003</v>
      </c>
      <c r="BD38" s="26">
        <v>0.73440000000000005</v>
      </c>
      <c r="BE38" s="26">
        <v>0.89380000000000004</v>
      </c>
      <c r="BF38" s="11"/>
      <c r="BG38" s="11"/>
      <c r="BH38" s="11"/>
    </row>
    <row r="39" spans="2:60" x14ac:dyDescent="0.35">
      <c r="B39" s="22" t="b">
        <v>1</v>
      </c>
      <c r="C39" s="22" t="str">
        <f t="shared" si="0"/>
        <v>CT_Total RPS</v>
      </c>
      <c r="D39" s="29" t="s">
        <v>19</v>
      </c>
      <c r="E39" s="24" t="s">
        <v>182</v>
      </c>
      <c r="F39" s="25" t="s">
        <v>171</v>
      </c>
      <c r="G39" s="26">
        <v>0</v>
      </c>
      <c r="H39" s="26">
        <v>6.25E-2</v>
      </c>
      <c r="I39" s="26">
        <v>6.5000000000000002E-2</v>
      </c>
      <c r="J39" s="26">
        <v>7.0000000000000007E-2</v>
      </c>
      <c r="K39" s="26">
        <v>0.04</v>
      </c>
      <c r="L39" s="26">
        <v>4.4999999999999998E-2</v>
      </c>
      <c r="M39" s="26">
        <v>0.05</v>
      </c>
      <c r="N39" s="26">
        <v>6.5000000000000002E-2</v>
      </c>
      <c r="O39" s="26">
        <v>0.08</v>
      </c>
      <c r="P39" s="26">
        <v>0.09</v>
      </c>
      <c r="Q39" s="26">
        <v>0.1</v>
      </c>
      <c r="R39" s="26">
        <v>0.11</v>
      </c>
      <c r="S39" s="26">
        <v>0.12</v>
      </c>
      <c r="T39" s="26">
        <v>0.13</v>
      </c>
      <c r="U39" s="26">
        <v>0.14000000000000001</v>
      </c>
      <c r="V39" s="26">
        <v>0.155</v>
      </c>
      <c r="W39" s="26">
        <v>0.17</v>
      </c>
      <c r="X39" s="26">
        <v>0.185</v>
      </c>
      <c r="Y39" s="26">
        <v>0.21</v>
      </c>
      <c r="Z39" s="26">
        <v>0.23499999999999999</v>
      </c>
      <c r="AA39" s="26">
        <v>0.25</v>
      </c>
      <c r="AB39" s="26">
        <v>0.26500000000000001</v>
      </c>
      <c r="AC39" s="26">
        <v>0.28000000000000003</v>
      </c>
      <c r="AD39" s="26">
        <v>0.3</v>
      </c>
      <c r="AE39" s="26">
        <v>0.32</v>
      </c>
      <c r="AF39" s="26">
        <v>0.34</v>
      </c>
      <c r="AG39" s="26">
        <v>0.36</v>
      </c>
      <c r="AH39" s="26">
        <v>0.38</v>
      </c>
      <c r="AI39" s="26">
        <v>0.4</v>
      </c>
      <c r="AJ39" s="26">
        <v>0.42</v>
      </c>
      <c r="AK39" s="26">
        <v>0.44</v>
      </c>
      <c r="AL39" s="26">
        <v>0.44</v>
      </c>
      <c r="AM39" s="26">
        <v>0.44</v>
      </c>
      <c r="AN39" s="26">
        <v>0.44</v>
      </c>
      <c r="AO39" s="26">
        <v>0.44</v>
      </c>
      <c r="AP39" s="26">
        <v>0.44</v>
      </c>
      <c r="AQ39" s="26">
        <v>0.44</v>
      </c>
      <c r="AR39" s="26">
        <v>0.44</v>
      </c>
      <c r="AS39" s="26">
        <v>0.44</v>
      </c>
      <c r="AT39" s="26">
        <v>0.44</v>
      </c>
      <c r="AU39" s="26">
        <v>0.44</v>
      </c>
      <c r="AV39" s="26">
        <v>0.44</v>
      </c>
      <c r="AW39" s="26">
        <v>0.44</v>
      </c>
      <c r="AX39" s="26">
        <v>0.44</v>
      </c>
      <c r="AY39" s="26">
        <v>0.44</v>
      </c>
      <c r="AZ39" s="26">
        <v>0.44</v>
      </c>
      <c r="BA39" s="26">
        <v>0.44</v>
      </c>
      <c r="BB39" s="26">
        <v>0.44</v>
      </c>
      <c r="BC39" s="26">
        <v>0.44</v>
      </c>
      <c r="BD39" s="26">
        <v>0.44</v>
      </c>
      <c r="BE39" s="26">
        <v>0.44</v>
      </c>
      <c r="BF39" s="11"/>
      <c r="BG39" s="11"/>
      <c r="BH39" s="11"/>
    </row>
    <row r="40" spans="2:60" x14ac:dyDescent="0.35">
      <c r="B40" s="22" t="b">
        <v>1</v>
      </c>
      <c r="C40" s="22" t="str">
        <f t="shared" si="0"/>
        <v>CT_   Class I</v>
      </c>
      <c r="D40" s="29" t="s">
        <v>19</v>
      </c>
      <c r="E40" s="30"/>
      <c r="F40" s="25" t="s">
        <v>183</v>
      </c>
      <c r="G40" s="26">
        <v>0</v>
      </c>
      <c r="H40" s="26">
        <v>7.4999999999999997E-3</v>
      </c>
      <c r="I40" s="26">
        <v>0.01</v>
      </c>
      <c r="J40" s="26">
        <v>1.4999999999999999E-2</v>
      </c>
      <c r="K40" s="26">
        <v>0.01</v>
      </c>
      <c r="L40" s="26">
        <v>1.4999999999999999E-2</v>
      </c>
      <c r="M40" s="26">
        <v>0.02</v>
      </c>
      <c r="N40" s="26">
        <v>3.5000000000000003E-2</v>
      </c>
      <c r="O40" s="26">
        <v>0.05</v>
      </c>
      <c r="P40" s="26">
        <v>0.06</v>
      </c>
      <c r="Q40" s="26">
        <v>7.0000000000000007E-2</v>
      </c>
      <c r="R40" s="26">
        <v>0.08</v>
      </c>
      <c r="S40" s="26">
        <v>0.09</v>
      </c>
      <c r="T40" s="26">
        <v>0.1</v>
      </c>
      <c r="U40" s="26">
        <v>0.11</v>
      </c>
      <c r="V40" s="26">
        <v>0.125</v>
      </c>
      <c r="W40" s="26">
        <v>0.14000000000000001</v>
      </c>
      <c r="X40" s="26">
        <v>0.155</v>
      </c>
      <c r="Y40" s="26">
        <v>0.17</v>
      </c>
      <c r="Z40" s="26">
        <v>0.19500000000000001</v>
      </c>
      <c r="AA40" s="26">
        <v>0.21</v>
      </c>
      <c r="AB40" s="26">
        <v>0.22500000000000001</v>
      </c>
      <c r="AC40" s="26">
        <v>0.24</v>
      </c>
      <c r="AD40" s="26">
        <v>0.26</v>
      </c>
      <c r="AE40" s="26">
        <v>0.28000000000000003</v>
      </c>
      <c r="AF40" s="26">
        <v>0.3</v>
      </c>
      <c r="AG40" s="26">
        <v>0.32</v>
      </c>
      <c r="AH40" s="26">
        <v>0.34</v>
      </c>
      <c r="AI40" s="26">
        <v>0.36</v>
      </c>
      <c r="AJ40" s="26">
        <v>0.38</v>
      </c>
      <c r="AK40" s="26">
        <v>0.4</v>
      </c>
      <c r="AL40" s="26">
        <v>0.4</v>
      </c>
      <c r="AM40" s="26">
        <v>0.4</v>
      </c>
      <c r="AN40" s="26">
        <v>0.4</v>
      </c>
      <c r="AO40" s="26">
        <v>0.4</v>
      </c>
      <c r="AP40" s="26">
        <v>0.4</v>
      </c>
      <c r="AQ40" s="26">
        <v>0.4</v>
      </c>
      <c r="AR40" s="26">
        <v>0.4</v>
      </c>
      <c r="AS40" s="26">
        <v>0.4</v>
      </c>
      <c r="AT40" s="26">
        <v>0.4</v>
      </c>
      <c r="AU40" s="26">
        <v>0.4</v>
      </c>
      <c r="AV40" s="26">
        <v>0.4</v>
      </c>
      <c r="AW40" s="26">
        <v>0.4</v>
      </c>
      <c r="AX40" s="26">
        <v>0.4</v>
      </c>
      <c r="AY40" s="26">
        <v>0.4</v>
      </c>
      <c r="AZ40" s="26">
        <v>0.4</v>
      </c>
      <c r="BA40" s="26">
        <v>0.4</v>
      </c>
      <c r="BB40" s="26">
        <v>0.4</v>
      </c>
      <c r="BC40" s="26">
        <v>0.4</v>
      </c>
      <c r="BD40" s="26">
        <v>0.4</v>
      </c>
      <c r="BE40" s="26">
        <v>0.4</v>
      </c>
      <c r="BF40" s="11"/>
      <c r="BG40" s="11"/>
      <c r="BH40" s="11"/>
    </row>
    <row r="41" spans="2:60" x14ac:dyDescent="0.35">
      <c r="B41" s="22" t="b">
        <v>1</v>
      </c>
      <c r="C41" s="22" t="str">
        <f t="shared" si="0"/>
        <v>CT_   Class II</v>
      </c>
      <c r="D41" s="29" t="s">
        <v>19</v>
      </c>
      <c r="E41" s="30"/>
      <c r="F41" s="25" t="s">
        <v>184</v>
      </c>
      <c r="G41" s="26">
        <v>0</v>
      </c>
      <c r="H41" s="26">
        <v>5.5E-2</v>
      </c>
      <c r="I41" s="26">
        <v>5.5E-2</v>
      </c>
      <c r="J41" s="26">
        <v>5.5E-2</v>
      </c>
      <c r="K41" s="26">
        <v>0.03</v>
      </c>
      <c r="L41" s="26">
        <v>0.03</v>
      </c>
      <c r="M41" s="26">
        <v>0.03</v>
      </c>
      <c r="N41" s="26">
        <v>0.03</v>
      </c>
      <c r="O41" s="26">
        <v>0.03</v>
      </c>
      <c r="P41" s="26">
        <v>0.03</v>
      </c>
      <c r="Q41" s="26">
        <v>0.03</v>
      </c>
      <c r="R41" s="26">
        <v>0.03</v>
      </c>
      <c r="S41" s="26">
        <v>0.03</v>
      </c>
      <c r="T41" s="26">
        <v>0.03</v>
      </c>
      <c r="U41" s="26">
        <v>0.03</v>
      </c>
      <c r="V41" s="26">
        <v>0.03</v>
      </c>
      <c r="W41" s="26">
        <v>0.03</v>
      </c>
      <c r="X41" s="26">
        <v>0.03</v>
      </c>
      <c r="Y41" s="26">
        <v>0.04</v>
      </c>
      <c r="Z41" s="26">
        <v>0.04</v>
      </c>
      <c r="AA41" s="26">
        <v>0.04</v>
      </c>
      <c r="AB41" s="26">
        <v>0.04</v>
      </c>
      <c r="AC41" s="26">
        <v>0.04</v>
      </c>
      <c r="AD41" s="26">
        <v>0.04</v>
      </c>
      <c r="AE41" s="26">
        <v>0.04</v>
      </c>
      <c r="AF41" s="26">
        <v>0.04</v>
      </c>
      <c r="AG41" s="26">
        <v>0.04</v>
      </c>
      <c r="AH41" s="26">
        <v>0.04</v>
      </c>
      <c r="AI41" s="26">
        <v>0.04</v>
      </c>
      <c r="AJ41" s="26">
        <v>0.04</v>
      </c>
      <c r="AK41" s="26">
        <v>0.04</v>
      </c>
      <c r="AL41" s="26">
        <v>0.04</v>
      </c>
      <c r="AM41" s="26">
        <v>0.04</v>
      </c>
      <c r="AN41" s="26">
        <v>0.04</v>
      </c>
      <c r="AO41" s="26">
        <v>0.04</v>
      </c>
      <c r="AP41" s="26">
        <v>0.04</v>
      </c>
      <c r="AQ41" s="26">
        <v>0.04</v>
      </c>
      <c r="AR41" s="26">
        <v>0.04</v>
      </c>
      <c r="AS41" s="26">
        <v>0.04</v>
      </c>
      <c r="AT41" s="26">
        <v>0.04</v>
      </c>
      <c r="AU41" s="26">
        <v>0.04</v>
      </c>
      <c r="AV41" s="26">
        <v>0.04</v>
      </c>
      <c r="AW41" s="26">
        <v>0.04</v>
      </c>
      <c r="AX41" s="26">
        <v>0.04</v>
      </c>
      <c r="AY41" s="26">
        <v>0.04</v>
      </c>
      <c r="AZ41" s="26">
        <v>0.04</v>
      </c>
      <c r="BA41" s="26">
        <v>0.04</v>
      </c>
      <c r="BB41" s="26">
        <v>0.04</v>
      </c>
      <c r="BC41" s="26">
        <v>0.04</v>
      </c>
      <c r="BD41" s="26">
        <v>0.04</v>
      </c>
      <c r="BE41" s="26">
        <v>0.04</v>
      </c>
      <c r="BF41" s="11"/>
      <c r="BG41" s="11"/>
      <c r="BH41" s="11"/>
    </row>
    <row r="42" spans="2:60" x14ac:dyDescent="0.35">
      <c r="B42" s="22" t="b">
        <v>1</v>
      </c>
      <c r="C42" s="22" t="str">
        <f t="shared" si="0"/>
        <v>CT_Total CES</v>
      </c>
      <c r="D42" s="29" t="s">
        <v>19</v>
      </c>
      <c r="E42" s="28"/>
      <c r="F42" s="25" t="s">
        <v>174</v>
      </c>
      <c r="G42" s="26">
        <v>0</v>
      </c>
      <c r="H42" s="26">
        <v>0</v>
      </c>
      <c r="I42" s="26">
        <v>0</v>
      </c>
      <c r="J42" s="26">
        <v>0</v>
      </c>
      <c r="K42" s="26">
        <v>0</v>
      </c>
      <c r="L42" s="26">
        <v>0</v>
      </c>
      <c r="M42" s="26">
        <v>0</v>
      </c>
      <c r="N42" s="26">
        <v>0</v>
      </c>
      <c r="O42" s="26">
        <v>0</v>
      </c>
      <c r="P42" s="26">
        <v>0</v>
      </c>
      <c r="Q42" s="26">
        <v>0</v>
      </c>
      <c r="R42" s="26">
        <v>0</v>
      </c>
      <c r="S42" s="26">
        <v>0</v>
      </c>
      <c r="T42" s="26">
        <v>0</v>
      </c>
      <c r="U42" s="26">
        <v>0</v>
      </c>
      <c r="V42" s="26">
        <v>0</v>
      </c>
      <c r="W42" s="26">
        <v>0</v>
      </c>
      <c r="X42" s="26">
        <v>0</v>
      </c>
      <c r="Y42" s="26">
        <v>0</v>
      </c>
      <c r="Z42" s="26">
        <v>0</v>
      </c>
      <c r="AA42" s="26">
        <v>0</v>
      </c>
      <c r="AB42" s="26">
        <v>0</v>
      </c>
      <c r="AC42" s="26">
        <v>0</v>
      </c>
      <c r="AD42" s="26">
        <v>0</v>
      </c>
      <c r="AE42" s="26">
        <v>0</v>
      </c>
      <c r="AF42" s="26">
        <v>0</v>
      </c>
      <c r="AG42" s="26">
        <v>0</v>
      </c>
      <c r="AH42" s="26">
        <v>0</v>
      </c>
      <c r="AI42" s="26">
        <v>0</v>
      </c>
      <c r="AJ42" s="26">
        <v>0</v>
      </c>
      <c r="AK42" s="26">
        <v>0</v>
      </c>
      <c r="AL42" s="26">
        <v>0</v>
      </c>
      <c r="AM42" s="26">
        <v>0</v>
      </c>
      <c r="AN42" s="26">
        <v>0</v>
      </c>
      <c r="AO42" s="26">
        <v>0</v>
      </c>
      <c r="AP42" s="26">
        <v>0</v>
      </c>
      <c r="AQ42" s="26">
        <v>0</v>
      </c>
      <c r="AR42" s="26">
        <v>0</v>
      </c>
      <c r="AS42" s="26">
        <v>0</v>
      </c>
      <c r="AT42" s="26">
        <v>0</v>
      </c>
      <c r="AU42" s="31">
        <v>1</v>
      </c>
      <c r="AV42" s="31">
        <v>1</v>
      </c>
      <c r="AW42" s="31">
        <v>1</v>
      </c>
      <c r="AX42" s="31">
        <v>1</v>
      </c>
      <c r="AY42" s="31">
        <v>1</v>
      </c>
      <c r="AZ42" s="31">
        <v>1</v>
      </c>
      <c r="BA42" s="31">
        <v>1</v>
      </c>
      <c r="BB42" s="31">
        <v>1</v>
      </c>
      <c r="BC42" s="31">
        <v>1</v>
      </c>
      <c r="BD42" s="31">
        <v>1</v>
      </c>
      <c r="BE42" s="31">
        <v>1</v>
      </c>
      <c r="BF42" s="11"/>
      <c r="BG42" s="11"/>
      <c r="BH42" s="11"/>
    </row>
    <row r="43" spans="2:60" x14ac:dyDescent="0.35">
      <c r="B43" s="22" t="b">
        <v>1</v>
      </c>
      <c r="C43" s="22" t="str">
        <f t="shared" si="0"/>
        <v>DC_Total RPS</v>
      </c>
      <c r="D43" s="23" t="s">
        <v>185</v>
      </c>
      <c r="E43" s="24" t="s">
        <v>182</v>
      </c>
      <c r="F43" s="25" t="s">
        <v>171</v>
      </c>
      <c r="G43" s="26">
        <v>0</v>
      </c>
      <c r="H43" s="26">
        <v>0</v>
      </c>
      <c r="I43" s="26">
        <v>0</v>
      </c>
      <c r="J43" s="26">
        <v>0</v>
      </c>
      <c r="K43" s="26">
        <v>0</v>
      </c>
      <c r="L43" s="26">
        <v>0</v>
      </c>
      <c r="M43" s="26">
        <v>0</v>
      </c>
      <c r="N43" s="26">
        <v>0.04</v>
      </c>
      <c r="O43" s="26">
        <v>4.4999999999999998E-2</v>
      </c>
      <c r="P43" s="26">
        <v>0.05</v>
      </c>
      <c r="Q43" s="26">
        <v>5.5E-2</v>
      </c>
      <c r="R43" s="26">
        <v>6.5000000000000002E-2</v>
      </c>
      <c r="S43" s="26">
        <v>7.4999999999999997E-2</v>
      </c>
      <c r="T43" s="26">
        <v>0.09</v>
      </c>
      <c r="U43" s="26">
        <v>0.105</v>
      </c>
      <c r="V43" s="26">
        <v>0.12</v>
      </c>
      <c r="W43" s="26">
        <v>0.13500000000000001</v>
      </c>
      <c r="X43" s="26">
        <v>0.15</v>
      </c>
      <c r="Y43" s="26">
        <v>0.16500000000000001</v>
      </c>
      <c r="Z43" s="26">
        <v>0.18</v>
      </c>
      <c r="AA43" s="26">
        <v>0.2</v>
      </c>
      <c r="AB43" s="26">
        <v>0.26250000000000001</v>
      </c>
      <c r="AC43" s="26">
        <v>0.32500000000000001</v>
      </c>
      <c r="AD43" s="26">
        <v>0.38750000000000001</v>
      </c>
      <c r="AE43" s="26">
        <v>0.45</v>
      </c>
      <c r="AF43" s="26">
        <v>0.52</v>
      </c>
      <c r="AG43" s="26">
        <v>0.59</v>
      </c>
      <c r="AH43" s="26">
        <v>0.66</v>
      </c>
      <c r="AI43" s="26">
        <v>0.73</v>
      </c>
      <c r="AJ43" s="26">
        <v>0.8</v>
      </c>
      <c r="AK43" s="26">
        <v>0.87</v>
      </c>
      <c r="AL43" s="26">
        <v>0.94</v>
      </c>
      <c r="AM43" s="26">
        <v>1</v>
      </c>
      <c r="AN43" s="26">
        <v>1</v>
      </c>
      <c r="AO43" s="26">
        <v>1</v>
      </c>
      <c r="AP43" s="26">
        <v>1</v>
      </c>
      <c r="AQ43" s="26">
        <v>1</v>
      </c>
      <c r="AR43" s="26">
        <v>1</v>
      </c>
      <c r="AS43" s="26">
        <v>1</v>
      </c>
      <c r="AT43" s="26">
        <v>1</v>
      </c>
      <c r="AU43" s="26">
        <v>1</v>
      </c>
      <c r="AV43" s="26">
        <v>1</v>
      </c>
      <c r="AW43" s="26">
        <v>1</v>
      </c>
      <c r="AX43" s="26">
        <v>1</v>
      </c>
      <c r="AY43" s="26">
        <v>1</v>
      </c>
      <c r="AZ43" s="26">
        <v>1</v>
      </c>
      <c r="BA43" s="26">
        <v>1</v>
      </c>
      <c r="BB43" s="26">
        <v>1</v>
      </c>
      <c r="BC43" s="26">
        <v>1</v>
      </c>
      <c r="BD43" s="26">
        <v>1</v>
      </c>
      <c r="BE43" s="26">
        <v>1</v>
      </c>
      <c r="BF43" s="11"/>
      <c r="BG43" s="11"/>
      <c r="BH43" s="11"/>
    </row>
    <row r="44" spans="2:60" x14ac:dyDescent="0.35">
      <c r="B44" s="22" t="b">
        <v>1</v>
      </c>
      <c r="C44" s="22" t="str">
        <f t="shared" si="0"/>
        <v>DC_   Solar Carve-Out</v>
      </c>
      <c r="D44" s="29" t="s">
        <v>185</v>
      </c>
      <c r="E44" s="30"/>
      <c r="F44" s="32" t="s">
        <v>186</v>
      </c>
      <c r="G44" s="26">
        <v>0</v>
      </c>
      <c r="H44" s="26">
        <v>0</v>
      </c>
      <c r="I44" s="26">
        <v>0</v>
      </c>
      <c r="J44" s="26">
        <v>0</v>
      </c>
      <c r="K44" s="26">
        <v>0</v>
      </c>
      <c r="L44" s="26">
        <v>0</v>
      </c>
      <c r="M44" s="26">
        <v>0</v>
      </c>
      <c r="N44" s="26">
        <v>5.0000000000000001E-4</v>
      </c>
      <c r="O44" s="26">
        <v>1.1000000000000001E-3</v>
      </c>
      <c r="P44" s="26">
        <v>1.9E-3</v>
      </c>
      <c r="Q44" s="26">
        <v>2.8E-3</v>
      </c>
      <c r="R44" s="26">
        <v>4.0000000000000001E-3</v>
      </c>
      <c r="S44" s="26">
        <v>5.0000000000000001E-3</v>
      </c>
      <c r="T44" s="26">
        <v>5.0000000000000001E-3</v>
      </c>
      <c r="U44" s="26">
        <v>6.0000000000000001E-3</v>
      </c>
      <c r="V44" s="26">
        <v>7.0000000000000001E-3</v>
      </c>
      <c r="W44" s="26">
        <v>8.3000000000000001E-3</v>
      </c>
      <c r="X44" s="26">
        <v>9.7999999999999997E-3</v>
      </c>
      <c r="Y44" s="26">
        <v>1.15E-2</v>
      </c>
      <c r="Z44" s="26">
        <v>1.8499999999999999E-2</v>
      </c>
      <c r="AA44" s="26">
        <v>2.18E-2</v>
      </c>
      <c r="AB44" s="26">
        <v>2.5000000000000001E-2</v>
      </c>
      <c r="AC44" s="26">
        <v>2.5999999999999999E-2</v>
      </c>
      <c r="AD44" s="26">
        <v>2.8500000000000001E-2</v>
      </c>
      <c r="AE44" s="26">
        <v>3.15E-2</v>
      </c>
      <c r="AF44" s="26">
        <v>3.4500000000000003E-2</v>
      </c>
      <c r="AG44" s="26">
        <v>3.7499999999999999E-2</v>
      </c>
      <c r="AH44" s="26">
        <v>4.1000000000000002E-2</v>
      </c>
      <c r="AI44" s="26">
        <v>4.4999999999999998E-2</v>
      </c>
      <c r="AJ44" s="26">
        <v>4.7500000000000001E-2</v>
      </c>
      <c r="AK44" s="26">
        <v>0.05</v>
      </c>
      <c r="AL44" s="26">
        <v>5.2499999999999998E-2</v>
      </c>
      <c r="AM44" s="26">
        <v>5.5E-2</v>
      </c>
      <c r="AN44" s="26">
        <v>0.06</v>
      </c>
      <c r="AO44" s="26">
        <v>6.5000000000000002E-2</v>
      </c>
      <c r="AP44" s="26">
        <v>7.0000000000000007E-2</v>
      </c>
      <c r="AQ44" s="26">
        <v>7.4999999999999997E-2</v>
      </c>
      <c r="AR44" s="26">
        <v>0.08</v>
      </c>
      <c r="AS44" s="26">
        <v>8.5000000000000006E-2</v>
      </c>
      <c r="AT44" s="26">
        <v>0.09</v>
      </c>
      <c r="AU44" s="26">
        <v>9.5000000000000001E-2</v>
      </c>
      <c r="AV44" s="26">
        <v>0.1</v>
      </c>
      <c r="AW44" s="26">
        <v>0.1</v>
      </c>
      <c r="AX44" s="26">
        <v>0.1</v>
      </c>
      <c r="AY44" s="26">
        <v>0.1</v>
      </c>
      <c r="AZ44" s="26">
        <v>0.1</v>
      </c>
      <c r="BA44" s="26">
        <v>0.1</v>
      </c>
      <c r="BB44" s="26">
        <v>0.1</v>
      </c>
      <c r="BC44" s="26">
        <v>0.1</v>
      </c>
      <c r="BD44" s="26">
        <v>0.1</v>
      </c>
      <c r="BE44" s="26">
        <v>0.1</v>
      </c>
      <c r="BF44" s="11"/>
      <c r="BG44" s="11"/>
      <c r="BH44" s="11"/>
    </row>
    <row r="45" spans="2:60" x14ac:dyDescent="0.35">
      <c r="B45" s="22" t="b">
        <v>1</v>
      </c>
      <c r="C45" s="22" t="str">
        <f t="shared" si="0"/>
        <v>DC_   Tier I Non-Solar</v>
      </c>
      <c r="D45" s="29" t="s">
        <v>185</v>
      </c>
      <c r="E45" s="30"/>
      <c r="F45" s="32" t="s">
        <v>187</v>
      </c>
      <c r="G45" s="26">
        <v>0</v>
      </c>
      <c r="H45" s="26">
        <v>0</v>
      </c>
      <c r="I45" s="26">
        <v>0</v>
      </c>
      <c r="J45" s="26">
        <v>0</v>
      </c>
      <c r="K45" s="26">
        <v>0</v>
      </c>
      <c r="L45" s="26">
        <v>0</v>
      </c>
      <c r="M45" s="26">
        <v>0</v>
      </c>
      <c r="N45" s="26">
        <v>1.4500000000000001E-2</v>
      </c>
      <c r="O45" s="26">
        <v>1.89E-2</v>
      </c>
      <c r="P45" s="26">
        <v>2.3099999999999999E-2</v>
      </c>
      <c r="Q45" s="26">
        <v>2.7199999999999998E-2</v>
      </c>
      <c r="R45" s="26">
        <v>3.5999999999999997E-2</v>
      </c>
      <c r="S45" s="26">
        <v>4.4999999999999998E-2</v>
      </c>
      <c r="T45" s="26">
        <v>0.06</v>
      </c>
      <c r="U45" s="26">
        <v>7.3999999999999996E-2</v>
      </c>
      <c r="V45" s="26">
        <v>8.7999999999999995E-2</v>
      </c>
      <c r="W45" s="26">
        <v>0.1067</v>
      </c>
      <c r="X45" s="26">
        <v>0.12520000000000001</v>
      </c>
      <c r="Y45" s="26">
        <v>0.14349999999999999</v>
      </c>
      <c r="Z45" s="26">
        <v>0.1565</v>
      </c>
      <c r="AA45" s="26">
        <v>0.17829999999999999</v>
      </c>
      <c r="AB45" s="26">
        <v>0.23749999999999999</v>
      </c>
      <c r="AC45" s="26">
        <v>0.29899999999999999</v>
      </c>
      <c r="AD45" s="26">
        <v>0.35899999999999999</v>
      </c>
      <c r="AE45" s="26">
        <v>0.41849999999999998</v>
      </c>
      <c r="AF45" s="26">
        <v>0.48549999999999999</v>
      </c>
      <c r="AG45" s="26">
        <v>0.55249999999999999</v>
      </c>
      <c r="AH45" s="26">
        <v>0.61899999999999999</v>
      </c>
      <c r="AI45" s="26">
        <v>0.68500000000000005</v>
      </c>
      <c r="AJ45" s="26">
        <v>0.75249999999999995</v>
      </c>
      <c r="AK45" s="26">
        <v>0.82</v>
      </c>
      <c r="AL45" s="26">
        <v>0.88749999999999996</v>
      </c>
      <c r="AM45" s="26">
        <v>0.94499999999999995</v>
      </c>
      <c r="AN45" s="26">
        <v>0.94</v>
      </c>
      <c r="AO45" s="26">
        <v>0.93500000000000005</v>
      </c>
      <c r="AP45" s="26">
        <v>0.93</v>
      </c>
      <c r="AQ45" s="26">
        <v>0.92500000000000004</v>
      </c>
      <c r="AR45" s="26">
        <v>0.92</v>
      </c>
      <c r="AS45" s="26">
        <v>0.91500000000000004</v>
      </c>
      <c r="AT45" s="26">
        <v>0.91</v>
      </c>
      <c r="AU45" s="26">
        <v>0.90500000000000003</v>
      </c>
      <c r="AV45" s="26">
        <v>0.9</v>
      </c>
      <c r="AW45" s="26">
        <v>0.9</v>
      </c>
      <c r="AX45" s="26">
        <v>0.9</v>
      </c>
      <c r="AY45" s="26">
        <v>0.9</v>
      </c>
      <c r="AZ45" s="26">
        <v>0.9</v>
      </c>
      <c r="BA45" s="26">
        <v>0.9</v>
      </c>
      <c r="BB45" s="26">
        <v>0.9</v>
      </c>
      <c r="BC45" s="26">
        <v>0.9</v>
      </c>
      <c r="BD45" s="26">
        <v>0.9</v>
      </c>
      <c r="BE45" s="26">
        <v>0.9</v>
      </c>
      <c r="BF45" s="11"/>
      <c r="BG45" s="11"/>
      <c r="BH45" s="11"/>
    </row>
    <row r="46" spans="2:60" x14ac:dyDescent="0.35">
      <c r="B46" s="22" t="b">
        <v>1</v>
      </c>
      <c r="C46" s="22" t="str">
        <f t="shared" si="0"/>
        <v>DC_   Tier II</v>
      </c>
      <c r="D46" s="27" t="s">
        <v>185</v>
      </c>
      <c r="E46" s="28"/>
      <c r="F46" s="32" t="s">
        <v>188</v>
      </c>
      <c r="G46" s="26">
        <v>0</v>
      </c>
      <c r="H46" s="26">
        <v>0</v>
      </c>
      <c r="I46" s="26">
        <v>0</v>
      </c>
      <c r="J46" s="26">
        <v>0</v>
      </c>
      <c r="K46" s="26">
        <v>0</v>
      </c>
      <c r="L46" s="26">
        <v>0</v>
      </c>
      <c r="M46" s="26">
        <v>0</v>
      </c>
      <c r="N46" s="26">
        <v>2.5000000000000001E-2</v>
      </c>
      <c r="O46" s="26">
        <v>2.5000000000000001E-2</v>
      </c>
      <c r="P46" s="26">
        <v>2.5000000000000001E-2</v>
      </c>
      <c r="Q46" s="26">
        <v>2.5000000000000001E-2</v>
      </c>
      <c r="R46" s="26">
        <v>2.5000000000000001E-2</v>
      </c>
      <c r="S46" s="26">
        <v>2.5000000000000001E-2</v>
      </c>
      <c r="T46" s="26">
        <v>2.5000000000000001E-2</v>
      </c>
      <c r="U46" s="26">
        <v>2.5000000000000001E-2</v>
      </c>
      <c r="V46" s="26">
        <v>2.5000000000000001E-2</v>
      </c>
      <c r="W46" s="26">
        <v>0.02</v>
      </c>
      <c r="X46" s="26">
        <v>1.4999999999999999E-2</v>
      </c>
      <c r="Y46" s="26">
        <v>0.01</v>
      </c>
      <c r="Z46" s="26">
        <v>5.0000000000000001E-3</v>
      </c>
      <c r="AA46" s="26">
        <v>0</v>
      </c>
      <c r="AB46" s="26">
        <v>0</v>
      </c>
      <c r="AC46" s="26">
        <v>0</v>
      </c>
      <c r="AD46" s="26">
        <v>0</v>
      </c>
      <c r="AE46" s="26">
        <v>0</v>
      </c>
      <c r="AF46" s="26">
        <v>0</v>
      </c>
      <c r="AG46" s="26">
        <v>0</v>
      </c>
      <c r="AH46" s="26">
        <v>0</v>
      </c>
      <c r="AI46" s="26">
        <v>0</v>
      </c>
      <c r="AJ46" s="26">
        <v>0</v>
      </c>
      <c r="AK46" s="26">
        <v>0</v>
      </c>
      <c r="AL46" s="26">
        <v>0</v>
      </c>
      <c r="AM46" s="26">
        <v>0</v>
      </c>
      <c r="AN46" s="26">
        <v>0</v>
      </c>
      <c r="AO46" s="26">
        <v>0</v>
      </c>
      <c r="AP46" s="26">
        <v>0</v>
      </c>
      <c r="AQ46" s="26">
        <v>0</v>
      </c>
      <c r="AR46" s="26">
        <v>0</v>
      </c>
      <c r="AS46" s="26">
        <v>0</v>
      </c>
      <c r="AT46" s="26">
        <v>0</v>
      </c>
      <c r="AU46" s="26">
        <v>0</v>
      </c>
      <c r="AV46" s="26">
        <v>0</v>
      </c>
      <c r="AW46" s="26">
        <v>0</v>
      </c>
      <c r="AX46" s="26">
        <v>0</v>
      </c>
      <c r="AY46" s="26">
        <v>0</v>
      </c>
      <c r="AZ46" s="26">
        <v>0</v>
      </c>
      <c r="BA46" s="26">
        <v>0</v>
      </c>
      <c r="BB46" s="26">
        <v>0</v>
      </c>
      <c r="BC46" s="26">
        <v>0</v>
      </c>
      <c r="BD46" s="26">
        <v>0</v>
      </c>
      <c r="BE46" s="26">
        <v>0</v>
      </c>
      <c r="BF46" s="11"/>
      <c r="BG46" s="11"/>
      <c r="BH46" s="11"/>
    </row>
    <row r="47" spans="2:60" x14ac:dyDescent="0.35">
      <c r="B47" s="22" t="b">
        <v>1</v>
      </c>
      <c r="C47" s="22" t="str">
        <f t="shared" si="0"/>
        <v>DE_Total RPS</v>
      </c>
      <c r="D47" s="23" t="s">
        <v>22</v>
      </c>
      <c r="E47" s="24" t="s">
        <v>182</v>
      </c>
      <c r="F47" s="25" t="s">
        <v>171</v>
      </c>
      <c r="G47" s="26">
        <v>0</v>
      </c>
      <c r="H47" s="26">
        <v>0</v>
      </c>
      <c r="I47" s="26">
        <v>0</v>
      </c>
      <c r="J47" s="26">
        <v>0</v>
      </c>
      <c r="K47" s="26">
        <v>0</v>
      </c>
      <c r="L47" s="26">
        <v>0</v>
      </c>
      <c r="M47" s="26">
        <v>0</v>
      </c>
      <c r="N47" s="26">
        <v>0</v>
      </c>
      <c r="O47" s="26">
        <v>0</v>
      </c>
      <c r="P47" s="26">
        <v>0</v>
      </c>
      <c r="Q47" s="26">
        <v>0</v>
      </c>
      <c r="R47" s="26">
        <v>0</v>
      </c>
      <c r="S47" s="26">
        <v>0</v>
      </c>
      <c r="T47" s="26">
        <v>0</v>
      </c>
      <c r="U47" s="26">
        <v>0.1</v>
      </c>
      <c r="V47" s="26">
        <v>0.115</v>
      </c>
      <c r="W47" s="26">
        <v>0.13</v>
      </c>
      <c r="X47" s="26">
        <v>0.14499999999999999</v>
      </c>
      <c r="Y47" s="26">
        <v>0.16</v>
      </c>
      <c r="Z47" s="26">
        <v>0.17499999999999999</v>
      </c>
      <c r="AA47" s="26">
        <v>0.19</v>
      </c>
      <c r="AB47" s="26">
        <v>0.2</v>
      </c>
      <c r="AC47" s="26">
        <v>0.21</v>
      </c>
      <c r="AD47" s="26">
        <v>0.22</v>
      </c>
      <c r="AE47" s="26">
        <v>0.23</v>
      </c>
      <c r="AF47" s="26">
        <v>0.24</v>
      </c>
      <c r="AG47" s="26">
        <v>0.25</v>
      </c>
      <c r="AH47" s="26">
        <v>0.255</v>
      </c>
      <c r="AI47" s="26">
        <v>0.26</v>
      </c>
      <c r="AJ47" s="26">
        <v>0.26500000000000001</v>
      </c>
      <c r="AK47" s="26">
        <v>0.27</v>
      </c>
      <c r="AL47" s="26">
        <v>0.28000000000000003</v>
      </c>
      <c r="AM47" s="26">
        <v>0.3</v>
      </c>
      <c r="AN47" s="26">
        <v>0.32</v>
      </c>
      <c r="AO47" s="26">
        <v>0.34</v>
      </c>
      <c r="AP47" s="26">
        <v>0.37</v>
      </c>
      <c r="AQ47" s="26">
        <v>0.4</v>
      </c>
      <c r="AR47" s="26">
        <v>0.4</v>
      </c>
      <c r="AS47" s="26">
        <v>0.4</v>
      </c>
      <c r="AT47" s="26">
        <v>0.4</v>
      </c>
      <c r="AU47" s="26">
        <v>0.4</v>
      </c>
      <c r="AV47" s="26">
        <v>0.4</v>
      </c>
      <c r="AW47" s="26">
        <v>0.4</v>
      </c>
      <c r="AX47" s="26">
        <v>0.4</v>
      </c>
      <c r="AY47" s="26">
        <v>0.4</v>
      </c>
      <c r="AZ47" s="26">
        <v>0.4</v>
      </c>
      <c r="BA47" s="26">
        <v>0.4</v>
      </c>
      <c r="BB47" s="26">
        <v>0.4</v>
      </c>
      <c r="BC47" s="26">
        <v>0.4</v>
      </c>
      <c r="BD47" s="26">
        <v>0.4</v>
      </c>
      <c r="BE47" s="26">
        <v>0.4</v>
      </c>
      <c r="BF47" s="11"/>
      <c r="BG47" s="11"/>
      <c r="BH47" s="11"/>
    </row>
    <row r="48" spans="2:60" x14ac:dyDescent="0.35">
      <c r="B48" s="22" t="b">
        <v>1</v>
      </c>
      <c r="C48" s="22" t="str">
        <f t="shared" si="0"/>
        <v>DE_   Solar Carve-Out</v>
      </c>
      <c r="D48" s="29" t="s">
        <v>22</v>
      </c>
      <c r="E48" s="30"/>
      <c r="F48" s="32" t="s">
        <v>186</v>
      </c>
      <c r="G48" s="26">
        <v>0</v>
      </c>
      <c r="H48" s="26">
        <v>0</v>
      </c>
      <c r="I48" s="26">
        <v>0</v>
      </c>
      <c r="J48" s="26">
        <v>0</v>
      </c>
      <c r="K48" s="26">
        <v>0</v>
      </c>
      <c r="L48" s="26">
        <v>0</v>
      </c>
      <c r="M48" s="26">
        <v>0</v>
      </c>
      <c r="N48" s="26">
        <v>0</v>
      </c>
      <c r="O48" s="26">
        <v>0</v>
      </c>
      <c r="P48" s="26">
        <v>1E-4</v>
      </c>
      <c r="Q48" s="26">
        <v>1E-4</v>
      </c>
      <c r="R48" s="26">
        <v>2.0000000000000001E-4</v>
      </c>
      <c r="S48" s="26">
        <v>2E-3</v>
      </c>
      <c r="T48" s="26">
        <v>4.0000000000000001E-3</v>
      </c>
      <c r="U48" s="26">
        <v>6.0000000000000001E-3</v>
      </c>
      <c r="V48" s="26">
        <v>8.0000000000000002E-3</v>
      </c>
      <c r="W48" s="26">
        <v>0.01</v>
      </c>
      <c r="X48" s="26">
        <v>1.2500000000000001E-2</v>
      </c>
      <c r="Y48" s="26">
        <v>1.4999999999999999E-2</v>
      </c>
      <c r="Z48" s="26">
        <v>1.7500000000000002E-2</v>
      </c>
      <c r="AA48" s="26">
        <v>0.02</v>
      </c>
      <c r="AB48" s="26">
        <v>2.2499999999999999E-2</v>
      </c>
      <c r="AC48" s="26">
        <v>2.5000000000000001E-2</v>
      </c>
      <c r="AD48" s="26">
        <v>2.75E-2</v>
      </c>
      <c r="AE48" s="26">
        <v>0.03</v>
      </c>
      <c r="AF48" s="26">
        <v>3.2500000000000001E-2</v>
      </c>
      <c r="AG48" s="26">
        <v>3.5000000000000003E-2</v>
      </c>
      <c r="AH48" s="26">
        <v>3.7499999999999999E-2</v>
      </c>
      <c r="AI48" s="26">
        <v>0.04</v>
      </c>
      <c r="AJ48" s="26">
        <v>4.2500000000000003E-2</v>
      </c>
      <c r="AK48" s="26">
        <v>4.4999999999999998E-2</v>
      </c>
      <c r="AL48" s="26">
        <v>0.05</v>
      </c>
      <c r="AM48" s="26">
        <v>5.8000000000000003E-2</v>
      </c>
      <c r="AN48" s="26">
        <v>6.6000000000000003E-2</v>
      </c>
      <c r="AO48" s="26">
        <v>7.3999999999999996E-2</v>
      </c>
      <c r="AP48" s="26">
        <v>8.4000000000000005E-2</v>
      </c>
      <c r="AQ48" s="26">
        <v>0.1</v>
      </c>
      <c r="AR48" s="26">
        <v>0.1</v>
      </c>
      <c r="AS48" s="26">
        <v>0.1</v>
      </c>
      <c r="AT48" s="26">
        <v>0.1</v>
      </c>
      <c r="AU48" s="26">
        <v>0.1</v>
      </c>
      <c r="AV48" s="26">
        <v>0.1</v>
      </c>
      <c r="AW48" s="26">
        <v>0.1</v>
      </c>
      <c r="AX48" s="26">
        <v>0.1</v>
      </c>
      <c r="AY48" s="26">
        <v>0.1</v>
      </c>
      <c r="AZ48" s="26">
        <v>0.1</v>
      </c>
      <c r="BA48" s="26">
        <v>0.1</v>
      </c>
      <c r="BB48" s="26">
        <v>0.1</v>
      </c>
      <c r="BC48" s="26">
        <v>0.1</v>
      </c>
      <c r="BD48" s="26">
        <v>0.1</v>
      </c>
      <c r="BE48" s="26">
        <v>0.1</v>
      </c>
      <c r="BF48" s="11"/>
      <c r="BG48" s="11"/>
      <c r="BH48" s="11"/>
    </row>
    <row r="49" spans="2:60" x14ac:dyDescent="0.35">
      <c r="B49" s="22" t="b">
        <v>1</v>
      </c>
      <c r="C49" s="22" t="str">
        <f t="shared" si="0"/>
        <v>DE_   New Non-Solar</v>
      </c>
      <c r="D49" s="29" t="s">
        <v>22</v>
      </c>
      <c r="E49" s="30"/>
      <c r="F49" s="32" t="s">
        <v>189</v>
      </c>
      <c r="G49" s="26">
        <v>0</v>
      </c>
      <c r="H49" s="26">
        <v>0</v>
      </c>
      <c r="I49" s="26">
        <v>0</v>
      </c>
      <c r="J49" s="26">
        <v>0</v>
      </c>
      <c r="K49" s="26">
        <v>0</v>
      </c>
      <c r="L49" s="26">
        <v>0</v>
      </c>
      <c r="M49" s="26">
        <v>0</v>
      </c>
      <c r="N49" s="26">
        <v>0</v>
      </c>
      <c r="O49" s="26">
        <v>0</v>
      </c>
      <c r="P49" s="26">
        <v>0</v>
      </c>
      <c r="Q49" s="26">
        <v>0</v>
      </c>
      <c r="R49" s="26">
        <v>0</v>
      </c>
      <c r="S49" s="26">
        <v>0</v>
      </c>
      <c r="T49" s="26">
        <v>0</v>
      </c>
      <c r="U49" s="26">
        <v>8.4000000000000005E-2</v>
      </c>
      <c r="V49" s="26">
        <v>9.7000000000000003E-2</v>
      </c>
      <c r="W49" s="26">
        <v>0.11</v>
      </c>
      <c r="X49" s="26">
        <v>0.1225</v>
      </c>
      <c r="Y49" s="26">
        <v>0.13500000000000001</v>
      </c>
      <c r="Z49" s="26">
        <v>0.14749999999999999</v>
      </c>
      <c r="AA49" s="26">
        <v>0.17</v>
      </c>
      <c r="AB49" s="26">
        <v>0.17749999999999999</v>
      </c>
      <c r="AC49" s="26">
        <v>0.185</v>
      </c>
      <c r="AD49" s="26">
        <v>0.1925</v>
      </c>
      <c r="AE49" s="26">
        <v>0.2</v>
      </c>
      <c r="AF49" s="26">
        <v>0.20749999999999999</v>
      </c>
      <c r="AG49" s="26">
        <v>0.215</v>
      </c>
      <c r="AH49" s="26">
        <v>0.2175</v>
      </c>
      <c r="AI49" s="26">
        <v>0.22</v>
      </c>
      <c r="AJ49" s="26">
        <v>0.2225</v>
      </c>
      <c r="AK49" s="26">
        <v>0.22500000000000001</v>
      </c>
      <c r="AL49" s="26">
        <v>0.23</v>
      </c>
      <c r="AM49" s="26">
        <v>0.24199999999999999</v>
      </c>
      <c r="AN49" s="26">
        <v>0.254</v>
      </c>
      <c r="AO49" s="26">
        <v>0.26600000000000001</v>
      </c>
      <c r="AP49" s="26">
        <v>0.28599999999999998</v>
      </c>
      <c r="AQ49" s="26">
        <v>0.3</v>
      </c>
      <c r="AR49" s="26">
        <v>0.3</v>
      </c>
      <c r="AS49" s="26">
        <v>0.3</v>
      </c>
      <c r="AT49" s="26">
        <v>0.3</v>
      </c>
      <c r="AU49" s="26">
        <v>0.3</v>
      </c>
      <c r="AV49" s="26">
        <v>0.3</v>
      </c>
      <c r="AW49" s="26">
        <v>0.3</v>
      </c>
      <c r="AX49" s="26">
        <v>0.3</v>
      </c>
      <c r="AY49" s="26">
        <v>0.3</v>
      </c>
      <c r="AZ49" s="26">
        <v>0.3</v>
      </c>
      <c r="BA49" s="26">
        <v>0.3</v>
      </c>
      <c r="BB49" s="26">
        <v>0.3</v>
      </c>
      <c r="BC49" s="26">
        <v>0.3</v>
      </c>
      <c r="BD49" s="26">
        <v>0.3</v>
      </c>
      <c r="BE49" s="26">
        <v>0.3</v>
      </c>
      <c r="BF49" s="11"/>
      <c r="BG49" s="11"/>
      <c r="BH49" s="11"/>
    </row>
    <row r="50" spans="2:60" x14ac:dyDescent="0.35">
      <c r="B50" s="22" t="b">
        <v>1</v>
      </c>
      <c r="C50" s="22" t="str">
        <f t="shared" si="0"/>
        <v>DE_   Existing</v>
      </c>
      <c r="D50" s="29" t="s">
        <v>22</v>
      </c>
      <c r="E50" s="28"/>
      <c r="F50" s="32" t="s">
        <v>190</v>
      </c>
      <c r="G50" s="26">
        <v>0</v>
      </c>
      <c r="H50" s="26">
        <v>0</v>
      </c>
      <c r="I50" s="26">
        <v>0</v>
      </c>
      <c r="J50" s="26">
        <v>0</v>
      </c>
      <c r="K50" s="26">
        <v>0</v>
      </c>
      <c r="L50" s="26">
        <v>0</v>
      </c>
      <c r="M50" s="26">
        <v>0</v>
      </c>
      <c r="N50" s="26">
        <v>0</v>
      </c>
      <c r="O50" s="26">
        <v>0.01</v>
      </c>
      <c r="P50" s="26">
        <v>0.01</v>
      </c>
      <c r="Q50" s="26">
        <v>0.01</v>
      </c>
      <c r="R50" s="26">
        <v>0.01</v>
      </c>
      <c r="S50" s="26">
        <v>0.01</v>
      </c>
      <c r="T50" s="26">
        <v>0.01</v>
      </c>
      <c r="U50" s="26">
        <v>0.01</v>
      </c>
      <c r="V50" s="26">
        <v>0.01</v>
      </c>
      <c r="W50" s="26">
        <v>0.01</v>
      </c>
      <c r="X50" s="26">
        <v>0.01</v>
      </c>
      <c r="Y50" s="26">
        <v>0.01</v>
      </c>
      <c r="Z50" s="26">
        <v>0.01</v>
      </c>
      <c r="AA50" s="26">
        <v>0</v>
      </c>
      <c r="AB50" s="26">
        <v>0</v>
      </c>
      <c r="AC50" s="26">
        <v>0</v>
      </c>
      <c r="AD50" s="26">
        <v>0</v>
      </c>
      <c r="AE50" s="26">
        <v>0</v>
      </c>
      <c r="AF50" s="26">
        <v>0</v>
      </c>
      <c r="AG50" s="26">
        <v>0</v>
      </c>
      <c r="AH50" s="26">
        <v>0</v>
      </c>
      <c r="AI50" s="26">
        <v>0</v>
      </c>
      <c r="AJ50" s="26">
        <v>0</v>
      </c>
      <c r="AK50" s="26">
        <v>0</v>
      </c>
      <c r="AL50" s="26">
        <v>0</v>
      </c>
      <c r="AM50" s="26">
        <v>0</v>
      </c>
      <c r="AN50" s="26">
        <v>0</v>
      </c>
      <c r="AO50" s="26">
        <v>0</v>
      </c>
      <c r="AP50" s="26">
        <v>0</v>
      </c>
      <c r="AQ50" s="26">
        <v>0</v>
      </c>
      <c r="AR50" s="26">
        <v>0</v>
      </c>
      <c r="AS50" s="26">
        <v>0</v>
      </c>
      <c r="AT50" s="26">
        <v>0</v>
      </c>
      <c r="AU50" s="26">
        <v>0</v>
      </c>
      <c r="AV50" s="26">
        <v>0</v>
      </c>
      <c r="AW50" s="26">
        <v>0</v>
      </c>
      <c r="AX50" s="26">
        <v>0</v>
      </c>
      <c r="AY50" s="26">
        <v>0</v>
      </c>
      <c r="AZ50" s="26">
        <v>0</v>
      </c>
      <c r="BA50" s="26">
        <v>0</v>
      </c>
      <c r="BB50" s="26">
        <v>0</v>
      </c>
      <c r="BC50" s="26">
        <v>0</v>
      </c>
      <c r="BD50" s="26">
        <v>0</v>
      </c>
      <c r="BE50" s="26">
        <v>0</v>
      </c>
      <c r="BF50" s="11"/>
      <c r="BG50" s="11"/>
      <c r="BH50" s="11"/>
    </row>
    <row r="51" spans="2:60" x14ac:dyDescent="0.35">
      <c r="B51" s="22" t="b">
        <v>1</v>
      </c>
      <c r="C51" s="22" t="str">
        <f t="shared" si="0"/>
        <v>HI_Total RPS</v>
      </c>
      <c r="D51" s="33" t="s">
        <v>29</v>
      </c>
      <c r="E51" s="32" t="s">
        <v>191</v>
      </c>
      <c r="F51" s="25" t="s">
        <v>171</v>
      </c>
      <c r="G51" s="26">
        <v>0</v>
      </c>
      <c r="H51" s="26">
        <v>0</v>
      </c>
      <c r="I51" s="26">
        <v>0</v>
      </c>
      <c r="J51" s="26">
        <v>0</v>
      </c>
      <c r="K51" s="26">
        <v>0</v>
      </c>
      <c r="L51" s="26">
        <v>0.08</v>
      </c>
      <c r="M51" s="26">
        <v>0</v>
      </c>
      <c r="N51" s="26">
        <v>0</v>
      </c>
      <c r="O51" s="26">
        <v>0</v>
      </c>
      <c r="P51" s="26">
        <v>0</v>
      </c>
      <c r="Q51" s="26">
        <v>0.1</v>
      </c>
      <c r="R51" s="26">
        <v>0.1</v>
      </c>
      <c r="S51" s="26">
        <v>0.1</v>
      </c>
      <c r="T51" s="26">
        <v>0.1</v>
      </c>
      <c r="U51" s="26">
        <v>0.1</v>
      </c>
      <c r="V51" s="26">
        <v>0.15</v>
      </c>
      <c r="W51" s="26">
        <v>0.15</v>
      </c>
      <c r="X51" s="26">
        <v>0.15</v>
      </c>
      <c r="Y51" s="26">
        <v>0.15</v>
      </c>
      <c r="Z51" s="26">
        <v>0.15</v>
      </c>
      <c r="AA51" s="26">
        <v>0.3</v>
      </c>
      <c r="AB51" s="26">
        <v>0.3</v>
      </c>
      <c r="AC51" s="26">
        <v>0.3</v>
      </c>
      <c r="AD51" s="26">
        <v>0.3</v>
      </c>
      <c r="AE51" s="26">
        <v>0.3</v>
      </c>
      <c r="AF51" s="26">
        <v>0.3</v>
      </c>
      <c r="AG51" s="26">
        <v>0.3</v>
      </c>
      <c r="AH51" s="26">
        <v>0.3</v>
      </c>
      <c r="AI51" s="26">
        <v>0.3</v>
      </c>
      <c r="AJ51" s="26">
        <v>0.3</v>
      </c>
      <c r="AK51" s="26">
        <v>0.4</v>
      </c>
      <c r="AL51" s="26">
        <v>0.4</v>
      </c>
      <c r="AM51" s="26">
        <v>0.4</v>
      </c>
      <c r="AN51" s="26">
        <v>0.4</v>
      </c>
      <c r="AO51" s="26">
        <v>0.4</v>
      </c>
      <c r="AP51" s="26">
        <v>0.4</v>
      </c>
      <c r="AQ51" s="26">
        <v>0.4</v>
      </c>
      <c r="AR51" s="26">
        <v>0.4</v>
      </c>
      <c r="AS51" s="26">
        <v>0.4</v>
      </c>
      <c r="AT51" s="26">
        <v>0.4</v>
      </c>
      <c r="AU51" s="26">
        <v>0.7</v>
      </c>
      <c r="AV51" s="26">
        <v>0.7</v>
      </c>
      <c r="AW51" s="26">
        <v>0.7</v>
      </c>
      <c r="AX51" s="26">
        <v>0.7</v>
      </c>
      <c r="AY51" s="26">
        <v>0.7</v>
      </c>
      <c r="AZ51" s="26">
        <v>1</v>
      </c>
      <c r="BA51" s="26">
        <v>1</v>
      </c>
      <c r="BB51" s="26">
        <v>1</v>
      </c>
      <c r="BC51" s="26">
        <v>1</v>
      </c>
      <c r="BD51" s="26">
        <v>1</v>
      </c>
      <c r="BE51" s="26">
        <v>1</v>
      </c>
      <c r="BF51" s="11"/>
      <c r="BG51" s="11"/>
      <c r="BH51" s="11"/>
    </row>
    <row r="52" spans="2:60" x14ac:dyDescent="0.35">
      <c r="B52" s="22" t="b">
        <v>1</v>
      </c>
      <c r="C52" s="22" t="str">
        <f t="shared" si="0"/>
        <v>IA_Total RPS</v>
      </c>
      <c r="D52" s="33" t="s">
        <v>32</v>
      </c>
      <c r="E52" s="32" t="s">
        <v>192</v>
      </c>
      <c r="F52" s="25" t="s">
        <v>171</v>
      </c>
      <c r="G52" s="26">
        <v>0.01</v>
      </c>
      <c r="H52" s="26">
        <v>0.01</v>
      </c>
      <c r="I52" s="26">
        <v>9.5999999999999992E-3</v>
      </c>
      <c r="J52" s="26">
        <v>9.5999999999999992E-3</v>
      </c>
      <c r="K52" s="26">
        <v>9.7999999999999997E-3</v>
      </c>
      <c r="L52" s="26">
        <v>9.2999999999999992E-3</v>
      </c>
      <c r="M52" s="26">
        <v>9.1000000000000004E-3</v>
      </c>
      <c r="N52" s="26">
        <v>8.6999999999999994E-3</v>
      </c>
      <c r="O52" s="26">
        <v>8.6999999999999994E-3</v>
      </c>
      <c r="P52" s="26">
        <v>9.1999999999999998E-3</v>
      </c>
      <c r="Q52" s="26">
        <v>8.6999999999999994E-3</v>
      </c>
      <c r="R52" s="26">
        <v>8.6999999999999994E-3</v>
      </c>
      <c r="S52" s="26">
        <v>8.5000000000000006E-3</v>
      </c>
      <c r="T52" s="26">
        <v>8.3000000000000001E-3</v>
      </c>
      <c r="U52" s="26">
        <v>8.2000000000000007E-3</v>
      </c>
      <c r="V52" s="26">
        <v>8.2000000000000007E-3</v>
      </c>
      <c r="W52" s="26">
        <v>8.0000000000000002E-3</v>
      </c>
      <c r="X52" s="26">
        <v>7.9000000000000008E-3</v>
      </c>
      <c r="Y52" s="26">
        <v>7.4999999999999997E-3</v>
      </c>
      <c r="Z52" s="26">
        <v>7.7000000000000002E-3</v>
      </c>
      <c r="AA52" s="26">
        <v>6.7999999999999996E-3</v>
      </c>
      <c r="AB52" s="26">
        <v>6.4999999999999997E-3</v>
      </c>
      <c r="AC52" s="26">
        <v>6.3E-3</v>
      </c>
      <c r="AD52" s="26">
        <v>6.4000000000000003E-3</v>
      </c>
      <c r="AE52" s="26">
        <v>6.4000000000000003E-3</v>
      </c>
      <c r="AF52" s="26">
        <v>6.4000000000000003E-3</v>
      </c>
      <c r="AG52" s="26">
        <v>6.3E-3</v>
      </c>
      <c r="AH52" s="26">
        <v>6.3E-3</v>
      </c>
      <c r="AI52" s="26">
        <v>6.1999999999999998E-3</v>
      </c>
      <c r="AJ52" s="26">
        <v>6.1999999999999998E-3</v>
      </c>
      <c r="AK52" s="26">
        <v>6.1999999999999998E-3</v>
      </c>
      <c r="AL52" s="26">
        <v>6.1999999999999998E-3</v>
      </c>
      <c r="AM52" s="26">
        <v>6.1000000000000004E-3</v>
      </c>
      <c r="AN52" s="26">
        <v>6.1000000000000004E-3</v>
      </c>
      <c r="AO52" s="26">
        <v>6.1000000000000004E-3</v>
      </c>
      <c r="AP52" s="26">
        <v>6.0000000000000001E-3</v>
      </c>
      <c r="AQ52" s="26">
        <v>6.0000000000000001E-3</v>
      </c>
      <c r="AR52" s="26">
        <v>5.8999999999999999E-3</v>
      </c>
      <c r="AS52" s="26">
        <v>5.8999999999999999E-3</v>
      </c>
      <c r="AT52" s="26">
        <v>5.8999999999999999E-3</v>
      </c>
      <c r="AU52" s="26">
        <v>5.8999999999999999E-3</v>
      </c>
      <c r="AV52" s="26">
        <v>5.7999999999999996E-3</v>
      </c>
      <c r="AW52" s="26">
        <v>5.7999999999999996E-3</v>
      </c>
      <c r="AX52" s="26">
        <v>5.7999999999999996E-3</v>
      </c>
      <c r="AY52" s="26">
        <v>5.7000000000000002E-3</v>
      </c>
      <c r="AZ52" s="26">
        <v>5.7000000000000002E-3</v>
      </c>
      <c r="BA52" s="26">
        <v>5.7000000000000002E-3</v>
      </c>
      <c r="BB52" s="26">
        <v>5.5999999999999999E-3</v>
      </c>
      <c r="BC52" s="26">
        <v>5.5999999999999999E-3</v>
      </c>
      <c r="BD52" s="26">
        <v>5.4999999999999997E-3</v>
      </c>
      <c r="BE52" s="26">
        <v>5.4999999999999997E-3</v>
      </c>
      <c r="BF52" s="11"/>
      <c r="BG52" s="11"/>
      <c r="BH52" s="11"/>
    </row>
    <row r="53" spans="2:60" ht="12.75" customHeight="1" x14ac:dyDescent="0.35">
      <c r="B53" s="22" t="b">
        <v>1</v>
      </c>
      <c r="C53" s="22" t="str">
        <f t="shared" si="0"/>
        <v>IL_Total RPS</v>
      </c>
      <c r="D53" s="23" t="s">
        <v>36</v>
      </c>
      <c r="E53" s="24" t="s">
        <v>193</v>
      </c>
      <c r="F53" s="25" t="s">
        <v>171</v>
      </c>
      <c r="G53" s="26">
        <v>0</v>
      </c>
      <c r="H53" s="26">
        <v>0</v>
      </c>
      <c r="I53" s="26">
        <v>0</v>
      </c>
      <c r="J53" s="26">
        <v>0</v>
      </c>
      <c r="K53" s="26">
        <v>0</v>
      </c>
      <c r="L53" s="26">
        <v>0</v>
      </c>
      <c r="M53" s="26">
        <v>0</v>
      </c>
      <c r="N53" s="26">
        <v>0</v>
      </c>
      <c r="O53" s="26">
        <v>0</v>
      </c>
      <c r="P53" s="26">
        <v>0.02</v>
      </c>
      <c r="Q53" s="26">
        <v>0.04</v>
      </c>
      <c r="R53" s="26">
        <v>0.05</v>
      </c>
      <c r="S53" s="26">
        <v>0.06</v>
      </c>
      <c r="T53" s="26">
        <v>7.0000000000000007E-2</v>
      </c>
      <c r="U53" s="26">
        <v>0.08</v>
      </c>
      <c r="V53" s="26">
        <v>0.09</v>
      </c>
      <c r="W53" s="26">
        <v>0.1</v>
      </c>
      <c r="X53" s="26">
        <v>0.115</v>
      </c>
      <c r="Y53" s="26">
        <v>0.13</v>
      </c>
      <c r="Z53" s="26">
        <v>0.14499999999999999</v>
      </c>
      <c r="AA53" s="26">
        <v>0.16</v>
      </c>
      <c r="AB53" s="26">
        <v>0.17499999999999999</v>
      </c>
      <c r="AC53" s="26">
        <v>0.19</v>
      </c>
      <c r="AD53" s="26">
        <v>0.20499999999999999</v>
      </c>
      <c r="AE53" s="26">
        <v>0.22</v>
      </c>
      <c r="AF53" s="26">
        <v>0.23499999999999999</v>
      </c>
      <c r="AG53" s="26">
        <v>0.25</v>
      </c>
      <c r="AH53" s="26">
        <v>0.28000000000000003</v>
      </c>
      <c r="AI53" s="26">
        <v>0.31</v>
      </c>
      <c r="AJ53" s="26">
        <v>0.34</v>
      </c>
      <c r="AK53" s="26">
        <v>0.37</v>
      </c>
      <c r="AL53" s="26">
        <v>0.4</v>
      </c>
      <c r="AM53" s="26">
        <v>0.4</v>
      </c>
      <c r="AN53" s="26">
        <v>0.4</v>
      </c>
      <c r="AO53" s="26">
        <v>0.4</v>
      </c>
      <c r="AP53" s="26">
        <v>0.4</v>
      </c>
      <c r="AQ53" s="26">
        <v>0.4</v>
      </c>
      <c r="AR53" s="26">
        <v>0.4</v>
      </c>
      <c r="AS53" s="26">
        <v>0.4</v>
      </c>
      <c r="AT53" s="26">
        <v>0.4</v>
      </c>
      <c r="AU53" s="26">
        <v>0.4</v>
      </c>
      <c r="AV53" s="26">
        <v>0.5</v>
      </c>
      <c r="AW53" s="26">
        <v>0.5</v>
      </c>
      <c r="AX53" s="26">
        <v>0.5</v>
      </c>
      <c r="AY53" s="26">
        <v>0.5</v>
      </c>
      <c r="AZ53" s="26">
        <v>0.5</v>
      </c>
      <c r="BA53" s="26">
        <v>0.5</v>
      </c>
      <c r="BB53" s="26">
        <v>0.5</v>
      </c>
      <c r="BC53" s="26">
        <v>0.5</v>
      </c>
      <c r="BD53" s="26">
        <v>0.5</v>
      </c>
      <c r="BE53" s="26">
        <v>0.5</v>
      </c>
      <c r="BF53" s="11"/>
      <c r="BG53" s="11"/>
      <c r="BH53" s="11"/>
    </row>
    <row r="54" spans="2:60" x14ac:dyDescent="0.35">
      <c r="B54" s="22" t="b">
        <v>1</v>
      </c>
      <c r="C54" s="22" t="str">
        <f t="shared" si="0"/>
        <v>IL_   New Wind Requirement</v>
      </c>
      <c r="D54" s="29" t="s">
        <v>36</v>
      </c>
      <c r="E54" s="30"/>
      <c r="F54" s="32" t="s">
        <v>194</v>
      </c>
      <c r="G54" s="26">
        <v>0</v>
      </c>
      <c r="H54" s="26">
        <v>0</v>
      </c>
      <c r="I54" s="26">
        <v>0</v>
      </c>
      <c r="J54" s="26">
        <v>0</v>
      </c>
      <c r="K54" s="26">
        <v>0</v>
      </c>
      <c r="L54" s="26">
        <v>0</v>
      </c>
      <c r="M54" s="26">
        <v>0</v>
      </c>
      <c r="N54" s="26">
        <v>0</v>
      </c>
      <c r="O54" s="26">
        <v>0</v>
      </c>
      <c r="P54" s="26">
        <v>0</v>
      </c>
      <c r="Q54" s="26">
        <v>0</v>
      </c>
      <c r="R54" s="26">
        <v>0</v>
      </c>
      <c r="S54" s="26">
        <v>0</v>
      </c>
      <c r="T54" s="26">
        <v>0</v>
      </c>
      <c r="U54" s="26">
        <v>0</v>
      </c>
      <c r="V54" s="26">
        <v>0</v>
      </c>
      <c r="W54" s="26">
        <v>0</v>
      </c>
      <c r="X54" s="26">
        <v>0</v>
      </c>
      <c r="Y54" s="26">
        <v>0</v>
      </c>
      <c r="Z54" s="26">
        <v>0</v>
      </c>
      <c r="AA54" s="26">
        <v>0</v>
      </c>
      <c r="AB54" s="26">
        <v>1.6299999999999999E-2</v>
      </c>
      <c r="AC54" s="26">
        <v>3.5700000000000003E-2</v>
      </c>
      <c r="AD54" s="26">
        <v>4.9500000000000002E-2</v>
      </c>
      <c r="AE54" s="26">
        <v>6.3700000000000007E-2</v>
      </c>
      <c r="AF54" s="26">
        <v>7.7399999999999997E-2</v>
      </c>
      <c r="AG54" s="26">
        <v>9.0899999999999995E-2</v>
      </c>
      <c r="AH54" s="26">
        <v>0.104</v>
      </c>
      <c r="AI54" s="26">
        <v>0.1169</v>
      </c>
      <c r="AJ54" s="26">
        <v>0.1298</v>
      </c>
      <c r="AK54" s="26">
        <v>0.1429</v>
      </c>
      <c r="AL54" s="26">
        <v>0.15570000000000001</v>
      </c>
      <c r="AM54" s="26">
        <v>0.1552</v>
      </c>
      <c r="AN54" s="26">
        <v>0.1545</v>
      </c>
      <c r="AO54" s="26">
        <v>0.154</v>
      </c>
      <c r="AP54" s="26">
        <v>0.1535</v>
      </c>
      <c r="AQ54" s="26">
        <v>0.1527</v>
      </c>
      <c r="AR54" s="26">
        <v>0.15210000000000001</v>
      </c>
      <c r="AS54" s="26">
        <v>0.1515</v>
      </c>
      <c r="AT54" s="26">
        <v>0.151</v>
      </c>
      <c r="AU54" s="26">
        <v>0.15060000000000001</v>
      </c>
      <c r="AV54" s="26">
        <v>0.1502</v>
      </c>
      <c r="AW54" s="26">
        <v>0.1497</v>
      </c>
      <c r="AX54" s="26">
        <v>0.14899999999999999</v>
      </c>
      <c r="AY54" s="26">
        <v>0.14829999999999999</v>
      </c>
      <c r="AZ54" s="26">
        <v>0.14760000000000001</v>
      </c>
      <c r="BA54" s="26">
        <v>0.1469</v>
      </c>
      <c r="BB54" s="26">
        <v>0.14610000000000001</v>
      </c>
      <c r="BC54" s="26">
        <v>0.14510000000000001</v>
      </c>
      <c r="BD54" s="26">
        <v>0.14430000000000001</v>
      </c>
      <c r="BE54" s="26">
        <v>0.1434</v>
      </c>
      <c r="BF54" s="11"/>
      <c r="BG54" s="11"/>
      <c r="BH54" s="11"/>
    </row>
    <row r="55" spans="2:60" x14ac:dyDescent="0.35">
      <c r="B55" s="22" t="b">
        <v>1</v>
      </c>
      <c r="C55" s="22" t="str">
        <f t="shared" si="0"/>
        <v>IL_   New Solar Requirement (total)</v>
      </c>
      <c r="D55" s="29" t="s">
        <v>36</v>
      </c>
      <c r="E55" s="30"/>
      <c r="F55" s="32" t="s">
        <v>195</v>
      </c>
      <c r="G55" s="26">
        <v>0</v>
      </c>
      <c r="H55" s="26">
        <v>0</v>
      </c>
      <c r="I55" s="26">
        <v>0</v>
      </c>
      <c r="J55" s="26">
        <v>0</v>
      </c>
      <c r="K55" s="26">
        <v>0</v>
      </c>
      <c r="L55" s="26">
        <v>0</v>
      </c>
      <c r="M55" s="26">
        <v>0</v>
      </c>
      <c r="N55" s="26">
        <v>0</v>
      </c>
      <c r="O55" s="26">
        <v>0</v>
      </c>
      <c r="P55" s="26">
        <v>0</v>
      </c>
      <c r="Q55" s="26">
        <v>0</v>
      </c>
      <c r="R55" s="26">
        <v>0</v>
      </c>
      <c r="S55" s="26">
        <v>0</v>
      </c>
      <c r="T55" s="26">
        <v>0</v>
      </c>
      <c r="U55" s="26">
        <v>0</v>
      </c>
      <c r="V55" s="26">
        <v>0</v>
      </c>
      <c r="W55" s="26">
        <v>0</v>
      </c>
      <c r="X55" s="26">
        <v>0</v>
      </c>
      <c r="Y55" s="26">
        <v>0</v>
      </c>
      <c r="Z55" s="26">
        <v>0</v>
      </c>
      <c r="AA55" s="26">
        <v>0</v>
      </c>
      <c r="AB55" s="26">
        <v>1.6299999999999999E-2</v>
      </c>
      <c r="AC55" s="26">
        <v>4.36E-2</v>
      </c>
      <c r="AD55" s="26">
        <v>6.0499999999999998E-2</v>
      </c>
      <c r="AE55" s="26">
        <v>7.7899999999999997E-2</v>
      </c>
      <c r="AF55" s="26">
        <v>9.4600000000000004E-2</v>
      </c>
      <c r="AG55" s="26">
        <v>0.1111</v>
      </c>
      <c r="AH55" s="26">
        <v>0.12709999999999999</v>
      </c>
      <c r="AI55" s="26">
        <v>0.1429</v>
      </c>
      <c r="AJ55" s="26">
        <v>0.15870000000000001</v>
      </c>
      <c r="AK55" s="26">
        <v>0.17460000000000001</v>
      </c>
      <c r="AL55" s="26">
        <v>0.1903</v>
      </c>
      <c r="AM55" s="26">
        <v>0.18970000000000001</v>
      </c>
      <c r="AN55" s="26">
        <v>0.1888</v>
      </c>
      <c r="AO55" s="26">
        <v>0.18820000000000001</v>
      </c>
      <c r="AP55" s="26">
        <v>0.18759999999999999</v>
      </c>
      <c r="AQ55" s="26">
        <v>0.1867</v>
      </c>
      <c r="AR55" s="26">
        <v>0.18590000000000001</v>
      </c>
      <c r="AS55" s="26">
        <v>0.1852</v>
      </c>
      <c r="AT55" s="26">
        <v>0.1845</v>
      </c>
      <c r="AU55" s="26">
        <v>0.18410000000000001</v>
      </c>
      <c r="AV55" s="26">
        <v>0.18360000000000001</v>
      </c>
      <c r="AW55" s="26">
        <v>0.18290000000000001</v>
      </c>
      <c r="AX55" s="26">
        <v>0.1822</v>
      </c>
      <c r="AY55" s="26">
        <v>0.18129999999999999</v>
      </c>
      <c r="AZ55" s="26">
        <v>0.18049999999999999</v>
      </c>
      <c r="BA55" s="26">
        <v>0.17960000000000001</v>
      </c>
      <c r="BB55" s="26">
        <v>0.17860000000000001</v>
      </c>
      <c r="BC55" s="26">
        <v>0.1774</v>
      </c>
      <c r="BD55" s="26">
        <v>0.1764</v>
      </c>
      <c r="BE55" s="26">
        <v>0.17530000000000001</v>
      </c>
      <c r="BF55" s="11"/>
      <c r="BG55" s="11"/>
      <c r="BH55" s="11"/>
    </row>
    <row r="56" spans="2:60" x14ac:dyDescent="0.35">
      <c r="B56" s="22" t="b">
        <v>1</v>
      </c>
      <c r="C56" s="22" t="str">
        <f t="shared" si="0"/>
        <v>IL_   New Solar Requirement (DG portion)</v>
      </c>
      <c r="D56" s="29" t="s">
        <v>36</v>
      </c>
      <c r="E56" s="30"/>
      <c r="F56" s="32" t="s">
        <v>196</v>
      </c>
      <c r="G56" s="26">
        <v>0</v>
      </c>
      <c r="H56" s="26">
        <v>0</v>
      </c>
      <c r="I56" s="26">
        <v>0</v>
      </c>
      <c r="J56" s="26">
        <v>0</v>
      </c>
      <c r="K56" s="26">
        <v>0</v>
      </c>
      <c r="L56" s="26">
        <v>0</v>
      </c>
      <c r="M56" s="26">
        <v>0</v>
      </c>
      <c r="N56" s="26">
        <v>0</v>
      </c>
      <c r="O56" s="26">
        <v>0</v>
      </c>
      <c r="P56" s="26">
        <v>0</v>
      </c>
      <c r="Q56" s="26">
        <v>0</v>
      </c>
      <c r="R56" s="26">
        <v>0</v>
      </c>
      <c r="S56" s="26">
        <v>0</v>
      </c>
      <c r="T56" s="26">
        <v>0</v>
      </c>
      <c r="U56" s="26">
        <v>0</v>
      </c>
      <c r="V56" s="26">
        <v>0</v>
      </c>
      <c r="W56" s="26">
        <v>0</v>
      </c>
      <c r="X56" s="26">
        <v>0</v>
      </c>
      <c r="Y56" s="26">
        <v>0</v>
      </c>
      <c r="Z56" s="26">
        <v>0</v>
      </c>
      <c r="AA56" s="26">
        <v>0</v>
      </c>
      <c r="AB56" s="26">
        <v>8.0999999999999996E-3</v>
      </c>
      <c r="AC56" s="26">
        <v>2.18E-2</v>
      </c>
      <c r="AD56" s="26">
        <v>3.0300000000000001E-2</v>
      </c>
      <c r="AE56" s="26">
        <v>3.8899999999999997E-2</v>
      </c>
      <c r="AF56" s="26">
        <v>4.7300000000000002E-2</v>
      </c>
      <c r="AG56" s="26">
        <v>5.5500000000000001E-2</v>
      </c>
      <c r="AH56" s="26">
        <v>6.3600000000000004E-2</v>
      </c>
      <c r="AI56" s="26">
        <v>7.1400000000000005E-2</v>
      </c>
      <c r="AJ56" s="26">
        <v>7.9299999999999995E-2</v>
      </c>
      <c r="AK56" s="26">
        <v>8.7300000000000003E-2</v>
      </c>
      <c r="AL56" s="26">
        <v>9.5200000000000007E-2</v>
      </c>
      <c r="AM56" s="26">
        <v>9.4799999999999995E-2</v>
      </c>
      <c r="AN56" s="26">
        <v>9.4399999999999998E-2</v>
      </c>
      <c r="AO56" s="26">
        <v>9.4100000000000003E-2</v>
      </c>
      <c r="AP56" s="26">
        <v>9.3799999999999994E-2</v>
      </c>
      <c r="AQ56" s="26">
        <v>9.3299999999999994E-2</v>
      </c>
      <c r="AR56" s="26">
        <v>9.2999999999999999E-2</v>
      </c>
      <c r="AS56" s="26">
        <v>9.2600000000000002E-2</v>
      </c>
      <c r="AT56" s="26">
        <v>9.2299999999999993E-2</v>
      </c>
      <c r="AU56" s="26">
        <v>9.1999999999999998E-2</v>
      </c>
      <c r="AV56" s="26">
        <v>9.1800000000000007E-2</v>
      </c>
      <c r="AW56" s="26">
        <v>9.1499999999999998E-2</v>
      </c>
      <c r="AX56" s="26">
        <v>9.11E-2</v>
      </c>
      <c r="AY56" s="26">
        <v>9.06E-2</v>
      </c>
      <c r="AZ56" s="26">
        <v>9.0200000000000002E-2</v>
      </c>
      <c r="BA56" s="26">
        <v>8.9800000000000005E-2</v>
      </c>
      <c r="BB56" s="26">
        <v>8.9300000000000004E-2</v>
      </c>
      <c r="BC56" s="26">
        <v>8.8700000000000001E-2</v>
      </c>
      <c r="BD56" s="26">
        <v>8.8200000000000001E-2</v>
      </c>
      <c r="BE56" s="26">
        <v>8.77E-2</v>
      </c>
      <c r="BF56" s="11"/>
      <c r="BG56" s="11"/>
      <c r="BH56" s="11"/>
    </row>
    <row r="57" spans="2:60" x14ac:dyDescent="0.35">
      <c r="B57" s="22" t="b">
        <v>1</v>
      </c>
      <c r="C57" s="22" t="str">
        <f t="shared" si="0"/>
        <v>IL_Total CES</v>
      </c>
      <c r="D57" s="29" t="s">
        <v>36</v>
      </c>
      <c r="E57" s="28"/>
      <c r="F57" s="25" t="s">
        <v>174</v>
      </c>
      <c r="G57" s="26">
        <v>0</v>
      </c>
      <c r="H57" s="26">
        <v>0</v>
      </c>
      <c r="I57" s="26">
        <v>0</v>
      </c>
      <c r="J57" s="26">
        <v>0</v>
      </c>
      <c r="K57" s="26">
        <v>0</v>
      </c>
      <c r="L57" s="26">
        <v>0</v>
      </c>
      <c r="M57" s="26">
        <v>0</v>
      </c>
      <c r="N57" s="26">
        <v>0</v>
      </c>
      <c r="O57" s="26">
        <v>0</v>
      </c>
      <c r="P57" s="26">
        <v>0</v>
      </c>
      <c r="Q57" s="26">
        <v>0</v>
      </c>
      <c r="R57" s="26">
        <v>0</v>
      </c>
      <c r="S57" s="26">
        <v>0</v>
      </c>
      <c r="T57" s="26">
        <v>0</v>
      </c>
      <c r="U57" s="26">
        <v>0</v>
      </c>
      <c r="V57" s="26">
        <v>0</v>
      </c>
      <c r="W57" s="26">
        <v>0</v>
      </c>
      <c r="X57" s="26">
        <v>0</v>
      </c>
      <c r="Y57" s="26">
        <v>0</v>
      </c>
      <c r="Z57" s="26">
        <v>0</v>
      </c>
      <c r="AA57" s="26">
        <v>0</v>
      </c>
      <c r="AB57" s="26">
        <v>0</v>
      </c>
      <c r="AC57" s="26">
        <v>0</v>
      </c>
      <c r="AD57" s="26">
        <v>0</v>
      </c>
      <c r="AE57" s="26">
        <v>0</v>
      </c>
      <c r="AF57" s="26">
        <v>0</v>
      </c>
      <c r="AG57" s="26">
        <v>0</v>
      </c>
      <c r="AH57" s="26">
        <v>0</v>
      </c>
      <c r="AI57" s="26">
        <v>0</v>
      </c>
      <c r="AJ57" s="26">
        <v>0</v>
      </c>
      <c r="AK57" s="26">
        <v>0</v>
      </c>
      <c r="AL57" s="26">
        <v>0</v>
      </c>
      <c r="AM57" s="26">
        <v>0</v>
      </c>
      <c r="AN57" s="26">
        <v>0</v>
      </c>
      <c r="AO57" s="26">
        <v>0</v>
      </c>
      <c r="AP57" s="26">
        <v>0</v>
      </c>
      <c r="AQ57" s="26">
        <v>0</v>
      </c>
      <c r="AR57" s="26">
        <v>0</v>
      </c>
      <c r="AS57" s="26">
        <v>0</v>
      </c>
      <c r="AT57" s="26">
        <v>0</v>
      </c>
      <c r="AU57" s="26">
        <v>0</v>
      </c>
      <c r="AV57" s="26">
        <v>0</v>
      </c>
      <c r="AW57" s="26">
        <v>0</v>
      </c>
      <c r="AX57" s="26">
        <v>0</v>
      </c>
      <c r="AY57" s="26">
        <v>0</v>
      </c>
      <c r="AZ57" s="31">
        <v>0</v>
      </c>
      <c r="BA57" s="31">
        <v>0</v>
      </c>
      <c r="BB57" s="31">
        <v>0</v>
      </c>
      <c r="BC57" s="31">
        <v>0</v>
      </c>
      <c r="BD57" s="31">
        <v>0</v>
      </c>
      <c r="BE57" s="26">
        <v>1</v>
      </c>
      <c r="BF57" s="11"/>
      <c r="BG57" s="11"/>
      <c r="BH57" s="11"/>
    </row>
    <row r="58" spans="2:60" x14ac:dyDescent="0.35">
      <c r="B58" s="22" t="b">
        <v>1</v>
      </c>
      <c r="C58" s="22" t="str">
        <f t="shared" ref="C58:C89" si="1">D58&amp;"_"&amp;F58</f>
        <v>KS_Total RPS</v>
      </c>
      <c r="D58" s="34" t="s">
        <v>39</v>
      </c>
      <c r="E58" s="35" t="s">
        <v>197</v>
      </c>
      <c r="F58" s="25" t="s">
        <v>171</v>
      </c>
      <c r="G58" s="26">
        <v>0</v>
      </c>
      <c r="H58" s="26">
        <v>0</v>
      </c>
      <c r="I58" s="26">
        <v>0</v>
      </c>
      <c r="J58" s="26">
        <v>0</v>
      </c>
      <c r="K58" s="26">
        <v>0</v>
      </c>
      <c r="L58" s="26">
        <v>0</v>
      </c>
      <c r="M58" s="26">
        <v>0</v>
      </c>
      <c r="N58" s="26">
        <v>0</v>
      </c>
      <c r="O58" s="26">
        <v>0</v>
      </c>
      <c r="P58" s="26">
        <v>0</v>
      </c>
      <c r="Q58" s="26">
        <v>0</v>
      </c>
      <c r="R58" s="26">
        <v>7.0400000000000004E-2</v>
      </c>
      <c r="S58" s="26">
        <v>7.2099999999999997E-2</v>
      </c>
      <c r="T58" s="26">
        <v>7.4300000000000005E-2</v>
      </c>
      <c r="U58" s="26">
        <v>7.2599999999999998E-2</v>
      </c>
      <c r="V58" s="26">
        <v>0</v>
      </c>
      <c r="W58" s="26">
        <v>0</v>
      </c>
      <c r="X58" s="26">
        <v>0</v>
      </c>
      <c r="Y58" s="26">
        <v>0</v>
      </c>
      <c r="Z58" s="26">
        <v>0</v>
      </c>
      <c r="AA58" s="26">
        <v>0</v>
      </c>
      <c r="AB58" s="26">
        <v>0</v>
      </c>
      <c r="AC58" s="26">
        <v>0</v>
      </c>
      <c r="AD58" s="26">
        <v>0</v>
      </c>
      <c r="AE58" s="26">
        <v>0</v>
      </c>
      <c r="AF58" s="26">
        <v>0</v>
      </c>
      <c r="AG58" s="26">
        <v>0</v>
      </c>
      <c r="AH58" s="26">
        <v>0</v>
      </c>
      <c r="AI58" s="26">
        <v>0</v>
      </c>
      <c r="AJ58" s="26">
        <v>0</v>
      </c>
      <c r="AK58" s="26">
        <v>0</v>
      </c>
      <c r="AL58" s="26">
        <v>0</v>
      </c>
      <c r="AM58" s="26">
        <v>0</v>
      </c>
      <c r="AN58" s="26">
        <v>0</v>
      </c>
      <c r="AO58" s="26">
        <v>0</v>
      </c>
      <c r="AP58" s="26">
        <v>0</v>
      </c>
      <c r="AQ58" s="26">
        <v>0</v>
      </c>
      <c r="AR58" s="26">
        <v>0</v>
      </c>
      <c r="AS58" s="26">
        <v>0</v>
      </c>
      <c r="AT58" s="26">
        <v>0</v>
      </c>
      <c r="AU58" s="26">
        <v>0</v>
      </c>
      <c r="AV58" s="26">
        <v>0</v>
      </c>
      <c r="AW58" s="26">
        <v>0</v>
      </c>
      <c r="AX58" s="26">
        <v>0</v>
      </c>
      <c r="AY58" s="26">
        <v>0</v>
      </c>
      <c r="AZ58" s="26">
        <v>0</v>
      </c>
      <c r="BA58" s="26">
        <v>0</v>
      </c>
      <c r="BB58" s="26">
        <v>0</v>
      </c>
      <c r="BC58" s="26">
        <v>0</v>
      </c>
      <c r="BD58" s="26">
        <v>0</v>
      </c>
      <c r="BE58" s="26">
        <v>0</v>
      </c>
      <c r="BF58" s="11"/>
      <c r="BG58" s="11"/>
      <c r="BH58" s="11"/>
    </row>
    <row r="59" spans="2:60" ht="12.75" customHeight="1" x14ac:dyDescent="0.35">
      <c r="B59" s="22" t="b">
        <v>1</v>
      </c>
      <c r="C59" s="22" t="str">
        <f t="shared" si="1"/>
        <v>MA_Total RPS</v>
      </c>
      <c r="D59" s="23" t="s">
        <v>43</v>
      </c>
      <c r="E59" s="24" t="s">
        <v>198</v>
      </c>
      <c r="F59" s="25" t="s">
        <v>171</v>
      </c>
      <c r="G59" s="26">
        <v>0</v>
      </c>
      <c r="H59" s="26">
        <v>0</v>
      </c>
      <c r="I59" s="26">
        <v>0</v>
      </c>
      <c r="J59" s="26">
        <v>0.01</v>
      </c>
      <c r="K59" s="26">
        <v>1.4999999999999999E-2</v>
      </c>
      <c r="L59" s="26">
        <v>0.02</v>
      </c>
      <c r="M59" s="26">
        <v>2.5000000000000001E-2</v>
      </c>
      <c r="N59" s="26">
        <v>0.03</v>
      </c>
      <c r="O59" s="26">
        <v>3.5000000000000003E-2</v>
      </c>
      <c r="P59" s="26">
        <v>0.111</v>
      </c>
      <c r="Q59" s="26">
        <v>0.121</v>
      </c>
      <c r="R59" s="26">
        <v>0.13100000000000001</v>
      </c>
      <c r="S59" s="26">
        <v>0.14099999999999999</v>
      </c>
      <c r="T59" s="26">
        <v>0.13</v>
      </c>
      <c r="U59" s="26">
        <v>0.14249999999999999</v>
      </c>
      <c r="V59" s="26">
        <v>0.155</v>
      </c>
      <c r="W59" s="26">
        <v>0.17030000000000001</v>
      </c>
      <c r="X59" s="26">
        <v>0.18090000000000001</v>
      </c>
      <c r="Y59" s="26">
        <v>0.19120000000000001</v>
      </c>
      <c r="Z59" s="26">
        <v>0.2019</v>
      </c>
      <c r="AA59" s="26">
        <v>0.2271</v>
      </c>
      <c r="AB59" s="26">
        <v>0.25259999999999999</v>
      </c>
      <c r="AC59" s="26">
        <v>0.27260000000000001</v>
      </c>
      <c r="AD59" s="26">
        <v>0.29299999999999998</v>
      </c>
      <c r="AE59" s="26">
        <v>0.31169999999999998</v>
      </c>
      <c r="AF59" s="26">
        <v>0.34300000000000003</v>
      </c>
      <c r="AG59" s="26">
        <v>0.371</v>
      </c>
      <c r="AH59" s="26">
        <v>0.40100000000000002</v>
      </c>
      <c r="AI59" s="26">
        <v>0.43099999999999999</v>
      </c>
      <c r="AJ59" s="26">
        <v>0.46100000000000002</v>
      </c>
      <c r="AK59" s="26">
        <v>0.47099999999999997</v>
      </c>
      <c r="AL59" s="26">
        <v>0.48099999999999998</v>
      </c>
      <c r="AM59" s="26">
        <v>0.49099999999999999</v>
      </c>
      <c r="AN59" s="26">
        <v>0.501</v>
      </c>
      <c r="AO59" s="26">
        <v>0.51100000000000001</v>
      </c>
      <c r="AP59" s="26">
        <v>0.52100000000000002</v>
      </c>
      <c r="AQ59" s="26">
        <v>0.53100000000000003</v>
      </c>
      <c r="AR59" s="26">
        <v>0.54100000000000004</v>
      </c>
      <c r="AS59" s="26">
        <v>0.55100000000000005</v>
      </c>
      <c r="AT59" s="26">
        <v>0.56100000000000005</v>
      </c>
      <c r="AU59" s="26">
        <v>0.57099999999999995</v>
      </c>
      <c r="AV59" s="26">
        <v>0.58099999999999996</v>
      </c>
      <c r="AW59" s="26">
        <v>0.59099999999999997</v>
      </c>
      <c r="AX59" s="26">
        <v>0.60099999999999998</v>
      </c>
      <c r="AY59" s="26">
        <v>0.61099999999999999</v>
      </c>
      <c r="AZ59" s="26">
        <v>0.621</v>
      </c>
      <c r="BA59" s="26">
        <v>0.63100000000000001</v>
      </c>
      <c r="BB59" s="26">
        <v>0.64100000000000001</v>
      </c>
      <c r="BC59" s="26">
        <v>0.65100000000000002</v>
      </c>
      <c r="BD59" s="26">
        <v>0.66100000000000003</v>
      </c>
      <c r="BE59" s="26">
        <v>0.67100000000000004</v>
      </c>
      <c r="BF59" s="11"/>
      <c r="BG59" s="11"/>
      <c r="BH59" s="11"/>
    </row>
    <row r="60" spans="2:60" x14ac:dyDescent="0.35">
      <c r="B60" s="22" t="b">
        <v>1</v>
      </c>
      <c r="C60" s="22" t="str">
        <f t="shared" si="1"/>
        <v>MA_   Class I (Solar Carve-Out)</v>
      </c>
      <c r="D60" s="29" t="s">
        <v>43</v>
      </c>
      <c r="E60" s="30"/>
      <c r="F60" s="32" t="s">
        <v>199</v>
      </c>
      <c r="G60" s="26">
        <v>0</v>
      </c>
      <c r="H60" s="26">
        <v>0</v>
      </c>
      <c r="I60" s="26">
        <v>0</v>
      </c>
      <c r="J60" s="26">
        <v>0</v>
      </c>
      <c r="K60" s="26">
        <v>0</v>
      </c>
      <c r="L60" s="26">
        <v>0</v>
      </c>
      <c r="M60" s="26">
        <v>0</v>
      </c>
      <c r="N60" s="26">
        <v>0</v>
      </c>
      <c r="O60" s="26">
        <v>0</v>
      </c>
      <c r="P60" s="26">
        <v>0</v>
      </c>
      <c r="Q60" s="26">
        <v>6.9999999999999999E-4</v>
      </c>
      <c r="R60" s="26">
        <v>1.6999999999999999E-3</v>
      </c>
      <c r="S60" s="26">
        <v>1.6999999999999999E-3</v>
      </c>
      <c r="T60" s="26">
        <v>4.0000000000000001E-3</v>
      </c>
      <c r="U60" s="26">
        <v>1.0800000000000001E-2</v>
      </c>
      <c r="V60" s="26">
        <v>2.5999999999999999E-2</v>
      </c>
      <c r="W60" s="26">
        <v>2.7300000000000001E-2</v>
      </c>
      <c r="X60" s="26">
        <v>5.0900000000000001E-2</v>
      </c>
      <c r="Y60" s="26">
        <v>6.5000000000000002E-2</v>
      </c>
      <c r="Z60" s="26">
        <v>7.0800000000000002E-2</v>
      </c>
      <c r="AA60" s="26">
        <v>7.8899999999999998E-2</v>
      </c>
      <c r="AB60" s="26">
        <v>8.9599999999999999E-2</v>
      </c>
      <c r="AC60" s="26">
        <v>9.5899999999999999E-2</v>
      </c>
      <c r="AD60" s="26">
        <v>0.1124</v>
      </c>
      <c r="AE60" s="26">
        <v>0.10440000000000001</v>
      </c>
      <c r="AF60" s="26">
        <v>0.11310000000000001</v>
      </c>
      <c r="AG60" s="26">
        <v>0.1207</v>
      </c>
      <c r="AH60" s="26">
        <v>0.12859999999999999</v>
      </c>
      <c r="AI60" s="26">
        <v>0.13600000000000001</v>
      </c>
      <c r="AJ60" s="26">
        <v>0.14169999999999999</v>
      </c>
      <c r="AK60" s="26">
        <v>0.14069999999999999</v>
      </c>
      <c r="AL60" s="26">
        <v>0.1396</v>
      </c>
      <c r="AM60" s="26">
        <v>0.13850000000000001</v>
      </c>
      <c r="AN60" s="26">
        <v>0.13719999999999999</v>
      </c>
      <c r="AO60" s="26">
        <v>0.13669999999999999</v>
      </c>
      <c r="AP60" s="26">
        <v>0.13500000000000001</v>
      </c>
      <c r="AQ60" s="26">
        <v>0.1343</v>
      </c>
      <c r="AR60" s="26">
        <v>0.13300000000000001</v>
      </c>
      <c r="AS60" s="26">
        <v>0.13200000000000001</v>
      </c>
      <c r="AT60" s="26">
        <v>0.1308</v>
      </c>
      <c r="AU60" s="26">
        <v>0.12959999999999999</v>
      </c>
      <c r="AV60" s="26">
        <v>0.1285</v>
      </c>
      <c r="AW60" s="26">
        <v>0.12720000000000001</v>
      </c>
      <c r="AX60" s="26">
        <v>0.12590000000000001</v>
      </c>
      <c r="AY60" s="26">
        <v>0.1245</v>
      </c>
      <c r="AZ60" s="26">
        <v>0.1232</v>
      </c>
      <c r="BA60" s="26">
        <v>0.1221</v>
      </c>
      <c r="BB60" s="26">
        <v>0.1208</v>
      </c>
      <c r="BC60" s="26">
        <v>0.1197</v>
      </c>
      <c r="BD60" s="26">
        <v>0.1183</v>
      </c>
      <c r="BE60" s="26">
        <v>0.1169</v>
      </c>
      <c r="BF60" s="11"/>
      <c r="BG60" s="11"/>
      <c r="BH60" s="11"/>
    </row>
    <row r="61" spans="2:60" x14ac:dyDescent="0.35">
      <c r="B61" s="22" t="b">
        <v>1</v>
      </c>
      <c r="C61" s="22" t="str">
        <f t="shared" si="1"/>
        <v>MA_   Class I (Non-Solar)</v>
      </c>
      <c r="D61" s="29" t="s">
        <v>43</v>
      </c>
      <c r="E61" s="30"/>
      <c r="F61" s="32" t="s">
        <v>200</v>
      </c>
      <c r="G61" s="26">
        <v>0</v>
      </c>
      <c r="H61" s="26">
        <v>0</v>
      </c>
      <c r="I61" s="26">
        <v>0</v>
      </c>
      <c r="J61" s="26">
        <v>0.01</v>
      </c>
      <c r="K61" s="26">
        <v>1.4999999999999999E-2</v>
      </c>
      <c r="L61" s="26">
        <v>0.02</v>
      </c>
      <c r="M61" s="26">
        <v>2.5000000000000001E-2</v>
      </c>
      <c r="N61" s="26">
        <v>0.03</v>
      </c>
      <c r="O61" s="26">
        <v>3.5000000000000003E-2</v>
      </c>
      <c r="P61" s="26">
        <v>0.04</v>
      </c>
      <c r="Q61" s="26">
        <v>4.9299999999999997E-2</v>
      </c>
      <c r="R61" s="26">
        <v>5.8299999999999998E-2</v>
      </c>
      <c r="S61" s="26">
        <v>6.83E-2</v>
      </c>
      <c r="T61" s="26">
        <v>7.5999999999999998E-2</v>
      </c>
      <c r="U61" s="26">
        <v>7.9200000000000007E-2</v>
      </c>
      <c r="V61" s="26">
        <v>7.3999999999999996E-2</v>
      </c>
      <c r="W61" s="26">
        <v>8.2699999999999996E-2</v>
      </c>
      <c r="X61" s="26">
        <v>6.9099999999999995E-2</v>
      </c>
      <c r="Y61" s="26">
        <v>6.5000000000000002E-2</v>
      </c>
      <c r="Z61" s="26">
        <v>6.9199999999999998E-2</v>
      </c>
      <c r="AA61" s="26">
        <v>8.1100000000000005E-2</v>
      </c>
      <c r="AB61" s="26">
        <v>9.0399999999999994E-2</v>
      </c>
      <c r="AC61" s="26">
        <v>0.1041</v>
      </c>
      <c r="AD61" s="26">
        <v>0.1076</v>
      </c>
      <c r="AE61" s="26">
        <v>0.1356</v>
      </c>
      <c r="AF61" s="26">
        <v>0.15690000000000001</v>
      </c>
      <c r="AG61" s="26">
        <v>0.17929999999999999</v>
      </c>
      <c r="AH61" s="26">
        <v>0.2014</v>
      </c>
      <c r="AI61" s="26">
        <v>0.224</v>
      </c>
      <c r="AJ61" s="26">
        <v>0.24829999999999999</v>
      </c>
      <c r="AK61" s="26">
        <v>0.25929999999999997</v>
      </c>
      <c r="AL61" s="26">
        <v>0.27039999999999997</v>
      </c>
      <c r="AM61" s="26">
        <v>0.28149999999999997</v>
      </c>
      <c r="AN61" s="26">
        <v>0.2928</v>
      </c>
      <c r="AO61" s="26">
        <v>0.30330000000000001</v>
      </c>
      <c r="AP61" s="26">
        <v>0.315</v>
      </c>
      <c r="AQ61" s="26">
        <v>0.32569999999999999</v>
      </c>
      <c r="AR61" s="26">
        <v>0.33700000000000002</v>
      </c>
      <c r="AS61" s="26">
        <v>0.34799999999999998</v>
      </c>
      <c r="AT61" s="26">
        <v>0.35920000000000002</v>
      </c>
      <c r="AU61" s="26">
        <v>0.37040000000000001</v>
      </c>
      <c r="AV61" s="26">
        <v>0.38150000000000001</v>
      </c>
      <c r="AW61" s="26">
        <v>0.39279999999999998</v>
      </c>
      <c r="AX61" s="26">
        <v>0.40410000000000001</v>
      </c>
      <c r="AY61" s="26">
        <v>0.41549999999999998</v>
      </c>
      <c r="AZ61" s="26">
        <v>0.42680000000000001</v>
      </c>
      <c r="BA61" s="26">
        <v>0.43790000000000001</v>
      </c>
      <c r="BB61" s="26">
        <v>0.44919999999999999</v>
      </c>
      <c r="BC61" s="26">
        <v>0.46029999999999999</v>
      </c>
      <c r="BD61" s="26">
        <v>0.47170000000000001</v>
      </c>
      <c r="BE61" s="26">
        <v>0.48309999999999997</v>
      </c>
      <c r="BF61" s="11"/>
      <c r="BG61" s="11"/>
      <c r="BH61" s="11"/>
    </row>
    <row r="62" spans="2:60" x14ac:dyDescent="0.35">
      <c r="B62" s="22" t="b">
        <v>1</v>
      </c>
      <c r="C62" s="22" t="str">
        <f t="shared" si="1"/>
        <v>MA_   Class II Existing RE</v>
      </c>
      <c r="D62" s="29" t="s">
        <v>43</v>
      </c>
      <c r="E62" s="30"/>
      <c r="F62" s="32" t="s">
        <v>201</v>
      </c>
      <c r="G62" s="26">
        <v>0</v>
      </c>
      <c r="H62" s="26">
        <v>0</v>
      </c>
      <c r="I62" s="26">
        <v>0</v>
      </c>
      <c r="J62" s="26">
        <v>0</v>
      </c>
      <c r="K62" s="26">
        <v>0</v>
      </c>
      <c r="L62" s="26">
        <v>0</v>
      </c>
      <c r="M62" s="26">
        <v>0</v>
      </c>
      <c r="N62" s="26">
        <v>0</v>
      </c>
      <c r="O62" s="26">
        <v>0</v>
      </c>
      <c r="P62" s="26">
        <v>3.5999999999999997E-2</v>
      </c>
      <c r="Q62" s="26">
        <v>3.5999999999999997E-2</v>
      </c>
      <c r="R62" s="26">
        <v>3.5999999999999997E-2</v>
      </c>
      <c r="S62" s="26">
        <v>3.5999999999999997E-2</v>
      </c>
      <c r="T62" s="26">
        <v>1.4999999999999999E-2</v>
      </c>
      <c r="U62" s="26">
        <v>1.7500000000000002E-2</v>
      </c>
      <c r="V62" s="26">
        <v>0.02</v>
      </c>
      <c r="W62" s="26">
        <v>2.53E-2</v>
      </c>
      <c r="X62" s="26">
        <v>2.5899999999999999E-2</v>
      </c>
      <c r="Y62" s="26">
        <v>2.6200000000000001E-2</v>
      </c>
      <c r="Z62" s="26">
        <v>2.69E-2</v>
      </c>
      <c r="AA62" s="26">
        <v>3.2099999999999997E-2</v>
      </c>
      <c r="AB62" s="26">
        <v>3.56E-2</v>
      </c>
      <c r="AC62" s="26">
        <v>3.56E-2</v>
      </c>
      <c r="AD62" s="26">
        <v>3.5999999999999997E-2</v>
      </c>
      <c r="AE62" s="26">
        <v>3.4700000000000002E-2</v>
      </c>
      <c r="AF62" s="26">
        <v>3.5999999999999997E-2</v>
      </c>
      <c r="AG62" s="26">
        <v>3.5999999999999997E-2</v>
      </c>
      <c r="AH62" s="26">
        <v>3.5999999999999997E-2</v>
      </c>
      <c r="AI62" s="26">
        <v>3.5999999999999997E-2</v>
      </c>
      <c r="AJ62" s="26">
        <v>3.5999999999999997E-2</v>
      </c>
      <c r="AK62" s="26">
        <v>3.5999999999999997E-2</v>
      </c>
      <c r="AL62" s="26">
        <v>3.5999999999999997E-2</v>
      </c>
      <c r="AM62" s="26">
        <v>3.5999999999999997E-2</v>
      </c>
      <c r="AN62" s="26">
        <v>3.5999999999999997E-2</v>
      </c>
      <c r="AO62" s="26">
        <v>3.5999999999999997E-2</v>
      </c>
      <c r="AP62" s="26">
        <v>3.5999999999999997E-2</v>
      </c>
      <c r="AQ62" s="26">
        <v>3.5999999999999997E-2</v>
      </c>
      <c r="AR62" s="26">
        <v>3.5999999999999997E-2</v>
      </c>
      <c r="AS62" s="26">
        <v>3.5999999999999997E-2</v>
      </c>
      <c r="AT62" s="26">
        <v>3.5999999999999997E-2</v>
      </c>
      <c r="AU62" s="26">
        <v>3.5999999999999997E-2</v>
      </c>
      <c r="AV62" s="26">
        <v>3.5999999999999997E-2</v>
      </c>
      <c r="AW62" s="26">
        <v>3.5999999999999997E-2</v>
      </c>
      <c r="AX62" s="26">
        <v>3.5999999999999997E-2</v>
      </c>
      <c r="AY62" s="26">
        <v>3.5999999999999997E-2</v>
      </c>
      <c r="AZ62" s="26">
        <v>3.5999999999999997E-2</v>
      </c>
      <c r="BA62" s="26">
        <v>3.5999999999999997E-2</v>
      </c>
      <c r="BB62" s="26">
        <v>3.5999999999999997E-2</v>
      </c>
      <c r="BC62" s="26">
        <v>3.5999999999999997E-2</v>
      </c>
      <c r="BD62" s="26">
        <v>3.5999999999999997E-2</v>
      </c>
      <c r="BE62" s="26">
        <v>3.5999999999999997E-2</v>
      </c>
      <c r="BF62" s="11"/>
      <c r="BG62" s="11"/>
      <c r="BH62" s="11"/>
    </row>
    <row r="63" spans="2:60" x14ac:dyDescent="0.35">
      <c r="B63" s="22" t="b">
        <v>1</v>
      </c>
      <c r="C63" s="22" t="str">
        <f t="shared" si="1"/>
        <v>MA_   Class II MSW</v>
      </c>
      <c r="D63" s="29" t="s">
        <v>43</v>
      </c>
      <c r="E63" s="30"/>
      <c r="F63" s="32" t="s">
        <v>202</v>
      </c>
      <c r="G63" s="26">
        <v>0</v>
      </c>
      <c r="H63" s="26">
        <v>0</v>
      </c>
      <c r="I63" s="26">
        <v>0</v>
      </c>
      <c r="J63" s="26">
        <v>0</v>
      </c>
      <c r="K63" s="26">
        <v>0</v>
      </c>
      <c r="L63" s="26">
        <v>0</v>
      </c>
      <c r="M63" s="26">
        <v>0</v>
      </c>
      <c r="N63" s="26">
        <v>0</v>
      </c>
      <c r="O63" s="26">
        <v>0</v>
      </c>
      <c r="P63" s="26">
        <v>3.5000000000000003E-2</v>
      </c>
      <c r="Q63" s="26">
        <v>3.5000000000000003E-2</v>
      </c>
      <c r="R63" s="26">
        <v>3.5000000000000003E-2</v>
      </c>
      <c r="S63" s="26">
        <v>3.5000000000000003E-2</v>
      </c>
      <c r="T63" s="26">
        <v>3.5000000000000003E-2</v>
      </c>
      <c r="U63" s="26">
        <v>3.5000000000000003E-2</v>
      </c>
      <c r="V63" s="26">
        <v>3.5000000000000003E-2</v>
      </c>
      <c r="W63" s="26">
        <v>3.5000000000000003E-2</v>
      </c>
      <c r="X63" s="26">
        <v>3.5000000000000003E-2</v>
      </c>
      <c r="Y63" s="26">
        <v>3.5000000000000003E-2</v>
      </c>
      <c r="Z63" s="26">
        <v>3.5000000000000003E-2</v>
      </c>
      <c r="AA63" s="26">
        <v>3.5000000000000003E-2</v>
      </c>
      <c r="AB63" s="26">
        <v>3.6999999999999998E-2</v>
      </c>
      <c r="AC63" s="26">
        <v>3.6999999999999998E-2</v>
      </c>
      <c r="AD63" s="26">
        <v>3.6999999999999998E-2</v>
      </c>
      <c r="AE63" s="26">
        <v>3.6999999999999998E-2</v>
      </c>
      <c r="AF63" s="26">
        <v>3.6999999999999998E-2</v>
      </c>
      <c r="AG63" s="26">
        <v>3.5000000000000003E-2</v>
      </c>
      <c r="AH63" s="26">
        <v>3.5000000000000003E-2</v>
      </c>
      <c r="AI63" s="26">
        <v>3.5000000000000003E-2</v>
      </c>
      <c r="AJ63" s="26">
        <v>3.5000000000000003E-2</v>
      </c>
      <c r="AK63" s="26">
        <v>3.5000000000000003E-2</v>
      </c>
      <c r="AL63" s="26">
        <v>3.5000000000000003E-2</v>
      </c>
      <c r="AM63" s="26">
        <v>3.5000000000000003E-2</v>
      </c>
      <c r="AN63" s="26">
        <v>3.5000000000000003E-2</v>
      </c>
      <c r="AO63" s="26">
        <v>3.5000000000000003E-2</v>
      </c>
      <c r="AP63" s="26">
        <v>3.5000000000000003E-2</v>
      </c>
      <c r="AQ63" s="26">
        <v>3.5000000000000003E-2</v>
      </c>
      <c r="AR63" s="26">
        <v>3.5000000000000003E-2</v>
      </c>
      <c r="AS63" s="26">
        <v>3.5000000000000003E-2</v>
      </c>
      <c r="AT63" s="26">
        <v>3.5000000000000003E-2</v>
      </c>
      <c r="AU63" s="26">
        <v>3.5000000000000003E-2</v>
      </c>
      <c r="AV63" s="26">
        <v>3.5000000000000003E-2</v>
      </c>
      <c r="AW63" s="26">
        <v>3.5000000000000003E-2</v>
      </c>
      <c r="AX63" s="26">
        <v>3.5000000000000003E-2</v>
      </c>
      <c r="AY63" s="26">
        <v>3.5000000000000003E-2</v>
      </c>
      <c r="AZ63" s="26">
        <v>3.5000000000000003E-2</v>
      </c>
      <c r="BA63" s="26">
        <v>3.5000000000000003E-2</v>
      </c>
      <c r="BB63" s="26">
        <v>3.5000000000000003E-2</v>
      </c>
      <c r="BC63" s="26">
        <v>3.5000000000000003E-2</v>
      </c>
      <c r="BD63" s="26">
        <v>3.5000000000000003E-2</v>
      </c>
      <c r="BE63" s="26">
        <v>3.5000000000000003E-2</v>
      </c>
      <c r="BF63" s="11"/>
      <c r="BG63" s="11"/>
      <c r="BH63" s="11"/>
    </row>
    <row r="64" spans="2:60" x14ac:dyDescent="0.35">
      <c r="B64" s="22" t="b">
        <v>1</v>
      </c>
      <c r="C64" s="22" t="str">
        <f t="shared" si="1"/>
        <v>MA_Total CES</v>
      </c>
      <c r="D64" s="29" t="s">
        <v>43</v>
      </c>
      <c r="E64" s="30"/>
      <c r="F64" s="32" t="s">
        <v>174</v>
      </c>
      <c r="G64" s="26">
        <v>0</v>
      </c>
      <c r="H64" s="26">
        <v>0</v>
      </c>
      <c r="I64" s="26">
        <v>0</v>
      </c>
      <c r="J64" s="26">
        <v>0</v>
      </c>
      <c r="K64" s="26">
        <v>0</v>
      </c>
      <c r="L64" s="26">
        <v>0</v>
      </c>
      <c r="M64" s="26">
        <v>0</v>
      </c>
      <c r="N64" s="26">
        <v>0</v>
      </c>
      <c r="O64" s="26">
        <v>0</v>
      </c>
      <c r="P64" s="26">
        <v>0</v>
      </c>
      <c r="Q64" s="26">
        <v>0</v>
      </c>
      <c r="R64" s="26">
        <v>0</v>
      </c>
      <c r="S64" s="26">
        <v>0</v>
      </c>
      <c r="T64" s="26">
        <v>0</v>
      </c>
      <c r="U64" s="26">
        <v>0</v>
      </c>
      <c r="V64" s="26">
        <v>0</v>
      </c>
      <c r="W64" s="26">
        <v>0</v>
      </c>
      <c r="X64" s="26">
        <v>0</v>
      </c>
      <c r="Y64" s="26">
        <v>0.16</v>
      </c>
      <c r="Z64" s="26">
        <v>0.18</v>
      </c>
      <c r="AA64" s="26">
        <v>0.2</v>
      </c>
      <c r="AB64" s="26">
        <v>0.42</v>
      </c>
      <c r="AC64" s="26">
        <v>0.44</v>
      </c>
      <c r="AD64" s="26">
        <v>0.52</v>
      </c>
      <c r="AE64" s="26">
        <v>0.54</v>
      </c>
      <c r="AF64" s="26">
        <v>0.56000000000000005</v>
      </c>
      <c r="AG64" s="26">
        <v>0.57999999999999996</v>
      </c>
      <c r="AH64" s="26">
        <v>0.6</v>
      </c>
      <c r="AI64" s="26">
        <v>0.62</v>
      </c>
      <c r="AJ64" s="26">
        <v>0.64</v>
      </c>
      <c r="AK64" s="26">
        <v>0.66</v>
      </c>
      <c r="AL64" s="26">
        <v>0.68</v>
      </c>
      <c r="AM64" s="26">
        <v>0.7</v>
      </c>
      <c r="AN64" s="26">
        <v>0.72</v>
      </c>
      <c r="AO64" s="26">
        <v>0.73</v>
      </c>
      <c r="AP64" s="26">
        <v>0.75</v>
      </c>
      <c r="AQ64" s="26">
        <v>0.77</v>
      </c>
      <c r="AR64" s="26">
        <v>0.79</v>
      </c>
      <c r="AS64" s="26">
        <v>0.81</v>
      </c>
      <c r="AT64" s="26">
        <v>0.82</v>
      </c>
      <c r="AU64" s="26">
        <v>0.84</v>
      </c>
      <c r="AV64" s="26">
        <v>0.86</v>
      </c>
      <c r="AW64" s="26">
        <v>0.88</v>
      </c>
      <c r="AX64" s="26">
        <v>0.9</v>
      </c>
      <c r="AY64" s="26">
        <v>0.91</v>
      </c>
      <c r="AZ64" s="26">
        <v>0.93</v>
      </c>
      <c r="BA64" s="26">
        <v>0.95</v>
      </c>
      <c r="BB64" s="26">
        <v>0.97</v>
      </c>
      <c r="BC64" s="26">
        <v>0.99</v>
      </c>
      <c r="BD64" s="26">
        <v>1</v>
      </c>
      <c r="BE64" s="26">
        <v>1</v>
      </c>
      <c r="BF64" s="11"/>
      <c r="BG64" s="11"/>
      <c r="BH64" s="11"/>
    </row>
    <row r="65" spans="2:60" x14ac:dyDescent="0.35">
      <c r="B65" s="22" t="b">
        <v>1</v>
      </c>
      <c r="C65" s="22" t="str">
        <f t="shared" si="1"/>
        <v>MA_   New (CES)</v>
      </c>
      <c r="D65" s="29" t="s">
        <v>43</v>
      </c>
      <c r="E65" s="30"/>
      <c r="F65" s="32" t="s">
        <v>203</v>
      </c>
      <c r="G65" s="26">
        <v>0</v>
      </c>
      <c r="H65" s="26">
        <v>0</v>
      </c>
      <c r="I65" s="26">
        <v>0</v>
      </c>
      <c r="J65" s="26">
        <v>0</v>
      </c>
      <c r="K65" s="26">
        <v>0</v>
      </c>
      <c r="L65" s="26">
        <v>0</v>
      </c>
      <c r="M65" s="26">
        <v>0</v>
      </c>
      <c r="N65" s="26">
        <v>0</v>
      </c>
      <c r="O65" s="26">
        <v>0</v>
      </c>
      <c r="P65" s="26">
        <v>0</v>
      </c>
      <c r="Q65" s="26">
        <v>0</v>
      </c>
      <c r="R65" s="26">
        <v>0</v>
      </c>
      <c r="S65" s="26">
        <v>0</v>
      </c>
      <c r="T65" s="26">
        <v>0</v>
      </c>
      <c r="U65" s="26">
        <v>0</v>
      </c>
      <c r="V65" s="26">
        <v>0</v>
      </c>
      <c r="W65" s="26">
        <v>0</v>
      </c>
      <c r="X65" s="26">
        <v>0</v>
      </c>
      <c r="Y65" s="26">
        <v>0.16</v>
      </c>
      <c r="Z65" s="26">
        <v>0.18</v>
      </c>
      <c r="AA65" s="26">
        <v>0.2</v>
      </c>
      <c r="AB65" s="26">
        <v>0.22</v>
      </c>
      <c r="AC65" s="26">
        <v>0.24</v>
      </c>
      <c r="AD65" s="26">
        <v>0.26</v>
      </c>
      <c r="AE65" s="26">
        <v>0.28000000000000003</v>
      </c>
      <c r="AF65" s="26">
        <v>0.3</v>
      </c>
      <c r="AG65" s="26">
        <v>0.32</v>
      </c>
      <c r="AH65" s="26">
        <v>0.34</v>
      </c>
      <c r="AI65" s="26">
        <v>0.36</v>
      </c>
      <c r="AJ65" s="26">
        <v>0.38</v>
      </c>
      <c r="AK65" s="26">
        <v>0.4</v>
      </c>
      <c r="AL65" s="26">
        <v>0.42</v>
      </c>
      <c r="AM65" s="26">
        <v>0.44</v>
      </c>
      <c r="AN65" s="26">
        <v>0.46</v>
      </c>
      <c r="AO65" s="26">
        <v>0.48</v>
      </c>
      <c r="AP65" s="26">
        <v>0.5</v>
      </c>
      <c r="AQ65" s="26">
        <v>0.52</v>
      </c>
      <c r="AR65" s="26">
        <v>0.54</v>
      </c>
      <c r="AS65" s="26">
        <v>0.56000000000000005</v>
      </c>
      <c r="AT65" s="26">
        <v>0.57999999999999996</v>
      </c>
      <c r="AU65" s="26">
        <v>0.6</v>
      </c>
      <c r="AV65" s="26">
        <v>0.62</v>
      </c>
      <c r="AW65" s="26">
        <v>0.64</v>
      </c>
      <c r="AX65" s="26">
        <v>0.66</v>
      </c>
      <c r="AY65" s="26">
        <v>0.68</v>
      </c>
      <c r="AZ65" s="26">
        <v>0.7</v>
      </c>
      <c r="BA65" s="26">
        <v>0.72</v>
      </c>
      <c r="BB65" s="26">
        <v>0.74</v>
      </c>
      <c r="BC65" s="26">
        <v>0.76</v>
      </c>
      <c r="BD65" s="26">
        <v>0.78</v>
      </c>
      <c r="BE65" s="26">
        <v>0.8</v>
      </c>
      <c r="BF65" s="11"/>
      <c r="BG65" s="11"/>
      <c r="BH65" s="11"/>
    </row>
    <row r="66" spans="2:60" x14ac:dyDescent="0.35">
      <c r="B66" s="22" t="b">
        <v>1</v>
      </c>
      <c r="C66" s="22" t="str">
        <f t="shared" si="1"/>
        <v>MA_   Existing (CES-E)</v>
      </c>
      <c r="D66" s="29" t="s">
        <v>43</v>
      </c>
      <c r="E66" s="28"/>
      <c r="F66" s="32" t="s">
        <v>204</v>
      </c>
      <c r="G66" s="26">
        <v>0</v>
      </c>
      <c r="H66" s="26">
        <v>0</v>
      </c>
      <c r="I66" s="26">
        <v>0</v>
      </c>
      <c r="J66" s="26">
        <v>0</v>
      </c>
      <c r="K66" s="26">
        <v>0</v>
      </c>
      <c r="L66" s="26">
        <v>0</v>
      </c>
      <c r="M66" s="26">
        <v>0</v>
      </c>
      <c r="N66" s="26">
        <v>0</v>
      </c>
      <c r="O66" s="26">
        <v>0</v>
      </c>
      <c r="P66" s="26">
        <v>0</v>
      </c>
      <c r="Q66" s="26">
        <v>0</v>
      </c>
      <c r="R66" s="26">
        <v>0</v>
      </c>
      <c r="S66" s="26">
        <v>0</v>
      </c>
      <c r="T66" s="26">
        <v>0</v>
      </c>
      <c r="U66" s="26">
        <v>0</v>
      </c>
      <c r="V66" s="26">
        <v>0</v>
      </c>
      <c r="W66" s="26">
        <v>0</v>
      </c>
      <c r="X66" s="26">
        <v>0</v>
      </c>
      <c r="Y66" s="26">
        <v>0</v>
      </c>
      <c r="Z66" s="26">
        <v>0</v>
      </c>
      <c r="AA66" s="26">
        <v>0</v>
      </c>
      <c r="AB66" s="26">
        <v>0.2</v>
      </c>
      <c r="AC66" s="26">
        <v>0.2</v>
      </c>
      <c r="AD66" s="26">
        <v>0.26</v>
      </c>
      <c r="AE66" s="26">
        <v>0.26</v>
      </c>
      <c r="AF66" s="26">
        <v>0.26</v>
      </c>
      <c r="AG66" s="26">
        <v>0.26</v>
      </c>
      <c r="AH66" s="26">
        <v>0.26</v>
      </c>
      <c r="AI66" s="26">
        <v>0.26</v>
      </c>
      <c r="AJ66" s="26">
        <v>0.26</v>
      </c>
      <c r="AK66" s="26">
        <v>0.26</v>
      </c>
      <c r="AL66" s="26">
        <v>0.26</v>
      </c>
      <c r="AM66" s="26">
        <v>0.26</v>
      </c>
      <c r="AN66" s="26">
        <v>0.26</v>
      </c>
      <c r="AO66" s="26">
        <v>0.25</v>
      </c>
      <c r="AP66" s="26">
        <v>0.25</v>
      </c>
      <c r="AQ66" s="26">
        <v>0.25</v>
      </c>
      <c r="AR66" s="26">
        <v>0.25</v>
      </c>
      <c r="AS66" s="26">
        <v>0.25</v>
      </c>
      <c r="AT66" s="26">
        <v>0.24</v>
      </c>
      <c r="AU66" s="26">
        <v>0.24</v>
      </c>
      <c r="AV66" s="26">
        <v>0.24</v>
      </c>
      <c r="AW66" s="26">
        <v>0.24</v>
      </c>
      <c r="AX66" s="26">
        <v>0.24</v>
      </c>
      <c r="AY66" s="26">
        <v>0.23</v>
      </c>
      <c r="AZ66" s="26">
        <v>0.23</v>
      </c>
      <c r="BA66" s="26">
        <v>0.23</v>
      </c>
      <c r="BB66" s="26">
        <v>0.23</v>
      </c>
      <c r="BC66" s="26">
        <v>0.23</v>
      </c>
      <c r="BD66" s="26">
        <v>0.22</v>
      </c>
      <c r="BE66" s="26">
        <v>0.22</v>
      </c>
      <c r="BF66" s="11"/>
      <c r="BG66" s="11"/>
      <c r="BH66" s="11"/>
    </row>
    <row r="67" spans="2:60" ht="12.75" customHeight="1" x14ac:dyDescent="0.35">
      <c r="B67" s="22" t="b">
        <v>1</v>
      </c>
      <c r="C67" s="22" t="str">
        <f t="shared" si="1"/>
        <v>MD_Total RPS</v>
      </c>
      <c r="D67" s="23" t="s">
        <v>46</v>
      </c>
      <c r="E67" s="24" t="s">
        <v>205</v>
      </c>
      <c r="F67" s="25" t="s">
        <v>171</v>
      </c>
      <c r="G67" s="26">
        <v>0</v>
      </c>
      <c r="H67" s="26">
        <v>0</v>
      </c>
      <c r="I67" s="26">
        <v>0</v>
      </c>
      <c r="J67" s="26">
        <v>0</v>
      </c>
      <c r="K67" s="26">
        <v>0</v>
      </c>
      <c r="L67" s="26">
        <v>0</v>
      </c>
      <c r="M67" s="26">
        <v>2.5000000000000001E-2</v>
      </c>
      <c r="N67" s="26">
        <v>2.5000000000000001E-2</v>
      </c>
      <c r="O67" s="26">
        <v>3.49E-2</v>
      </c>
      <c r="P67" s="26">
        <v>3.49E-2</v>
      </c>
      <c r="Q67" s="26">
        <v>4.48E-2</v>
      </c>
      <c r="R67" s="26">
        <v>4.4900000000000002E-2</v>
      </c>
      <c r="S67" s="26">
        <v>5.5E-2</v>
      </c>
      <c r="T67" s="26">
        <v>7.4499999999999997E-2</v>
      </c>
      <c r="U67" s="26">
        <v>8.9399999999999993E-2</v>
      </c>
      <c r="V67" s="26">
        <v>0.1062</v>
      </c>
      <c r="W67" s="26">
        <v>0.12709999999999999</v>
      </c>
      <c r="X67" s="26">
        <v>0.129</v>
      </c>
      <c r="Y67" s="26">
        <v>0.15079999999999999</v>
      </c>
      <c r="Z67" s="26">
        <v>0.15440000000000001</v>
      </c>
      <c r="AA67" s="26">
        <v>0.18149999999999999</v>
      </c>
      <c r="AB67" s="26">
        <v>0.23</v>
      </c>
      <c r="AC67" s="26">
        <v>0.30230000000000001</v>
      </c>
      <c r="AD67" s="26">
        <v>0.33</v>
      </c>
      <c r="AE67" s="26">
        <v>0.31159999999999999</v>
      </c>
      <c r="AF67" s="26">
        <v>0.3231</v>
      </c>
      <c r="AG67" s="26">
        <v>0.36120000000000002</v>
      </c>
      <c r="AH67" s="26">
        <v>0.37909999999999999</v>
      </c>
      <c r="AI67" s="26">
        <v>0.40389999999999998</v>
      </c>
      <c r="AJ67" s="26">
        <v>0.43859999999999999</v>
      </c>
      <c r="AK67" s="26">
        <v>0.45350000000000001</v>
      </c>
      <c r="AL67" s="26">
        <v>0.51790000000000003</v>
      </c>
      <c r="AM67" s="26">
        <v>0.52280000000000004</v>
      </c>
      <c r="AN67" s="26">
        <v>0.52280000000000004</v>
      </c>
      <c r="AO67" s="26">
        <v>0.52280000000000004</v>
      </c>
      <c r="AP67" s="26">
        <v>0.52280000000000004</v>
      </c>
      <c r="AQ67" s="26">
        <v>0.52280000000000004</v>
      </c>
      <c r="AR67" s="26">
        <v>0.52280000000000004</v>
      </c>
      <c r="AS67" s="26">
        <v>0.52280000000000004</v>
      </c>
      <c r="AT67" s="26">
        <v>0.52280000000000004</v>
      </c>
      <c r="AU67" s="26">
        <v>0.52280000000000004</v>
      </c>
      <c r="AV67" s="26">
        <v>0.52280000000000004</v>
      </c>
      <c r="AW67" s="26">
        <v>0.52280000000000004</v>
      </c>
      <c r="AX67" s="26">
        <v>0.52280000000000004</v>
      </c>
      <c r="AY67" s="26">
        <v>0.52280000000000004</v>
      </c>
      <c r="AZ67" s="26">
        <v>0.52280000000000004</v>
      </c>
      <c r="BA67" s="26">
        <v>0.52280000000000004</v>
      </c>
      <c r="BB67" s="26">
        <v>0.52280000000000004</v>
      </c>
      <c r="BC67" s="26">
        <v>0.52280000000000004</v>
      </c>
      <c r="BD67" s="26">
        <v>0.52280000000000004</v>
      </c>
      <c r="BE67" s="26">
        <v>0.52280000000000004</v>
      </c>
      <c r="BF67" s="11"/>
      <c r="BG67" s="11"/>
      <c r="BH67" s="11"/>
    </row>
    <row r="68" spans="2:60" x14ac:dyDescent="0.35">
      <c r="B68" s="22" t="b">
        <v>1</v>
      </c>
      <c r="C68" s="22" t="str">
        <f t="shared" si="1"/>
        <v>MD_   IOUs &amp; competitive retailers</v>
      </c>
      <c r="D68" s="29" t="s">
        <v>46</v>
      </c>
      <c r="E68" s="30"/>
      <c r="F68" s="32" t="s">
        <v>206</v>
      </c>
      <c r="G68" s="26">
        <v>0</v>
      </c>
      <c r="H68" s="26">
        <v>0</v>
      </c>
      <c r="I68" s="26">
        <v>0</v>
      </c>
      <c r="J68" s="26">
        <v>0</v>
      </c>
      <c r="K68" s="26">
        <v>0</v>
      </c>
      <c r="L68" s="26">
        <v>0</v>
      </c>
      <c r="M68" s="26">
        <v>2.5000000000000001E-2</v>
      </c>
      <c r="N68" s="26">
        <v>2.5000000000000001E-2</v>
      </c>
      <c r="O68" s="26">
        <v>3.5000000000000003E-2</v>
      </c>
      <c r="P68" s="26">
        <v>3.5000000000000003E-2</v>
      </c>
      <c r="Q68" s="26">
        <v>4.5100000000000001E-2</v>
      </c>
      <c r="R68" s="26">
        <v>4.5100000000000001E-2</v>
      </c>
      <c r="S68" s="26">
        <v>5.5300000000000002E-2</v>
      </c>
      <c r="T68" s="26">
        <v>7.4999999999999997E-2</v>
      </c>
      <c r="U68" s="26">
        <v>0.09</v>
      </c>
      <c r="V68" s="26">
        <v>0.107</v>
      </c>
      <c r="W68" s="26">
        <v>0.128</v>
      </c>
      <c r="X68" s="26">
        <v>0.13</v>
      </c>
      <c r="Y68" s="26">
        <v>0.152</v>
      </c>
      <c r="Z68" s="26">
        <v>0.156</v>
      </c>
      <c r="AA68" s="26">
        <v>0.183</v>
      </c>
      <c r="AB68" s="26">
        <v>0.23200000000000001</v>
      </c>
      <c r="AC68" s="26">
        <v>0.30499999999999999</v>
      </c>
      <c r="AD68" s="26">
        <v>0.33300000000000002</v>
      </c>
      <c r="AE68" s="26">
        <v>0.31240000000000001</v>
      </c>
      <c r="AF68" s="26">
        <v>0.32369999999999999</v>
      </c>
      <c r="AG68" s="26">
        <v>0.36199999999999999</v>
      </c>
      <c r="AH68" s="26">
        <v>0.38</v>
      </c>
      <c r="AI68" s="26">
        <v>0.40500000000000003</v>
      </c>
      <c r="AJ68" s="26">
        <v>0.44</v>
      </c>
      <c r="AK68" s="26">
        <v>0.45500000000000002</v>
      </c>
      <c r="AL68" s="26">
        <v>0.52</v>
      </c>
      <c r="AM68" s="26">
        <v>0.52500000000000002</v>
      </c>
      <c r="AN68" s="26">
        <v>0.52500000000000002</v>
      </c>
      <c r="AO68" s="26">
        <v>0.52500000000000002</v>
      </c>
      <c r="AP68" s="26">
        <v>0.52500000000000002</v>
      </c>
      <c r="AQ68" s="26">
        <v>0.52500000000000002</v>
      </c>
      <c r="AR68" s="26">
        <v>0.52500000000000002</v>
      </c>
      <c r="AS68" s="26">
        <v>0.52500000000000002</v>
      </c>
      <c r="AT68" s="26">
        <v>0.52500000000000002</v>
      </c>
      <c r="AU68" s="26">
        <v>0.52500000000000002</v>
      </c>
      <c r="AV68" s="26">
        <v>0.52500000000000002</v>
      </c>
      <c r="AW68" s="26">
        <v>0.52500000000000002</v>
      </c>
      <c r="AX68" s="26">
        <v>0.52500000000000002</v>
      </c>
      <c r="AY68" s="26">
        <v>0.52500000000000002</v>
      </c>
      <c r="AZ68" s="26">
        <v>0.52500000000000002</v>
      </c>
      <c r="BA68" s="26">
        <v>0.52500000000000002</v>
      </c>
      <c r="BB68" s="26">
        <v>0.52500000000000002</v>
      </c>
      <c r="BC68" s="26">
        <v>0.52500000000000002</v>
      </c>
      <c r="BD68" s="26">
        <v>0.52500000000000002</v>
      </c>
      <c r="BE68" s="26">
        <v>0.52500000000000002</v>
      </c>
      <c r="BF68" s="11"/>
      <c r="BG68" s="11"/>
      <c r="BH68" s="11"/>
    </row>
    <row r="69" spans="2:60" x14ac:dyDescent="0.35">
      <c r="B69" s="22" t="b">
        <v>1</v>
      </c>
      <c r="C69" s="22" t="str">
        <f t="shared" si="1"/>
        <v>MD_   Cooperatives</v>
      </c>
      <c r="D69" s="29" t="s">
        <v>46</v>
      </c>
      <c r="E69" s="30"/>
      <c r="F69" s="32" t="s">
        <v>207</v>
      </c>
      <c r="G69" s="26">
        <v>0</v>
      </c>
      <c r="H69" s="26">
        <v>0</v>
      </c>
      <c r="I69" s="26">
        <v>0</v>
      </c>
      <c r="J69" s="26">
        <v>0</v>
      </c>
      <c r="K69" s="26">
        <v>0</v>
      </c>
      <c r="L69" s="26">
        <v>0</v>
      </c>
      <c r="M69" s="26">
        <v>2.5000000000000001E-2</v>
      </c>
      <c r="N69" s="26">
        <v>2.5000000000000001E-2</v>
      </c>
      <c r="O69" s="26">
        <v>3.5000000000000003E-2</v>
      </c>
      <c r="P69" s="26">
        <v>3.5000000000000003E-2</v>
      </c>
      <c r="Q69" s="26">
        <v>4.5100000000000001E-2</v>
      </c>
      <c r="R69" s="26">
        <v>4.5100000000000001E-2</v>
      </c>
      <c r="S69" s="26">
        <v>5.5300000000000002E-2</v>
      </c>
      <c r="T69" s="26">
        <v>7.4999999999999997E-2</v>
      </c>
      <c r="U69" s="26">
        <v>0.09</v>
      </c>
      <c r="V69" s="26">
        <v>0.107</v>
      </c>
      <c r="W69" s="26">
        <v>0.128</v>
      </c>
      <c r="X69" s="26">
        <v>0.13</v>
      </c>
      <c r="Y69" s="26">
        <v>0.152</v>
      </c>
      <c r="Z69" s="26">
        <v>0.156</v>
      </c>
      <c r="AA69" s="26">
        <v>0.183</v>
      </c>
      <c r="AB69" s="26">
        <v>0.23200000000000001</v>
      </c>
      <c r="AC69" s="26">
        <v>0.30499999999999999</v>
      </c>
      <c r="AD69" s="26">
        <v>0.33300000000000002</v>
      </c>
      <c r="AE69" s="26">
        <v>0.31240000000000001</v>
      </c>
      <c r="AF69" s="26">
        <v>0.32369999999999999</v>
      </c>
      <c r="AG69" s="26">
        <v>0.36199999999999999</v>
      </c>
      <c r="AH69" s="26">
        <v>0.38</v>
      </c>
      <c r="AI69" s="26">
        <v>0.40500000000000003</v>
      </c>
      <c r="AJ69" s="26">
        <v>0.44</v>
      </c>
      <c r="AK69" s="26">
        <v>0.45500000000000002</v>
      </c>
      <c r="AL69" s="26">
        <v>0.52</v>
      </c>
      <c r="AM69" s="26">
        <v>0.52500000000000002</v>
      </c>
      <c r="AN69" s="26">
        <v>0.52500000000000002</v>
      </c>
      <c r="AO69" s="26">
        <v>0.52500000000000002</v>
      </c>
      <c r="AP69" s="26">
        <v>0.52500000000000002</v>
      </c>
      <c r="AQ69" s="26">
        <v>0.52500000000000002</v>
      </c>
      <c r="AR69" s="26">
        <v>0.52500000000000002</v>
      </c>
      <c r="AS69" s="26">
        <v>0.52500000000000002</v>
      </c>
      <c r="AT69" s="26">
        <v>0.52500000000000002</v>
      </c>
      <c r="AU69" s="26">
        <v>0.52500000000000002</v>
      </c>
      <c r="AV69" s="26">
        <v>0.52500000000000002</v>
      </c>
      <c r="AW69" s="26">
        <v>0.52500000000000002</v>
      </c>
      <c r="AX69" s="26">
        <v>0.52500000000000002</v>
      </c>
      <c r="AY69" s="26">
        <v>0.52500000000000002</v>
      </c>
      <c r="AZ69" s="26">
        <v>0.52500000000000002</v>
      </c>
      <c r="BA69" s="26">
        <v>0.52500000000000002</v>
      </c>
      <c r="BB69" s="26">
        <v>0.52500000000000002</v>
      </c>
      <c r="BC69" s="26">
        <v>0.52500000000000002</v>
      </c>
      <c r="BD69" s="26">
        <v>0.52500000000000002</v>
      </c>
      <c r="BE69" s="26">
        <v>0.52500000000000002</v>
      </c>
      <c r="BF69" s="11"/>
      <c r="BG69" s="11"/>
      <c r="BH69" s="11"/>
    </row>
    <row r="70" spans="2:60" x14ac:dyDescent="0.35">
      <c r="B70" s="22" t="b">
        <v>1</v>
      </c>
      <c r="C70" s="22" t="str">
        <f t="shared" si="1"/>
        <v>MD_   Municipal utilities</v>
      </c>
      <c r="D70" s="29" t="s">
        <v>46</v>
      </c>
      <c r="E70" s="30"/>
      <c r="F70" s="32" t="s">
        <v>208</v>
      </c>
      <c r="G70" s="26">
        <v>0</v>
      </c>
      <c r="H70" s="26">
        <v>0</v>
      </c>
      <c r="I70" s="26">
        <v>0</v>
      </c>
      <c r="J70" s="26">
        <v>0</v>
      </c>
      <c r="K70" s="26">
        <v>0</v>
      </c>
      <c r="L70" s="26">
        <v>0</v>
      </c>
      <c r="M70" s="26">
        <v>2.5000000000000001E-2</v>
      </c>
      <c r="N70" s="26">
        <v>2.5000000000000001E-2</v>
      </c>
      <c r="O70" s="26">
        <v>2.5000000000000001E-2</v>
      </c>
      <c r="P70" s="26">
        <v>2.5000000000000001E-2</v>
      </c>
      <c r="Q70" s="26">
        <v>2.5000000000000001E-2</v>
      </c>
      <c r="R70" s="26">
        <v>2.5000000000000001E-2</v>
      </c>
      <c r="S70" s="26">
        <v>2.5000000000000001E-2</v>
      </c>
      <c r="T70" s="26">
        <v>2.5000000000000001E-2</v>
      </c>
      <c r="U70" s="26">
        <v>2.5000000000000001E-2</v>
      </c>
      <c r="V70" s="26">
        <v>2.5000000000000001E-2</v>
      </c>
      <c r="W70" s="26">
        <v>2.5000000000000001E-2</v>
      </c>
      <c r="X70" s="26">
        <v>2.5000000000000001E-2</v>
      </c>
      <c r="Y70" s="26">
        <v>2.5000000000000001E-2</v>
      </c>
      <c r="Z70" s="26">
        <v>2.5000000000000001E-2</v>
      </c>
      <c r="AA70" s="26">
        <v>2.5000000000000001E-2</v>
      </c>
      <c r="AB70" s="26">
        <v>2.5000000000000001E-2</v>
      </c>
      <c r="AC70" s="26">
        <v>2.5000000000000001E-2</v>
      </c>
      <c r="AD70" s="26">
        <v>2.5000000000000001E-2</v>
      </c>
      <c r="AE70" s="26">
        <v>0.23180000000000001</v>
      </c>
      <c r="AF70" s="26">
        <v>0.26319999999999999</v>
      </c>
      <c r="AG70" s="26">
        <v>0.28199999999999997</v>
      </c>
      <c r="AH70" s="26">
        <v>0.28399999999999997</v>
      </c>
      <c r="AI70" s="26">
        <v>0.28899999999999998</v>
      </c>
      <c r="AJ70" s="26">
        <v>0.29399999999999998</v>
      </c>
      <c r="AK70" s="26">
        <v>0.29899999999999999</v>
      </c>
      <c r="AL70" s="26">
        <v>0.29899999999999999</v>
      </c>
      <c r="AM70" s="26">
        <v>0.29899999999999999</v>
      </c>
      <c r="AN70" s="26">
        <v>0.29899999999999999</v>
      </c>
      <c r="AO70" s="26">
        <v>0.29899999999999999</v>
      </c>
      <c r="AP70" s="26">
        <v>0.29899999999999999</v>
      </c>
      <c r="AQ70" s="26">
        <v>0.29899999999999999</v>
      </c>
      <c r="AR70" s="26">
        <v>0.29899999999999999</v>
      </c>
      <c r="AS70" s="26">
        <v>0.29899999999999999</v>
      </c>
      <c r="AT70" s="26">
        <v>0.29899999999999999</v>
      </c>
      <c r="AU70" s="26">
        <v>0.29899999999999999</v>
      </c>
      <c r="AV70" s="26">
        <v>0.29899999999999999</v>
      </c>
      <c r="AW70" s="26">
        <v>0.29899999999999999</v>
      </c>
      <c r="AX70" s="26">
        <v>0.29899999999999999</v>
      </c>
      <c r="AY70" s="26">
        <v>0.29899999999999999</v>
      </c>
      <c r="AZ70" s="26">
        <v>0.29899999999999999</v>
      </c>
      <c r="BA70" s="26">
        <v>0.29899999999999999</v>
      </c>
      <c r="BB70" s="26">
        <v>0.29899999999999999</v>
      </c>
      <c r="BC70" s="26">
        <v>0.29899999999999999</v>
      </c>
      <c r="BD70" s="26">
        <v>0.29899999999999999</v>
      </c>
      <c r="BE70" s="26">
        <v>0.29899999999999999</v>
      </c>
      <c r="BF70" s="11"/>
      <c r="BG70" s="11"/>
      <c r="BH70" s="11"/>
    </row>
    <row r="71" spans="2:60" x14ac:dyDescent="0.35">
      <c r="B71" s="22" t="b">
        <v>1</v>
      </c>
      <c r="C71" s="22" t="str">
        <f t="shared" si="1"/>
        <v>MD_Solar Carve-Out (Wtd. Avg.)</v>
      </c>
      <c r="D71" s="29" t="s">
        <v>46</v>
      </c>
      <c r="E71" s="30"/>
      <c r="F71" s="32" t="s">
        <v>209</v>
      </c>
      <c r="G71" s="26">
        <v>0</v>
      </c>
      <c r="H71" s="26">
        <v>0</v>
      </c>
      <c r="I71" s="26">
        <v>0</v>
      </c>
      <c r="J71" s="26">
        <v>0</v>
      </c>
      <c r="K71" s="26">
        <v>0</v>
      </c>
      <c r="L71" s="26">
        <v>0</v>
      </c>
      <c r="M71" s="26">
        <v>0</v>
      </c>
      <c r="N71" s="26">
        <v>0</v>
      </c>
      <c r="O71" s="26">
        <v>0</v>
      </c>
      <c r="P71" s="26">
        <v>1E-4</v>
      </c>
      <c r="Q71" s="26">
        <v>2.0000000000000001E-4</v>
      </c>
      <c r="R71" s="26">
        <v>5.0000000000000001E-4</v>
      </c>
      <c r="S71" s="26">
        <v>8.9999999999999998E-4</v>
      </c>
      <c r="T71" s="26">
        <v>2.3E-3</v>
      </c>
      <c r="U71" s="26">
        <v>3.2000000000000002E-3</v>
      </c>
      <c r="V71" s="26">
        <v>4.5999999999999999E-3</v>
      </c>
      <c r="W71" s="26">
        <v>6.4000000000000003E-3</v>
      </c>
      <c r="X71" s="26">
        <v>1.0500000000000001E-2</v>
      </c>
      <c r="Y71" s="26">
        <v>1.37E-2</v>
      </c>
      <c r="Z71" s="26">
        <v>5.0200000000000002E-2</v>
      </c>
      <c r="AA71" s="26">
        <v>5.6800000000000003E-2</v>
      </c>
      <c r="AB71" s="26">
        <v>7.0400000000000004E-2</v>
      </c>
      <c r="AC71" s="26">
        <v>5.2299999999999999E-2</v>
      </c>
      <c r="AD71" s="26">
        <v>5.6899999999999999E-2</v>
      </c>
      <c r="AE71" s="26">
        <v>6.1499999999999999E-2</v>
      </c>
      <c r="AF71" s="26">
        <v>6.6000000000000003E-2</v>
      </c>
      <c r="AG71" s="26">
        <v>7.5200000000000003E-2</v>
      </c>
      <c r="AH71" s="26">
        <v>8.8900000000000007E-2</v>
      </c>
      <c r="AI71" s="26">
        <v>0.1026</v>
      </c>
      <c r="AJ71" s="26">
        <v>0.1163</v>
      </c>
      <c r="AK71" s="26">
        <v>0.13450000000000001</v>
      </c>
      <c r="AL71" s="26">
        <v>0.13450000000000001</v>
      </c>
      <c r="AM71" s="26">
        <v>0.13450000000000001</v>
      </c>
      <c r="AN71" s="26">
        <v>0.13450000000000001</v>
      </c>
      <c r="AO71" s="26">
        <v>0.13450000000000001</v>
      </c>
      <c r="AP71" s="26">
        <v>0.13450000000000001</v>
      </c>
      <c r="AQ71" s="26">
        <v>0.13450000000000001</v>
      </c>
      <c r="AR71" s="26">
        <v>0.13450000000000001</v>
      </c>
      <c r="AS71" s="26">
        <v>0.13450000000000001</v>
      </c>
      <c r="AT71" s="26">
        <v>0.13450000000000001</v>
      </c>
      <c r="AU71" s="26">
        <v>0.13450000000000001</v>
      </c>
      <c r="AV71" s="26">
        <v>0.13450000000000001</v>
      </c>
      <c r="AW71" s="26">
        <v>0.13450000000000001</v>
      </c>
      <c r="AX71" s="26">
        <v>0.13450000000000001</v>
      </c>
      <c r="AY71" s="26">
        <v>0.13450000000000001</v>
      </c>
      <c r="AZ71" s="26">
        <v>0.13450000000000001</v>
      </c>
      <c r="BA71" s="26">
        <v>0.13450000000000001</v>
      </c>
      <c r="BB71" s="26">
        <v>0.13450000000000001</v>
      </c>
      <c r="BC71" s="26">
        <v>0.13450000000000001</v>
      </c>
      <c r="BD71" s="26">
        <v>0.13450000000000001</v>
      </c>
      <c r="BE71" s="26">
        <v>0.13450000000000001</v>
      </c>
      <c r="BF71" s="11"/>
      <c r="BG71" s="11"/>
      <c r="BH71" s="11"/>
    </row>
    <row r="72" spans="2:60" ht="12.75" customHeight="1" x14ac:dyDescent="0.35">
      <c r="B72" s="22" t="b">
        <v>1</v>
      </c>
      <c r="C72" s="22" t="str">
        <f t="shared" si="1"/>
        <v>MD_   IOUs &amp; competitive retailers</v>
      </c>
      <c r="D72" s="29" t="s">
        <v>46</v>
      </c>
      <c r="E72" s="30"/>
      <c r="F72" s="25" t="s">
        <v>206</v>
      </c>
      <c r="G72" s="26">
        <v>0</v>
      </c>
      <c r="H72" s="26">
        <v>0</v>
      </c>
      <c r="I72" s="26">
        <v>0</v>
      </c>
      <c r="J72" s="26">
        <v>0</v>
      </c>
      <c r="K72" s="26">
        <v>0</v>
      </c>
      <c r="L72" s="26">
        <v>0</v>
      </c>
      <c r="M72" s="26">
        <v>0</v>
      </c>
      <c r="N72" s="26">
        <v>0</v>
      </c>
      <c r="O72" s="26">
        <v>1E-4</v>
      </c>
      <c r="P72" s="26">
        <v>1E-4</v>
      </c>
      <c r="Q72" s="26">
        <v>2.9999999999999997E-4</v>
      </c>
      <c r="R72" s="26">
        <v>5.0000000000000001E-4</v>
      </c>
      <c r="S72" s="26">
        <v>1E-3</v>
      </c>
      <c r="T72" s="26">
        <v>2.5000000000000001E-3</v>
      </c>
      <c r="U72" s="26">
        <v>3.5000000000000001E-3</v>
      </c>
      <c r="V72" s="26">
        <v>5.0000000000000001E-3</v>
      </c>
      <c r="W72" s="26">
        <v>7.0000000000000001E-3</v>
      </c>
      <c r="X72" s="26">
        <v>1.15E-2</v>
      </c>
      <c r="Y72" s="26">
        <v>1.4999999999999999E-2</v>
      </c>
      <c r="Z72" s="26">
        <v>5.5E-2</v>
      </c>
      <c r="AA72" s="26">
        <v>0.06</v>
      </c>
      <c r="AB72" s="26">
        <v>7.4999999999999997E-2</v>
      </c>
      <c r="AC72" s="26">
        <v>5.5E-2</v>
      </c>
      <c r="AD72" s="26">
        <v>0.06</v>
      </c>
      <c r="AE72" s="26">
        <v>6.5000000000000002E-2</v>
      </c>
      <c r="AF72" s="26">
        <v>7.0000000000000007E-2</v>
      </c>
      <c r="AG72" s="26">
        <v>0.08</v>
      </c>
      <c r="AH72" s="26">
        <v>9.5000000000000001E-2</v>
      </c>
      <c r="AI72" s="26">
        <v>0.11</v>
      </c>
      <c r="AJ72" s="26">
        <v>0.125</v>
      </c>
      <c r="AK72" s="26">
        <v>0.14499999999999999</v>
      </c>
      <c r="AL72" s="26">
        <v>0.14499999999999999</v>
      </c>
      <c r="AM72" s="26">
        <v>0.14499999999999999</v>
      </c>
      <c r="AN72" s="26">
        <v>0.14499999999999999</v>
      </c>
      <c r="AO72" s="26">
        <v>0.14499999999999999</v>
      </c>
      <c r="AP72" s="26">
        <v>0.14499999999999999</v>
      </c>
      <c r="AQ72" s="26">
        <v>0.14499999999999999</v>
      </c>
      <c r="AR72" s="26">
        <v>0.14499999999999999</v>
      </c>
      <c r="AS72" s="26">
        <v>0.14499999999999999</v>
      </c>
      <c r="AT72" s="26">
        <v>0.14499999999999999</v>
      </c>
      <c r="AU72" s="26">
        <v>0.14499999999999999</v>
      </c>
      <c r="AV72" s="26">
        <v>0.14499999999999999</v>
      </c>
      <c r="AW72" s="26">
        <v>0.14499999999999999</v>
      </c>
      <c r="AX72" s="26">
        <v>0.14499999999999999</v>
      </c>
      <c r="AY72" s="26">
        <v>0.14499999999999999</v>
      </c>
      <c r="AZ72" s="26">
        <v>0.14499999999999999</v>
      </c>
      <c r="BA72" s="26">
        <v>0.14499999999999999</v>
      </c>
      <c r="BB72" s="26">
        <v>0.14499999999999999</v>
      </c>
      <c r="BC72" s="26">
        <v>0.14499999999999999</v>
      </c>
      <c r="BD72" s="26">
        <v>0.14499999999999999</v>
      </c>
      <c r="BE72" s="26">
        <v>0.14499999999999999</v>
      </c>
      <c r="BF72" s="11"/>
      <c r="BG72" s="11"/>
      <c r="BH72" s="11"/>
    </row>
    <row r="73" spans="2:60" x14ac:dyDescent="0.35">
      <c r="B73" s="22" t="b">
        <v>1</v>
      </c>
      <c r="C73" s="22" t="str">
        <f t="shared" si="1"/>
        <v>MD_   Cooperatives</v>
      </c>
      <c r="D73" s="29" t="s">
        <v>46</v>
      </c>
      <c r="E73" s="30"/>
      <c r="F73" s="32" t="s">
        <v>207</v>
      </c>
      <c r="G73" s="26">
        <v>0</v>
      </c>
      <c r="H73" s="26">
        <v>0</v>
      </c>
      <c r="I73" s="26">
        <v>0</v>
      </c>
      <c r="J73" s="26">
        <v>0</v>
      </c>
      <c r="K73" s="26">
        <v>0</v>
      </c>
      <c r="L73" s="26">
        <v>0</v>
      </c>
      <c r="M73" s="26">
        <v>0</v>
      </c>
      <c r="N73" s="26">
        <v>0</v>
      </c>
      <c r="O73" s="26">
        <v>0</v>
      </c>
      <c r="P73" s="26">
        <v>0</v>
      </c>
      <c r="Q73" s="26">
        <v>0</v>
      </c>
      <c r="R73" s="26">
        <v>0</v>
      </c>
      <c r="S73" s="26">
        <v>0</v>
      </c>
      <c r="T73" s="26">
        <v>0</v>
      </c>
      <c r="U73" s="26">
        <v>0</v>
      </c>
      <c r="V73" s="26">
        <v>0</v>
      </c>
      <c r="W73" s="26">
        <v>0</v>
      </c>
      <c r="X73" s="26">
        <v>0</v>
      </c>
      <c r="Y73" s="26">
        <v>0</v>
      </c>
      <c r="Z73" s="26">
        <v>0</v>
      </c>
      <c r="AA73" s="26">
        <v>2.5000000000000001E-2</v>
      </c>
      <c r="AB73" s="26">
        <v>2.5000000000000001E-2</v>
      </c>
      <c r="AC73" s="26">
        <v>2.5000000000000001E-2</v>
      </c>
      <c r="AD73" s="26">
        <v>2.5000000000000001E-2</v>
      </c>
      <c r="AE73" s="26">
        <v>2.5000000000000001E-2</v>
      </c>
      <c r="AF73" s="26">
        <v>2.5000000000000001E-2</v>
      </c>
      <c r="AG73" s="26">
        <v>2.5000000000000001E-2</v>
      </c>
      <c r="AH73" s="26">
        <v>2.5000000000000001E-2</v>
      </c>
      <c r="AI73" s="26">
        <v>2.5000000000000001E-2</v>
      </c>
      <c r="AJ73" s="26">
        <v>2.5000000000000001E-2</v>
      </c>
      <c r="AK73" s="26">
        <v>2.5000000000000001E-2</v>
      </c>
      <c r="AL73" s="26">
        <v>2.5000000000000001E-2</v>
      </c>
      <c r="AM73" s="26">
        <v>2.5000000000000001E-2</v>
      </c>
      <c r="AN73" s="26">
        <v>2.5000000000000001E-2</v>
      </c>
      <c r="AO73" s="26">
        <v>2.5000000000000001E-2</v>
      </c>
      <c r="AP73" s="26">
        <v>2.5000000000000001E-2</v>
      </c>
      <c r="AQ73" s="26">
        <v>2.5000000000000001E-2</v>
      </c>
      <c r="AR73" s="26">
        <v>2.5000000000000001E-2</v>
      </c>
      <c r="AS73" s="26">
        <v>2.5000000000000001E-2</v>
      </c>
      <c r="AT73" s="26">
        <v>2.5000000000000001E-2</v>
      </c>
      <c r="AU73" s="26">
        <v>2.5000000000000001E-2</v>
      </c>
      <c r="AV73" s="26">
        <v>2.5000000000000001E-2</v>
      </c>
      <c r="AW73" s="26">
        <v>2.5000000000000001E-2</v>
      </c>
      <c r="AX73" s="26">
        <v>2.5000000000000001E-2</v>
      </c>
      <c r="AY73" s="26">
        <v>2.5000000000000001E-2</v>
      </c>
      <c r="AZ73" s="26">
        <v>2.5000000000000001E-2</v>
      </c>
      <c r="BA73" s="26">
        <v>2.5000000000000001E-2</v>
      </c>
      <c r="BB73" s="26">
        <v>2.5000000000000001E-2</v>
      </c>
      <c r="BC73" s="26">
        <v>2.5000000000000001E-2</v>
      </c>
      <c r="BD73" s="26">
        <v>2.5000000000000001E-2</v>
      </c>
      <c r="BE73" s="26">
        <v>2.5000000000000001E-2</v>
      </c>
      <c r="BF73" s="11"/>
      <c r="BG73" s="11"/>
      <c r="BH73" s="11"/>
    </row>
    <row r="74" spans="2:60" x14ac:dyDescent="0.35">
      <c r="B74" s="22" t="b">
        <v>1</v>
      </c>
      <c r="C74" s="22" t="str">
        <f t="shared" si="1"/>
        <v>MD_   Municipal utilities</v>
      </c>
      <c r="D74" s="29" t="s">
        <v>46</v>
      </c>
      <c r="E74" s="30"/>
      <c r="F74" s="32" t="s">
        <v>208</v>
      </c>
      <c r="G74" s="26">
        <v>0</v>
      </c>
      <c r="H74" s="26">
        <v>0</v>
      </c>
      <c r="I74" s="26">
        <v>0</v>
      </c>
      <c r="J74" s="26">
        <v>0</v>
      </c>
      <c r="K74" s="26">
        <v>0</v>
      </c>
      <c r="L74" s="26">
        <v>0</v>
      </c>
      <c r="M74" s="26">
        <v>0</v>
      </c>
      <c r="N74" s="26">
        <v>0</v>
      </c>
      <c r="O74" s="26">
        <v>0</v>
      </c>
      <c r="P74" s="26">
        <v>0</v>
      </c>
      <c r="Q74" s="26">
        <v>0</v>
      </c>
      <c r="R74" s="26">
        <v>0</v>
      </c>
      <c r="S74" s="26">
        <v>0</v>
      </c>
      <c r="T74" s="26">
        <v>0</v>
      </c>
      <c r="U74" s="26">
        <v>0</v>
      </c>
      <c r="V74" s="26">
        <v>0</v>
      </c>
      <c r="W74" s="26">
        <v>0</v>
      </c>
      <c r="X74" s="26">
        <v>0</v>
      </c>
      <c r="Y74" s="26">
        <v>0</v>
      </c>
      <c r="Z74" s="26">
        <v>0</v>
      </c>
      <c r="AA74" s="26">
        <v>0</v>
      </c>
      <c r="AB74" s="26">
        <v>0</v>
      </c>
      <c r="AC74" s="26">
        <v>1.95E-2</v>
      </c>
      <c r="AD74" s="26">
        <v>1.95E-2</v>
      </c>
      <c r="AE74" s="26">
        <v>1.95E-2</v>
      </c>
      <c r="AF74" s="26">
        <v>1.95E-2</v>
      </c>
      <c r="AG74" s="26">
        <v>1.95E-2</v>
      </c>
      <c r="AH74" s="26">
        <v>1.95E-2</v>
      </c>
      <c r="AI74" s="26">
        <v>1.95E-2</v>
      </c>
      <c r="AJ74" s="26">
        <v>1.95E-2</v>
      </c>
      <c r="AK74" s="26">
        <v>1.95E-2</v>
      </c>
      <c r="AL74" s="26">
        <v>1.95E-2</v>
      </c>
      <c r="AM74" s="26">
        <v>1.95E-2</v>
      </c>
      <c r="AN74" s="26">
        <v>1.95E-2</v>
      </c>
      <c r="AO74" s="26">
        <v>1.95E-2</v>
      </c>
      <c r="AP74" s="26">
        <v>1.95E-2</v>
      </c>
      <c r="AQ74" s="26">
        <v>1.95E-2</v>
      </c>
      <c r="AR74" s="26">
        <v>1.95E-2</v>
      </c>
      <c r="AS74" s="26">
        <v>1.95E-2</v>
      </c>
      <c r="AT74" s="26">
        <v>1.95E-2</v>
      </c>
      <c r="AU74" s="26">
        <v>1.95E-2</v>
      </c>
      <c r="AV74" s="26">
        <v>1.95E-2</v>
      </c>
      <c r="AW74" s="26">
        <v>1.95E-2</v>
      </c>
      <c r="AX74" s="26">
        <v>1.95E-2</v>
      </c>
      <c r="AY74" s="26">
        <v>1.95E-2</v>
      </c>
      <c r="AZ74" s="26">
        <v>1.95E-2</v>
      </c>
      <c r="BA74" s="26">
        <v>1.95E-2</v>
      </c>
      <c r="BB74" s="26">
        <v>1.95E-2</v>
      </c>
      <c r="BC74" s="26">
        <v>1.95E-2</v>
      </c>
      <c r="BD74" s="26">
        <v>1.95E-2</v>
      </c>
      <c r="BE74" s="26">
        <v>1.95E-2</v>
      </c>
      <c r="BF74" s="11"/>
      <c r="BG74" s="11"/>
      <c r="BH74" s="11"/>
    </row>
    <row r="75" spans="2:60" x14ac:dyDescent="0.35">
      <c r="B75" s="22" t="b">
        <v>1</v>
      </c>
      <c r="C75" s="22" t="str">
        <f t="shared" si="1"/>
        <v>MD_Offshore Wind Carve-Out (Wtd. Avg.)</v>
      </c>
      <c r="D75" s="29" t="s">
        <v>46</v>
      </c>
      <c r="E75" s="30"/>
      <c r="F75" s="32" t="s">
        <v>210</v>
      </c>
      <c r="G75" s="26">
        <v>0</v>
      </c>
      <c r="H75" s="26">
        <v>0</v>
      </c>
      <c r="I75" s="26">
        <v>0</v>
      </c>
      <c r="J75" s="26">
        <v>0</v>
      </c>
      <c r="K75" s="26">
        <v>0</v>
      </c>
      <c r="L75" s="26">
        <v>0</v>
      </c>
      <c r="M75" s="26">
        <v>0</v>
      </c>
      <c r="N75" s="26">
        <v>0</v>
      </c>
      <c r="O75" s="26">
        <v>0</v>
      </c>
      <c r="P75" s="26">
        <v>0</v>
      </c>
      <c r="Q75" s="26">
        <v>0</v>
      </c>
      <c r="R75" s="26">
        <v>0</v>
      </c>
      <c r="S75" s="26">
        <v>0</v>
      </c>
      <c r="T75" s="26">
        <v>0</v>
      </c>
      <c r="U75" s="26">
        <v>0</v>
      </c>
      <c r="V75" s="26">
        <v>0</v>
      </c>
      <c r="W75" s="26">
        <v>0</v>
      </c>
      <c r="X75" s="26">
        <v>0</v>
      </c>
      <c r="Y75" s="26">
        <v>0</v>
      </c>
      <c r="Z75" s="26">
        <v>0</v>
      </c>
      <c r="AA75" s="26">
        <v>0</v>
      </c>
      <c r="AB75" s="26">
        <v>0</v>
      </c>
      <c r="AC75" s="26">
        <v>0</v>
      </c>
      <c r="AD75" s="26">
        <v>0</v>
      </c>
      <c r="AE75" s="26">
        <v>1.4E-3</v>
      </c>
      <c r="AF75" s="26">
        <v>1.66E-2</v>
      </c>
      <c r="AG75" s="26">
        <v>2.6100000000000002E-2</v>
      </c>
      <c r="AH75" s="26">
        <v>0.12920000000000001</v>
      </c>
      <c r="AI75" s="26">
        <v>0.12920000000000001</v>
      </c>
      <c r="AJ75" s="26">
        <v>0.12920000000000001</v>
      </c>
      <c r="AK75" s="26">
        <v>0.12920000000000001</v>
      </c>
      <c r="AL75" s="26">
        <v>0.12920000000000001</v>
      </c>
      <c r="AM75" s="26">
        <v>0.12920000000000001</v>
      </c>
      <c r="AN75" s="26">
        <v>0.12920000000000001</v>
      </c>
      <c r="AO75" s="26">
        <v>0.12920000000000001</v>
      </c>
      <c r="AP75" s="26">
        <v>0.12920000000000001</v>
      </c>
      <c r="AQ75" s="26">
        <v>0.12920000000000001</v>
      </c>
      <c r="AR75" s="26">
        <v>0.12920000000000001</v>
      </c>
      <c r="AS75" s="26">
        <v>0.12920000000000001</v>
      </c>
      <c r="AT75" s="26">
        <v>0.12920000000000001</v>
      </c>
      <c r="AU75" s="26">
        <v>0.12920000000000001</v>
      </c>
      <c r="AV75" s="26">
        <v>0.12920000000000001</v>
      </c>
      <c r="AW75" s="26">
        <v>0.12920000000000001</v>
      </c>
      <c r="AX75" s="26">
        <v>0.12920000000000001</v>
      </c>
      <c r="AY75" s="26">
        <v>0.12920000000000001</v>
      </c>
      <c r="AZ75" s="26">
        <v>0.12920000000000001</v>
      </c>
      <c r="BA75" s="26">
        <v>0.12920000000000001</v>
      </c>
      <c r="BB75" s="26">
        <v>0.12920000000000001</v>
      </c>
      <c r="BC75" s="26">
        <v>0.12920000000000001</v>
      </c>
      <c r="BD75" s="26">
        <v>0.12920000000000001</v>
      </c>
      <c r="BE75" s="26">
        <v>0.12920000000000001</v>
      </c>
      <c r="BF75" s="11"/>
      <c r="BG75" s="11"/>
      <c r="BH75" s="11"/>
    </row>
    <row r="76" spans="2:60" x14ac:dyDescent="0.35">
      <c r="B76" s="22" t="b">
        <v>1</v>
      </c>
      <c r="C76" s="22" t="str">
        <f t="shared" si="1"/>
        <v>MD_   IOUs &amp; competitive retailers</v>
      </c>
      <c r="D76" s="29" t="s">
        <v>46</v>
      </c>
      <c r="E76" s="30"/>
      <c r="F76" s="32" t="s">
        <v>206</v>
      </c>
      <c r="G76" s="26">
        <v>0</v>
      </c>
      <c r="H76" s="26">
        <v>0</v>
      </c>
      <c r="I76" s="26">
        <v>0</v>
      </c>
      <c r="J76" s="26">
        <v>0</v>
      </c>
      <c r="K76" s="26">
        <v>0</v>
      </c>
      <c r="L76" s="26">
        <v>0</v>
      </c>
      <c r="M76" s="26">
        <v>0</v>
      </c>
      <c r="N76" s="26">
        <v>0</v>
      </c>
      <c r="O76" s="26">
        <v>0</v>
      </c>
      <c r="P76" s="26">
        <v>0</v>
      </c>
      <c r="Q76" s="26">
        <v>0</v>
      </c>
      <c r="R76" s="26">
        <v>0</v>
      </c>
      <c r="S76" s="26">
        <v>0</v>
      </c>
      <c r="T76" s="26">
        <v>0</v>
      </c>
      <c r="U76" s="26">
        <v>0</v>
      </c>
      <c r="V76" s="26">
        <v>0</v>
      </c>
      <c r="W76" s="26">
        <v>0</v>
      </c>
      <c r="X76" s="26">
        <v>0</v>
      </c>
      <c r="Y76" s="26">
        <v>0</v>
      </c>
      <c r="Z76" s="26">
        <v>0</v>
      </c>
      <c r="AA76" s="26">
        <v>0</v>
      </c>
      <c r="AB76" s="26">
        <v>0</v>
      </c>
      <c r="AC76" s="26">
        <v>0</v>
      </c>
      <c r="AD76" s="26">
        <v>0</v>
      </c>
      <c r="AE76" s="26">
        <v>1.4E-3</v>
      </c>
      <c r="AF76" s="26">
        <v>1.66E-2</v>
      </c>
      <c r="AG76" s="26">
        <v>2.6100000000000002E-2</v>
      </c>
      <c r="AH76" s="26">
        <v>0.13020000000000001</v>
      </c>
      <c r="AI76" s="26">
        <v>0.13020000000000001</v>
      </c>
      <c r="AJ76" s="26">
        <v>0.13020000000000001</v>
      </c>
      <c r="AK76" s="26">
        <v>0.13020000000000001</v>
      </c>
      <c r="AL76" s="26">
        <v>0.13020000000000001</v>
      </c>
      <c r="AM76" s="26">
        <v>0.13020000000000001</v>
      </c>
      <c r="AN76" s="26">
        <v>0.13020000000000001</v>
      </c>
      <c r="AO76" s="26">
        <v>0.13020000000000001</v>
      </c>
      <c r="AP76" s="26">
        <v>0.13020000000000001</v>
      </c>
      <c r="AQ76" s="26">
        <v>0.13020000000000001</v>
      </c>
      <c r="AR76" s="26">
        <v>0.13020000000000001</v>
      </c>
      <c r="AS76" s="26">
        <v>0.13020000000000001</v>
      </c>
      <c r="AT76" s="26">
        <v>0.13020000000000001</v>
      </c>
      <c r="AU76" s="26">
        <v>0.13020000000000001</v>
      </c>
      <c r="AV76" s="26">
        <v>0.13020000000000001</v>
      </c>
      <c r="AW76" s="26">
        <v>0.13020000000000001</v>
      </c>
      <c r="AX76" s="26">
        <v>0.13020000000000001</v>
      </c>
      <c r="AY76" s="26">
        <v>0.13020000000000001</v>
      </c>
      <c r="AZ76" s="26">
        <v>0.13020000000000001</v>
      </c>
      <c r="BA76" s="26">
        <v>0.13020000000000001</v>
      </c>
      <c r="BB76" s="26">
        <v>0.13020000000000001</v>
      </c>
      <c r="BC76" s="26">
        <v>0.13020000000000001</v>
      </c>
      <c r="BD76" s="26">
        <v>0.13020000000000001</v>
      </c>
      <c r="BE76" s="26">
        <v>0.13020000000000001</v>
      </c>
      <c r="BF76" s="11"/>
      <c r="BG76" s="11"/>
      <c r="BH76" s="11"/>
    </row>
    <row r="77" spans="2:60" x14ac:dyDescent="0.35">
      <c r="B77" s="22" t="b">
        <v>1</v>
      </c>
      <c r="C77" s="22" t="str">
        <f t="shared" si="1"/>
        <v>MD_   Cooperatives</v>
      </c>
      <c r="D77" s="29" t="s">
        <v>46</v>
      </c>
      <c r="E77" s="30"/>
      <c r="F77" s="25" t="s">
        <v>207</v>
      </c>
      <c r="G77" s="26">
        <v>0</v>
      </c>
      <c r="H77" s="26">
        <v>0</v>
      </c>
      <c r="I77" s="26">
        <v>0</v>
      </c>
      <c r="J77" s="26">
        <v>0</v>
      </c>
      <c r="K77" s="26">
        <v>0</v>
      </c>
      <c r="L77" s="26">
        <v>0</v>
      </c>
      <c r="M77" s="26">
        <v>0</v>
      </c>
      <c r="N77" s="26">
        <v>0</v>
      </c>
      <c r="O77" s="26">
        <v>0</v>
      </c>
      <c r="P77" s="26">
        <v>0</v>
      </c>
      <c r="Q77" s="26">
        <v>0</v>
      </c>
      <c r="R77" s="26">
        <v>0</v>
      </c>
      <c r="S77" s="26">
        <v>0</v>
      </c>
      <c r="T77" s="26">
        <v>0</v>
      </c>
      <c r="U77" s="26">
        <v>0</v>
      </c>
      <c r="V77" s="26">
        <v>0</v>
      </c>
      <c r="W77" s="26">
        <v>0</v>
      </c>
      <c r="X77" s="26">
        <v>0</v>
      </c>
      <c r="Y77" s="26">
        <v>0</v>
      </c>
      <c r="Z77" s="26">
        <v>0</v>
      </c>
      <c r="AA77" s="26">
        <v>0</v>
      </c>
      <c r="AB77" s="26">
        <v>0</v>
      </c>
      <c r="AC77" s="26">
        <v>0</v>
      </c>
      <c r="AD77" s="26">
        <v>0</v>
      </c>
      <c r="AE77" s="26">
        <v>1.4E-3</v>
      </c>
      <c r="AF77" s="26">
        <v>1.66E-2</v>
      </c>
      <c r="AG77" s="26">
        <v>2.6100000000000002E-2</v>
      </c>
      <c r="AH77" s="26">
        <v>0.13020000000000001</v>
      </c>
      <c r="AI77" s="26">
        <v>0.13020000000000001</v>
      </c>
      <c r="AJ77" s="26">
        <v>0.13020000000000001</v>
      </c>
      <c r="AK77" s="26">
        <v>0.13020000000000001</v>
      </c>
      <c r="AL77" s="26">
        <v>0.13020000000000001</v>
      </c>
      <c r="AM77" s="26">
        <v>0.13020000000000001</v>
      </c>
      <c r="AN77" s="26">
        <v>0.13020000000000001</v>
      </c>
      <c r="AO77" s="26">
        <v>0.13020000000000001</v>
      </c>
      <c r="AP77" s="26">
        <v>0.13020000000000001</v>
      </c>
      <c r="AQ77" s="26">
        <v>0.13020000000000001</v>
      </c>
      <c r="AR77" s="26">
        <v>0.13020000000000001</v>
      </c>
      <c r="AS77" s="26">
        <v>0.13020000000000001</v>
      </c>
      <c r="AT77" s="26">
        <v>0.13020000000000001</v>
      </c>
      <c r="AU77" s="26">
        <v>0.13020000000000001</v>
      </c>
      <c r="AV77" s="26">
        <v>0.13020000000000001</v>
      </c>
      <c r="AW77" s="26">
        <v>0.13020000000000001</v>
      </c>
      <c r="AX77" s="26">
        <v>0.13020000000000001</v>
      </c>
      <c r="AY77" s="26">
        <v>0.13020000000000001</v>
      </c>
      <c r="AZ77" s="26">
        <v>0.13020000000000001</v>
      </c>
      <c r="BA77" s="26">
        <v>0.13020000000000001</v>
      </c>
      <c r="BB77" s="26">
        <v>0.13020000000000001</v>
      </c>
      <c r="BC77" s="26">
        <v>0.13020000000000001</v>
      </c>
      <c r="BD77" s="26">
        <v>0.13020000000000001</v>
      </c>
      <c r="BE77" s="31">
        <v>0.13020000000000001</v>
      </c>
      <c r="BF77" s="11"/>
      <c r="BG77" s="11"/>
      <c r="BH77" s="11"/>
    </row>
    <row r="78" spans="2:60" x14ac:dyDescent="0.35">
      <c r="B78" s="22" t="b">
        <v>1</v>
      </c>
      <c r="C78" s="22" t="str">
        <f t="shared" si="1"/>
        <v>MD_   Municipal utilities</v>
      </c>
      <c r="D78" s="34" t="s">
        <v>46</v>
      </c>
      <c r="E78" s="35"/>
      <c r="F78" s="32" t="s">
        <v>208</v>
      </c>
      <c r="G78" s="26">
        <v>0</v>
      </c>
      <c r="H78" s="26">
        <v>0</v>
      </c>
      <c r="I78" s="26">
        <v>0</v>
      </c>
      <c r="J78" s="26">
        <v>0</v>
      </c>
      <c r="K78" s="26">
        <v>0</v>
      </c>
      <c r="L78" s="26">
        <v>0</v>
      </c>
      <c r="M78" s="26">
        <v>0</v>
      </c>
      <c r="N78" s="26">
        <v>0</v>
      </c>
      <c r="O78" s="26">
        <v>0</v>
      </c>
      <c r="P78" s="26">
        <v>0</v>
      </c>
      <c r="Q78" s="26">
        <v>0</v>
      </c>
      <c r="R78" s="26">
        <v>0</v>
      </c>
      <c r="S78" s="26">
        <v>0</v>
      </c>
      <c r="T78" s="26">
        <v>0</v>
      </c>
      <c r="U78" s="26">
        <v>0</v>
      </c>
      <c r="V78" s="26">
        <v>0</v>
      </c>
      <c r="W78" s="26">
        <v>0</v>
      </c>
      <c r="X78" s="26">
        <v>0</v>
      </c>
      <c r="Y78" s="26">
        <v>0</v>
      </c>
      <c r="Z78" s="26">
        <v>0</v>
      </c>
      <c r="AA78" s="26">
        <v>0</v>
      </c>
      <c r="AB78" s="26">
        <v>0</v>
      </c>
      <c r="AC78" s="26">
        <v>0</v>
      </c>
      <c r="AD78" s="26">
        <v>0</v>
      </c>
      <c r="AE78" s="26">
        <v>1.4E-3</v>
      </c>
      <c r="AF78" s="26">
        <v>1.66E-2</v>
      </c>
      <c r="AG78" s="26">
        <v>2.5000000000000001E-2</v>
      </c>
      <c r="AH78" s="26">
        <v>2.5000000000000001E-2</v>
      </c>
      <c r="AI78" s="26">
        <v>2.5000000000000001E-2</v>
      </c>
      <c r="AJ78" s="26">
        <v>2.5000000000000001E-2</v>
      </c>
      <c r="AK78" s="26">
        <v>2.5000000000000001E-2</v>
      </c>
      <c r="AL78" s="26">
        <v>2.5000000000000001E-2</v>
      </c>
      <c r="AM78" s="26">
        <v>2.5000000000000001E-2</v>
      </c>
      <c r="AN78" s="26">
        <v>2.5000000000000001E-2</v>
      </c>
      <c r="AO78" s="26">
        <v>2.5000000000000001E-2</v>
      </c>
      <c r="AP78" s="26">
        <v>2.5000000000000001E-2</v>
      </c>
      <c r="AQ78" s="26">
        <v>2.5000000000000001E-2</v>
      </c>
      <c r="AR78" s="26">
        <v>2.5000000000000001E-2</v>
      </c>
      <c r="AS78" s="26">
        <v>2.5000000000000001E-2</v>
      </c>
      <c r="AT78" s="26">
        <v>2.5000000000000001E-2</v>
      </c>
      <c r="AU78" s="26">
        <v>2.5000000000000001E-2</v>
      </c>
      <c r="AV78" s="26">
        <v>2.5000000000000001E-2</v>
      </c>
      <c r="AW78" s="26">
        <v>2.5000000000000001E-2</v>
      </c>
      <c r="AX78" s="26">
        <v>2.5000000000000001E-2</v>
      </c>
      <c r="AY78" s="26">
        <v>2.5000000000000001E-2</v>
      </c>
      <c r="AZ78" s="26">
        <v>2.5000000000000001E-2</v>
      </c>
      <c r="BA78" s="26">
        <v>2.5000000000000001E-2</v>
      </c>
      <c r="BB78" s="26">
        <v>2.5000000000000001E-2</v>
      </c>
      <c r="BC78" s="26">
        <v>2.5000000000000001E-2</v>
      </c>
      <c r="BD78" s="26">
        <v>2.5000000000000001E-2</v>
      </c>
      <c r="BE78" s="26">
        <v>2.5000000000000001E-2</v>
      </c>
      <c r="BF78" s="11"/>
      <c r="BG78" s="11"/>
      <c r="BH78" s="11"/>
    </row>
    <row r="79" spans="2:60" x14ac:dyDescent="0.35">
      <c r="B79" s="22" t="b">
        <v>1</v>
      </c>
      <c r="C79" s="22" t="str">
        <f t="shared" si="1"/>
        <v>MD_Geothermal Heat Pump Carve-Out</v>
      </c>
      <c r="D79" s="34" t="s">
        <v>46</v>
      </c>
      <c r="E79" s="35"/>
      <c r="F79" s="25" t="s">
        <v>211</v>
      </c>
      <c r="G79" s="26">
        <v>0</v>
      </c>
      <c r="H79" s="26">
        <v>0</v>
      </c>
      <c r="I79" s="26">
        <v>0</v>
      </c>
      <c r="J79" s="26">
        <v>0</v>
      </c>
      <c r="K79" s="26">
        <v>0</v>
      </c>
      <c r="L79" s="26">
        <v>0</v>
      </c>
      <c r="M79" s="26">
        <v>0</v>
      </c>
      <c r="N79" s="26">
        <v>0</v>
      </c>
      <c r="O79" s="26">
        <v>0</v>
      </c>
      <c r="P79" s="26">
        <v>0</v>
      </c>
      <c r="Q79" s="26">
        <v>0</v>
      </c>
      <c r="R79" s="26">
        <v>0</v>
      </c>
      <c r="S79" s="26">
        <v>0</v>
      </c>
      <c r="T79" s="26">
        <v>0</v>
      </c>
      <c r="U79" s="26">
        <v>0</v>
      </c>
      <c r="V79" s="26">
        <v>0</v>
      </c>
      <c r="W79" s="26">
        <v>0</v>
      </c>
      <c r="X79" s="26">
        <v>0</v>
      </c>
      <c r="Y79" s="26">
        <v>0</v>
      </c>
      <c r="Z79" s="26">
        <v>0</v>
      </c>
      <c r="AA79" s="26">
        <v>0</v>
      </c>
      <c r="AB79" s="26">
        <v>0</v>
      </c>
      <c r="AC79" s="26">
        <v>0</v>
      </c>
      <c r="AD79" s="26">
        <v>0</v>
      </c>
      <c r="AE79" s="26">
        <v>0</v>
      </c>
      <c r="AF79" s="26">
        <v>5.0000000000000001E-4</v>
      </c>
      <c r="AG79" s="26">
        <v>1.5E-3</v>
      </c>
      <c r="AH79" s="26">
        <v>2.5000000000000001E-3</v>
      </c>
      <c r="AI79" s="26">
        <v>5.0000000000000001E-3</v>
      </c>
      <c r="AJ79" s="26">
        <v>7.4999999999999997E-3</v>
      </c>
      <c r="AK79" s="26">
        <v>0.01</v>
      </c>
      <c r="AL79" s="26">
        <v>0.01</v>
      </c>
      <c r="AM79" s="26">
        <v>0.01</v>
      </c>
      <c r="AN79" s="26">
        <v>0.01</v>
      </c>
      <c r="AO79" s="26">
        <v>0.01</v>
      </c>
      <c r="AP79" s="26">
        <v>0.01</v>
      </c>
      <c r="AQ79" s="26">
        <v>0.01</v>
      </c>
      <c r="AR79" s="26">
        <v>0.01</v>
      </c>
      <c r="AS79" s="26">
        <v>0.01</v>
      </c>
      <c r="AT79" s="26">
        <v>0.01</v>
      </c>
      <c r="AU79" s="26">
        <v>0.01</v>
      </c>
      <c r="AV79" s="26">
        <v>0.01</v>
      </c>
      <c r="AW79" s="26">
        <v>0.01</v>
      </c>
      <c r="AX79" s="26">
        <v>0.01</v>
      </c>
      <c r="AY79" s="26">
        <v>0.01</v>
      </c>
      <c r="AZ79" s="26">
        <v>0.01</v>
      </c>
      <c r="BA79" s="26">
        <v>0.01</v>
      </c>
      <c r="BB79" s="26">
        <v>0.01</v>
      </c>
      <c r="BC79" s="26">
        <v>0.01</v>
      </c>
      <c r="BD79" s="26">
        <v>0.01</v>
      </c>
      <c r="BE79" s="26">
        <v>0.01</v>
      </c>
      <c r="BF79" s="11"/>
      <c r="BG79" s="11"/>
      <c r="BH79" s="11"/>
    </row>
    <row r="80" spans="2:60" ht="12.75" customHeight="1" x14ac:dyDescent="0.35">
      <c r="B80" s="22" t="b">
        <v>1</v>
      </c>
      <c r="C80" s="22" t="str">
        <f t="shared" si="1"/>
        <v>MD_Tier I Non-Carve-Out (Wtd. Avg.)</v>
      </c>
      <c r="D80" s="29" t="s">
        <v>46</v>
      </c>
      <c r="E80" s="30"/>
      <c r="F80" s="32" t="s">
        <v>212</v>
      </c>
      <c r="G80" s="26">
        <v>0</v>
      </c>
      <c r="H80" s="26">
        <v>0</v>
      </c>
      <c r="I80" s="26">
        <v>0</v>
      </c>
      <c r="J80" s="26">
        <v>0</v>
      </c>
      <c r="K80" s="26">
        <v>0</v>
      </c>
      <c r="L80" s="26">
        <v>0</v>
      </c>
      <c r="M80" s="26">
        <v>0</v>
      </c>
      <c r="N80" s="26">
        <v>0</v>
      </c>
      <c r="O80" s="26">
        <v>9.7999999999999997E-3</v>
      </c>
      <c r="P80" s="26">
        <v>9.7999999999999997E-3</v>
      </c>
      <c r="Q80" s="26">
        <v>1.9599999999999999E-2</v>
      </c>
      <c r="R80" s="26">
        <v>1.9400000000000001E-2</v>
      </c>
      <c r="S80" s="26">
        <v>2.9100000000000001E-2</v>
      </c>
      <c r="T80" s="26">
        <v>4.7199999999999999E-2</v>
      </c>
      <c r="U80" s="26">
        <v>6.1199999999999997E-2</v>
      </c>
      <c r="V80" s="26">
        <v>7.6600000000000001E-2</v>
      </c>
      <c r="W80" s="26">
        <v>9.5600000000000004E-2</v>
      </c>
      <c r="X80" s="26">
        <v>9.35E-2</v>
      </c>
      <c r="Y80" s="26">
        <v>0.11210000000000001</v>
      </c>
      <c r="Z80" s="26">
        <v>7.9200000000000007E-2</v>
      </c>
      <c r="AA80" s="26">
        <v>9.9699999999999997E-2</v>
      </c>
      <c r="AB80" s="26">
        <v>0.1346</v>
      </c>
      <c r="AC80" s="26">
        <v>0.22500000000000001</v>
      </c>
      <c r="AD80" s="26">
        <v>0.24809999999999999</v>
      </c>
      <c r="AE80" s="26">
        <v>0.2238</v>
      </c>
      <c r="AF80" s="26">
        <v>0.215</v>
      </c>
      <c r="AG80" s="26">
        <v>0.23350000000000001</v>
      </c>
      <c r="AH80" s="26">
        <v>0.13350000000000001</v>
      </c>
      <c r="AI80" s="26">
        <v>0.1421</v>
      </c>
      <c r="AJ80" s="26">
        <v>0.16059999999999999</v>
      </c>
      <c r="AK80" s="26">
        <v>0.15479999999999999</v>
      </c>
      <c r="AL80" s="26">
        <v>0.21920000000000001</v>
      </c>
      <c r="AM80" s="26">
        <v>0.22409999999999999</v>
      </c>
      <c r="AN80" s="26">
        <v>0.22409999999999999</v>
      </c>
      <c r="AO80" s="26">
        <v>0.22409999999999999</v>
      </c>
      <c r="AP80" s="26">
        <v>0.22409999999999999</v>
      </c>
      <c r="AQ80" s="26">
        <v>0.22409999999999999</v>
      </c>
      <c r="AR80" s="26">
        <v>0.22409999999999999</v>
      </c>
      <c r="AS80" s="26">
        <v>0.22409999999999999</v>
      </c>
      <c r="AT80" s="26">
        <v>0.22409999999999999</v>
      </c>
      <c r="AU80" s="26">
        <v>0.22409999999999999</v>
      </c>
      <c r="AV80" s="26">
        <v>0.22409999999999999</v>
      </c>
      <c r="AW80" s="26">
        <v>0.22409999999999999</v>
      </c>
      <c r="AX80" s="26">
        <v>0.22409999999999999</v>
      </c>
      <c r="AY80" s="26">
        <v>0.22409999999999999</v>
      </c>
      <c r="AZ80" s="26">
        <v>0.22409999999999999</v>
      </c>
      <c r="BA80" s="26">
        <v>0.22409999999999999</v>
      </c>
      <c r="BB80" s="26">
        <v>0.22409999999999999</v>
      </c>
      <c r="BC80" s="26">
        <v>0.22409999999999999</v>
      </c>
      <c r="BD80" s="26">
        <v>0.22409999999999999</v>
      </c>
      <c r="BE80" s="26">
        <v>0.22409999999999999</v>
      </c>
      <c r="BF80" s="11"/>
      <c r="BG80" s="11"/>
      <c r="BH80" s="11"/>
    </row>
    <row r="81" spans="2:60" x14ac:dyDescent="0.35">
      <c r="B81" s="22" t="b">
        <v>1</v>
      </c>
      <c r="C81" s="22" t="str">
        <f t="shared" si="1"/>
        <v>MD_   IOUs &amp; competitive retailers</v>
      </c>
      <c r="D81" s="29" t="s">
        <v>46</v>
      </c>
      <c r="E81" s="30"/>
      <c r="F81" s="25" t="s">
        <v>206</v>
      </c>
      <c r="G81" s="26">
        <v>0</v>
      </c>
      <c r="H81" s="26">
        <v>0</v>
      </c>
      <c r="I81" s="26">
        <v>0</v>
      </c>
      <c r="J81" s="26">
        <v>0</v>
      </c>
      <c r="K81" s="26">
        <v>0</v>
      </c>
      <c r="L81" s="26">
        <v>0</v>
      </c>
      <c r="M81" s="26">
        <v>0</v>
      </c>
      <c r="N81" s="26">
        <v>0</v>
      </c>
      <c r="O81" s="26">
        <v>0.01</v>
      </c>
      <c r="P81" s="26">
        <v>9.9000000000000008E-3</v>
      </c>
      <c r="Q81" s="26">
        <v>1.9800000000000002E-2</v>
      </c>
      <c r="R81" s="26">
        <v>1.9599999999999999E-2</v>
      </c>
      <c r="S81" s="26">
        <v>2.93E-2</v>
      </c>
      <c r="T81" s="26">
        <v>4.7500000000000001E-2</v>
      </c>
      <c r="U81" s="26">
        <v>6.1499999999999999E-2</v>
      </c>
      <c r="V81" s="26">
        <v>7.6999999999999999E-2</v>
      </c>
      <c r="W81" s="26">
        <v>9.6000000000000002E-2</v>
      </c>
      <c r="X81" s="26">
        <v>9.35E-2</v>
      </c>
      <c r="Y81" s="26">
        <v>0.112</v>
      </c>
      <c r="Z81" s="26">
        <v>7.5999999999999998E-2</v>
      </c>
      <c r="AA81" s="26">
        <v>9.8000000000000004E-2</v>
      </c>
      <c r="AB81" s="26">
        <v>0.13200000000000001</v>
      </c>
      <c r="AC81" s="26">
        <v>0.22500000000000001</v>
      </c>
      <c r="AD81" s="26">
        <v>0.248</v>
      </c>
      <c r="AE81" s="26">
        <v>0.221</v>
      </c>
      <c r="AF81" s="26">
        <v>0.21160000000000001</v>
      </c>
      <c r="AG81" s="26">
        <v>0.22939999999999999</v>
      </c>
      <c r="AH81" s="26">
        <v>0.1273</v>
      </c>
      <c r="AI81" s="26">
        <v>0.1348</v>
      </c>
      <c r="AJ81" s="26">
        <v>0.15229999999999999</v>
      </c>
      <c r="AK81" s="26">
        <v>0.14480000000000001</v>
      </c>
      <c r="AL81" s="26">
        <v>0.20979999999999999</v>
      </c>
      <c r="AM81" s="26">
        <v>0.21479999999999999</v>
      </c>
      <c r="AN81" s="26">
        <v>0.21479999999999999</v>
      </c>
      <c r="AO81" s="26">
        <v>0.21479999999999999</v>
      </c>
      <c r="AP81" s="26">
        <v>0.21479999999999999</v>
      </c>
      <c r="AQ81" s="26">
        <v>0.21479999999999999</v>
      </c>
      <c r="AR81" s="26">
        <v>0.21479999999999999</v>
      </c>
      <c r="AS81" s="26">
        <v>0.21479999999999999</v>
      </c>
      <c r="AT81" s="26">
        <v>0.21479999999999999</v>
      </c>
      <c r="AU81" s="26">
        <v>0.21479999999999999</v>
      </c>
      <c r="AV81" s="26">
        <v>0.21479999999999999</v>
      </c>
      <c r="AW81" s="26">
        <v>0.21479999999999999</v>
      </c>
      <c r="AX81" s="26">
        <v>0.21479999999999999</v>
      </c>
      <c r="AY81" s="26">
        <v>0.21479999999999999</v>
      </c>
      <c r="AZ81" s="26">
        <v>0.21479999999999999</v>
      </c>
      <c r="BA81" s="26">
        <v>0.21479999999999999</v>
      </c>
      <c r="BB81" s="26">
        <v>0.21479999999999999</v>
      </c>
      <c r="BC81" s="26">
        <v>0.21479999999999999</v>
      </c>
      <c r="BD81" s="26">
        <v>0.21479999999999999</v>
      </c>
      <c r="BE81" s="26">
        <v>0.21479999999999999</v>
      </c>
      <c r="BF81" s="11"/>
      <c r="BG81" s="11"/>
      <c r="BH81" s="11"/>
    </row>
    <row r="82" spans="2:60" x14ac:dyDescent="0.35">
      <c r="B82" s="22" t="b">
        <v>1</v>
      </c>
      <c r="C82" s="22" t="str">
        <f t="shared" si="1"/>
        <v>MD_   Cooperatives</v>
      </c>
      <c r="D82" s="29" t="s">
        <v>46</v>
      </c>
      <c r="E82" s="30"/>
      <c r="F82" s="25" t="s">
        <v>207</v>
      </c>
      <c r="G82" s="26">
        <v>0</v>
      </c>
      <c r="H82" s="26">
        <v>0</v>
      </c>
      <c r="I82" s="26">
        <v>0</v>
      </c>
      <c r="J82" s="26">
        <v>0</v>
      </c>
      <c r="K82" s="26">
        <v>0</v>
      </c>
      <c r="L82" s="26">
        <v>0</v>
      </c>
      <c r="M82" s="26">
        <v>0</v>
      </c>
      <c r="N82" s="26">
        <v>0</v>
      </c>
      <c r="O82" s="26">
        <v>0.01</v>
      </c>
      <c r="P82" s="26">
        <v>0.01</v>
      </c>
      <c r="Q82" s="26">
        <v>2.01E-2</v>
      </c>
      <c r="R82" s="26">
        <v>2.01E-2</v>
      </c>
      <c r="S82" s="26">
        <v>3.0300000000000001E-2</v>
      </c>
      <c r="T82" s="26">
        <v>0.05</v>
      </c>
      <c r="U82" s="26">
        <v>6.5000000000000002E-2</v>
      </c>
      <c r="V82" s="26">
        <v>8.2000000000000003E-2</v>
      </c>
      <c r="W82" s="26">
        <v>0.10299999999999999</v>
      </c>
      <c r="X82" s="26">
        <v>0.105</v>
      </c>
      <c r="Y82" s="26">
        <v>0.127</v>
      </c>
      <c r="Z82" s="26">
        <v>0.13100000000000001</v>
      </c>
      <c r="AA82" s="26">
        <v>0.13300000000000001</v>
      </c>
      <c r="AB82" s="26">
        <v>0.182</v>
      </c>
      <c r="AC82" s="26">
        <v>0.255</v>
      </c>
      <c r="AD82" s="26">
        <v>0.28299999999999997</v>
      </c>
      <c r="AE82" s="26">
        <v>0.26100000000000001</v>
      </c>
      <c r="AF82" s="26">
        <v>0.25659999999999999</v>
      </c>
      <c r="AG82" s="26">
        <v>0.28439999999999999</v>
      </c>
      <c r="AH82" s="26">
        <v>0.1973</v>
      </c>
      <c r="AI82" s="26">
        <v>0.2198</v>
      </c>
      <c r="AJ82" s="26">
        <v>0.25230000000000002</v>
      </c>
      <c r="AK82" s="26">
        <v>0.26479999999999998</v>
      </c>
      <c r="AL82" s="26">
        <v>0.32979999999999998</v>
      </c>
      <c r="AM82" s="26">
        <v>0.33479999999999999</v>
      </c>
      <c r="AN82" s="26">
        <v>0.33479999999999999</v>
      </c>
      <c r="AO82" s="26">
        <v>0.33479999999999999</v>
      </c>
      <c r="AP82" s="26">
        <v>0.33479999999999999</v>
      </c>
      <c r="AQ82" s="26">
        <v>0.33479999999999999</v>
      </c>
      <c r="AR82" s="26">
        <v>0.33479999999999999</v>
      </c>
      <c r="AS82" s="26">
        <v>0.33479999999999999</v>
      </c>
      <c r="AT82" s="26">
        <v>0.33479999999999999</v>
      </c>
      <c r="AU82" s="26">
        <v>0.33479999999999999</v>
      </c>
      <c r="AV82" s="26">
        <v>0.33479999999999999</v>
      </c>
      <c r="AW82" s="26">
        <v>0.33479999999999999</v>
      </c>
      <c r="AX82" s="26">
        <v>0.33479999999999999</v>
      </c>
      <c r="AY82" s="26">
        <v>0.33479999999999999</v>
      </c>
      <c r="AZ82" s="26">
        <v>0.33479999999999999</v>
      </c>
      <c r="BA82" s="26">
        <v>0.33479999999999999</v>
      </c>
      <c r="BB82" s="26">
        <v>0.33479999999999999</v>
      </c>
      <c r="BC82" s="26">
        <v>0.33479999999999999</v>
      </c>
      <c r="BD82" s="26">
        <v>0.33479999999999999</v>
      </c>
      <c r="BE82" s="26">
        <v>0.33479999999999999</v>
      </c>
      <c r="BF82" s="11"/>
      <c r="BG82" s="11"/>
      <c r="BH82" s="11"/>
    </row>
    <row r="83" spans="2:60" x14ac:dyDescent="0.35">
      <c r="B83" s="22" t="b">
        <v>1</v>
      </c>
      <c r="C83" s="22" t="str">
        <f t="shared" si="1"/>
        <v>MD_   Municipal utilities</v>
      </c>
      <c r="D83" s="29" t="s">
        <v>46</v>
      </c>
      <c r="E83" s="30"/>
      <c r="F83" s="32" t="s">
        <v>208</v>
      </c>
      <c r="G83" s="26">
        <v>0</v>
      </c>
      <c r="H83" s="26">
        <v>0</v>
      </c>
      <c r="I83" s="26">
        <v>0</v>
      </c>
      <c r="J83" s="26">
        <v>0</v>
      </c>
      <c r="K83" s="26">
        <v>0</v>
      </c>
      <c r="L83" s="26">
        <v>0</v>
      </c>
      <c r="M83" s="26">
        <v>0</v>
      </c>
      <c r="N83" s="26">
        <v>0</v>
      </c>
      <c r="O83" s="26">
        <v>0</v>
      </c>
      <c r="P83" s="26">
        <v>0</v>
      </c>
      <c r="Q83" s="26">
        <v>0</v>
      </c>
      <c r="R83" s="26">
        <v>0</v>
      </c>
      <c r="S83" s="26">
        <v>0</v>
      </c>
      <c r="T83" s="26">
        <v>0</v>
      </c>
      <c r="U83" s="26">
        <v>0</v>
      </c>
      <c r="V83" s="26">
        <v>0</v>
      </c>
      <c r="W83" s="26">
        <v>0</v>
      </c>
      <c r="X83" s="26">
        <v>0</v>
      </c>
      <c r="Y83" s="26">
        <v>0</v>
      </c>
      <c r="Z83" s="26">
        <v>0</v>
      </c>
      <c r="AA83" s="26">
        <v>0</v>
      </c>
      <c r="AB83" s="26">
        <v>0</v>
      </c>
      <c r="AC83" s="26">
        <v>-1.95E-2</v>
      </c>
      <c r="AD83" s="26">
        <v>-1.95E-2</v>
      </c>
      <c r="AE83" s="26">
        <v>0.18590000000000001</v>
      </c>
      <c r="AF83" s="26">
        <v>0.2016</v>
      </c>
      <c r="AG83" s="26">
        <v>0.21099999999999999</v>
      </c>
      <c r="AH83" s="26">
        <v>0.21199999999999999</v>
      </c>
      <c r="AI83" s="26">
        <v>0.2145</v>
      </c>
      <c r="AJ83" s="26">
        <v>0.217</v>
      </c>
      <c r="AK83" s="26">
        <v>0.2195</v>
      </c>
      <c r="AL83" s="26">
        <v>0.2195</v>
      </c>
      <c r="AM83" s="26">
        <v>0.2195</v>
      </c>
      <c r="AN83" s="26">
        <v>0.2195</v>
      </c>
      <c r="AO83" s="26">
        <v>0.2195</v>
      </c>
      <c r="AP83" s="26">
        <v>0.2195</v>
      </c>
      <c r="AQ83" s="26">
        <v>0.2195</v>
      </c>
      <c r="AR83" s="26">
        <v>0.2195</v>
      </c>
      <c r="AS83" s="26">
        <v>0.2195</v>
      </c>
      <c r="AT83" s="26">
        <v>0.2195</v>
      </c>
      <c r="AU83" s="26">
        <v>0.2195</v>
      </c>
      <c r="AV83" s="26">
        <v>0.2195</v>
      </c>
      <c r="AW83" s="26">
        <v>0.2195</v>
      </c>
      <c r="AX83" s="26">
        <v>0.2195</v>
      </c>
      <c r="AY83" s="26">
        <v>0.2195</v>
      </c>
      <c r="AZ83" s="26">
        <v>0.2195</v>
      </c>
      <c r="BA83" s="26">
        <v>0.2195</v>
      </c>
      <c r="BB83" s="26">
        <v>0.2195</v>
      </c>
      <c r="BC83" s="26">
        <v>0.2195</v>
      </c>
      <c r="BD83" s="26">
        <v>0.2195</v>
      </c>
      <c r="BE83" s="26">
        <v>0.2195</v>
      </c>
      <c r="BF83" s="11"/>
      <c r="BG83" s="11"/>
      <c r="BH83" s="11"/>
    </row>
    <row r="84" spans="2:60" x14ac:dyDescent="0.35">
      <c r="B84" s="22" t="b">
        <v>1</v>
      </c>
      <c r="C84" s="22" t="str">
        <f t="shared" si="1"/>
        <v>MD_Tier II</v>
      </c>
      <c r="D84" s="29" t="s">
        <v>46</v>
      </c>
      <c r="E84" s="30"/>
      <c r="F84" s="25" t="s">
        <v>213</v>
      </c>
      <c r="G84" s="26">
        <v>0</v>
      </c>
      <c r="H84" s="26">
        <v>0</v>
      </c>
      <c r="I84" s="26">
        <v>0</v>
      </c>
      <c r="J84" s="26">
        <v>0</v>
      </c>
      <c r="K84" s="26">
        <v>0</v>
      </c>
      <c r="L84" s="26">
        <v>0</v>
      </c>
      <c r="M84" s="26">
        <v>2.5000000000000001E-2</v>
      </c>
      <c r="N84" s="26">
        <v>2.5000000000000001E-2</v>
      </c>
      <c r="O84" s="26">
        <v>2.5000000000000001E-2</v>
      </c>
      <c r="P84" s="26">
        <v>2.5000000000000001E-2</v>
      </c>
      <c r="Q84" s="26">
        <v>2.5000000000000001E-2</v>
      </c>
      <c r="R84" s="26">
        <v>2.5000000000000001E-2</v>
      </c>
      <c r="S84" s="26">
        <v>2.5000000000000001E-2</v>
      </c>
      <c r="T84" s="26">
        <v>2.5000000000000001E-2</v>
      </c>
      <c r="U84" s="26">
        <v>2.5000000000000001E-2</v>
      </c>
      <c r="V84" s="26">
        <v>2.5000000000000001E-2</v>
      </c>
      <c r="W84" s="26">
        <v>2.5000000000000001E-2</v>
      </c>
      <c r="X84" s="26">
        <v>2.5000000000000001E-2</v>
      </c>
      <c r="Y84" s="26">
        <v>2.5000000000000001E-2</v>
      </c>
      <c r="Z84" s="26">
        <v>2.5000000000000001E-2</v>
      </c>
      <c r="AA84" s="26">
        <v>2.5000000000000001E-2</v>
      </c>
      <c r="AB84" s="26">
        <v>2.5000000000000001E-2</v>
      </c>
      <c r="AC84" s="26">
        <v>2.5000000000000001E-2</v>
      </c>
      <c r="AD84" s="26">
        <v>2.5000000000000001E-2</v>
      </c>
      <c r="AE84" s="26">
        <v>2.5000000000000001E-2</v>
      </c>
      <c r="AF84" s="26">
        <v>2.5000000000000001E-2</v>
      </c>
      <c r="AG84" s="26">
        <v>2.5000000000000001E-2</v>
      </c>
      <c r="AH84" s="26">
        <v>2.5000000000000001E-2</v>
      </c>
      <c r="AI84" s="26">
        <v>2.5000000000000001E-2</v>
      </c>
      <c r="AJ84" s="26">
        <v>2.5000000000000001E-2</v>
      </c>
      <c r="AK84" s="26">
        <v>2.5000000000000001E-2</v>
      </c>
      <c r="AL84" s="26">
        <v>2.5000000000000001E-2</v>
      </c>
      <c r="AM84" s="26">
        <v>2.5000000000000001E-2</v>
      </c>
      <c r="AN84" s="26">
        <v>2.5000000000000001E-2</v>
      </c>
      <c r="AO84" s="26">
        <v>2.5000000000000001E-2</v>
      </c>
      <c r="AP84" s="26">
        <v>2.5000000000000001E-2</v>
      </c>
      <c r="AQ84" s="26">
        <v>2.5000000000000001E-2</v>
      </c>
      <c r="AR84" s="26">
        <v>2.5000000000000001E-2</v>
      </c>
      <c r="AS84" s="26">
        <v>2.5000000000000001E-2</v>
      </c>
      <c r="AT84" s="26">
        <v>2.5000000000000001E-2</v>
      </c>
      <c r="AU84" s="26">
        <v>2.5000000000000001E-2</v>
      </c>
      <c r="AV84" s="26">
        <v>2.5000000000000001E-2</v>
      </c>
      <c r="AW84" s="26">
        <v>2.5000000000000001E-2</v>
      </c>
      <c r="AX84" s="26">
        <v>2.5000000000000001E-2</v>
      </c>
      <c r="AY84" s="26">
        <v>2.5000000000000001E-2</v>
      </c>
      <c r="AZ84" s="26">
        <v>2.5000000000000001E-2</v>
      </c>
      <c r="BA84" s="26">
        <v>2.5000000000000001E-2</v>
      </c>
      <c r="BB84" s="26">
        <v>2.5000000000000001E-2</v>
      </c>
      <c r="BC84" s="26">
        <v>2.5000000000000001E-2</v>
      </c>
      <c r="BD84" s="26">
        <v>2.5000000000000001E-2</v>
      </c>
      <c r="BE84" s="26">
        <v>2.5000000000000001E-2</v>
      </c>
      <c r="BF84" s="11"/>
      <c r="BG84" s="11"/>
      <c r="BH84" s="11"/>
    </row>
    <row r="85" spans="2:60" ht="38.25" customHeight="1" x14ac:dyDescent="0.35">
      <c r="B85" s="22" t="b">
        <v>1</v>
      </c>
      <c r="C85" s="22" t="str">
        <f t="shared" si="1"/>
        <v>ME_Total RPS</v>
      </c>
      <c r="D85" s="29" t="s">
        <v>49</v>
      </c>
      <c r="E85" s="30" t="s">
        <v>193</v>
      </c>
      <c r="F85" s="25" t="s">
        <v>171</v>
      </c>
      <c r="G85" s="26">
        <v>0.3</v>
      </c>
      <c r="H85" s="26">
        <v>0.3</v>
      </c>
      <c r="I85" s="26">
        <v>0.3</v>
      </c>
      <c r="J85" s="26">
        <v>0.3</v>
      </c>
      <c r="K85" s="26">
        <v>0.3</v>
      </c>
      <c r="L85" s="26">
        <v>0.3</v>
      </c>
      <c r="M85" s="26">
        <v>0.3</v>
      </c>
      <c r="N85" s="26">
        <v>0.3</v>
      </c>
      <c r="O85" s="26">
        <v>0.31</v>
      </c>
      <c r="P85" s="26">
        <v>0.32</v>
      </c>
      <c r="Q85" s="26">
        <v>0.33</v>
      </c>
      <c r="R85" s="26">
        <v>0.34</v>
      </c>
      <c r="S85" s="26">
        <v>0.35</v>
      </c>
      <c r="T85" s="26">
        <v>0.36</v>
      </c>
      <c r="U85" s="26">
        <v>0.37</v>
      </c>
      <c r="V85" s="26">
        <v>0.38</v>
      </c>
      <c r="W85" s="26">
        <v>0.39</v>
      </c>
      <c r="X85" s="26">
        <v>0.4</v>
      </c>
      <c r="Y85" s="26">
        <v>0.4</v>
      </c>
      <c r="Z85" s="26">
        <v>0.4</v>
      </c>
      <c r="AA85" s="26">
        <v>0.42499999999999999</v>
      </c>
      <c r="AB85" s="26">
        <v>0.45400000000000001</v>
      </c>
      <c r="AC85" s="26">
        <v>0.48799999999999999</v>
      </c>
      <c r="AD85" s="26">
        <v>0.52200000000000002</v>
      </c>
      <c r="AE85" s="26">
        <v>0.56599999999999995</v>
      </c>
      <c r="AF85" s="26">
        <v>0.61</v>
      </c>
      <c r="AG85" s="26">
        <v>0.65400000000000003</v>
      </c>
      <c r="AH85" s="26">
        <v>0.69799999999999995</v>
      </c>
      <c r="AI85" s="26">
        <v>0.74199999999999999</v>
      </c>
      <c r="AJ85" s="26">
        <v>0.78600000000000003</v>
      </c>
      <c r="AK85" s="26">
        <v>0.84</v>
      </c>
      <c r="AL85" s="26">
        <v>0.84</v>
      </c>
      <c r="AM85" s="26">
        <v>0.84</v>
      </c>
      <c r="AN85" s="26">
        <v>0.84</v>
      </c>
      <c r="AO85" s="26">
        <v>0.84</v>
      </c>
      <c r="AP85" s="26">
        <v>0.84</v>
      </c>
      <c r="AQ85" s="26">
        <v>0.84</v>
      </c>
      <c r="AR85" s="26">
        <v>0.84</v>
      </c>
      <c r="AS85" s="26">
        <v>0.84</v>
      </c>
      <c r="AT85" s="26">
        <v>0.84</v>
      </c>
      <c r="AU85" s="26">
        <v>0.84</v>
      </c>
      <c r="AV85" s="26">
        <v>0.84</v>
      </c>
      <c r="AW85" s="26">
        <v>0.84</v>
      </c>
      <c r="AX85" s="26">
        <v>0.84</v>
      </c>
      <c r="AY85" s="26">
        <v>0.84</v>
      </c>
      <c r="AZ85" s="26">
        <v>0.84</v>
      </c>
      <c r="BA85" s="26">
        <v>0.84</v>
      </c>
      <c r="BB85" s="26">
        <v>0.84</v>
      </c>
      <c r="BC85" s="26">
        <v>0.84</v>
      </c>
      <c r="BD85" s="26">
        <v>0.84</v>
      </c>
      <c r="BE85" s="26">
        <v>0.84</v>
      </c>
      <c r="BF85" s="11"/>
      <c r="BG85" s="11"/>
      <c r="BH85" s="11"/>
    </row>
    <row r="86" spans="2:60" x14ac:dyDescent="0.35">
      <c r="B86" s="22" t="b">
        <v>1</v>
      </c>
      <c r="C86" s="22" t="str">
        <f t="shared" si="1"/>
        <v>ME_   Class I/New</v>
      </c>
      <c r="D86" s="29" t="s">
        <v>49</v>
      </c>
      <c r="E86" s="30"/>
      <c r="F86" s="25" t="s">
        <v>214</v>
      </c>
      <c r="G86" s="26">
        <v>0</v>
      </c>
      <c r="H86" s="26">
        <v>0</v>
      </c>
      <c r="I86" s="26">
        <v>0</v>
      </c>
      <c r="J86" s="26">
        <v>0</v>
      </c>
      <c r="K86" s="26">
        <v>0</v>
      </c>
      <c r="L86" s="26">
        <v>0</v>
      </c>
      <c r="M86" s="26">
        <v>0</v>
      </c>
      <c r="N86" s="26">
        <v>0</v>
      </c>
      <c r="O86" s="26">
        <v>0.01</v>
      </c>
      <c r="P86" s="26">
        <v>0.02</v>
      </c>
      <c r="Q86" s="26">
        <v>0.03</v>
      </c>
      <c r="R86" s="26">
        <v>0.04</v>
      </c>
      <c r="S86" s="26">
        <v>0.05</v>
      </c>
      <c r="T86" s="26">
        <v>0.06</v>
      </c>
      <c r="U86" s="26">
        <v>7.0000000000000007E-2</v>
      </c>
      <c r="V86" s="26">
        <v>0.08</v>
      </c>
      <c r="W86" s="26">
        <v>0.09</v>
      </c>
      <c r="X86" s="26">
        <v>0.1</v>
      </c>
      <c r="Y86" s="26">
        <v>0.1</v>
      </c>
      <c r="Z86" s="26">
        <v>0.1</v>
      </c>
      <c r="AA86" s="26">
        <v>0.1</v>
      </c>
      <c r="AB86" s="26">
        <v>0.1</v>
      </c>
      <c r="AC86" s="26">
        <v>0.1</v>
      </c>
      <c r="AD86" s="26">
        <v>0.1</v>
      </c>
      <c r="AE86" s="26">
        <v>0.1</v>
      </c>
      <c r="AF86" s="26">
        <v>0.1</v>
      </c>
      <c r="AG86" s="26">
        <v>0.1</v>
      </c>
      <c r="AH86" s="26">
        <v>0.1</v>
      </c>
      <c r="AI86" s="26">
        <v>0.1</v>
      </c>
      <c r="AJ86" s="26">
        <v>0.1</v>
      </c>
      <c r="AK86" s="26">
        <v>0.1</v>
      </c>
      <c r="AL86" s="26">
        <v>0.1</v>
      </c>
      <c r="AM86" s="26">
        <v>0.1</v>
      </c>
      <c r="AN86" s="26">
        <v>0.1</v>
      </c>
      <c r="AO86" s="26">
        <v>0.1</v>
      </c>
      <c r="AP86" s="26">
        <v>0.1</v>
      </c>
      <c r="AQ86" s="26">
        <v>0.1</v>
      </c>
      <c r="AR86" s="26">
        <v>0.1</v>
      </c>
      <c r="AS86" s="26">
        <v>0.1</v>
      </c>
      <c r="AT86" s="26">
        <v>0.1</v>
      </c>
      <c r="AU86" s="26">
        <v>0.1</v>
      </c>
      <c r="AV86" s="26">
        <v>0.1</v>
      </c>
      <c r="AW86" s="26">
        <v>0.1</v>
      </c>
      <c r="AX86" s="26">
        <v>0.1</v>
      </c>
      <c r="AY86" s="26">
        <v>0.1</v>
      </c>
      <c r="AZ86" s="26">
        <v>0.1</v>
      </c>
      <c r="BA86" s="26">
        <v>0.1</v>
      </c>
      <c r="BB86" s="26">
        <v>0.1</v>
      </c>
      <c r="BC86" s="26">
        <v>0.1</v>
      </c>
      <c r="BD86" s="26">
        <v>0.1</v>
      </c>
      <c r="BE86" s="26">
        <v>0.1</v>
      </c>
      <c r="BF86" s="11"/>
      <c r="BG86" s="11"/>
      <c r="BH86" s="11"/>
    </row>
    <row r="87" spans="2:60" x14ac:dyDescent="0.35">
      <c r="B87" s="22" t="b">
        <v>1</v>
      </c>
      <c r="C87" s="22" t="str">
        <f t="shared" si="1"/>
        <v>ME_   Class IA</v>
      </c>
      <c r="D87" s="29" t="s">
        <v>49</v>
      </c>
      <c r="E87" s="30"/>
      <c r="F87" s="25" t="s">
        <v>215</v>
      </c>
      <c r="G87" s="26">
        <v>0</v>
      </c>
      <c r="H87" s="26">
        <v>0</v>
      </c>
      <c r="I87" s="26">
        <v>0</v>
      </c>
      <c r="J87" s="26">
        <v>0</v>
      </c>
      <c r="K87" s="26">
        <v>0</v>
      </c>
      <c r="L87" s="26">
        <v>0</v>
      </c>
      <c r="M87" s="26">
        <v>0</v>
      </c>
      <c r="N87" s="26">
        <v>0</v>
      </c>
      <c r="O87" s="26">
        <v>0</v>
      </c>
      <c r="P87" s="26">
        <v>0</v>
      </c>
      <c r="Q87" s="26">
        <v>0</v>
      </c>
      <c r="R87" s="26">
        <v>0</v>
      </c>
      <c r="S87" s="26">
        <v>0</v>
      </c>
      <c r="T87" s="26">
        <v>0</v>
      </c>
      <c r="U87" s="26">
        <v>0</v>
      </c>
      <c r="V87" s="26">
        <v>0</v>
      </c>
      <c r="W87" s="26">
        <v>0</v>
      </c>
      <c r="X87" s="26">
        <v>0</v>
      </c>
      <c r="Y87" s="26">
        <v>0</v>
      </c>
      <c r="Z87" s="26">
        <v>0</v>
      </c>
      <c r="AA87" s="26">
        <v>2.5000000000000001E-2</v>
      </c>
      <c r="AB87" s="26">
        <v>0.05</v>
      </c>
      <c r="AC87" s="26">
        <v>0.08</v>
      </c>
      <c r="AD87" s="26">
        <v>0.11</v>
      </c>
      <c r="AE87" s="26">
        <v>0.15</v>
      </c>
      <c r="AF87" s="26">
        <v>0.19</v>
      </c>
      <c r="AG87" s="26">
        <v>0.23</v>
      </c>
      <c r="AH87" s="26">
        <v>0.27</v>
      </c>
      <c r="AI87" s="26">
        <v>0.31</v>
      </c>
      <c r="AJ87" s="26">
        <v>0.35</v>
      </c>
      <c r="AK87" s="26">
        <v>0.4</v>
      </c>
      <c r="AL87" s="26">
        <v>0.4</v>
      </c>
      <c r="AM87" s="26">
        <v>0.4</v>
      </c>
      <c r="AN87" s="26">
        <v>0.4</v>
      </c>
      <c r="AO87" s="26">
        <v>0.4</v>
      </c>
      <c r="AP87" s="26">
        <v>0.4</v>
      </c>
      <c r="AQ87" s="26">
        <v>0.4</v>
      </c>
      <c r="AR87" s="26">
        <v>0.4</v>
      </c>
      <c r="AS87" s="26">
        <v>0.4</v>
      </c>
      <c r="AT87" s="26">
        <v>0.4</v>
      </c>
      <c r="AU87" s="26">
        <v>0.4</v>
      </c>
      <c r="AV87" s="26">
        <v>0.4</v>
      </c>
      <c r="AW87" s="26">
        <v>0.4</v>
      </c>
      <c r="AX87" s="26">
        <v>0.4</v>
      </c>
      <c r="AY87" s="26">
        <v>0.4</v>
      </c>
      <c r="AZ87" s="26">
        <v>0.4</v>
      </c>
      <c r="BA87" s="26">
        <v>0.4</v>
      </c>
      <c r="BB87" s="26">
        <v>0.4</v>
      </c>
      <c r="BC87" s="26">
        <v>0.4</v>
      </c>
      <c r="BD87" s="26">
        <v>0.4</v>
      </c>
      <c r="BE87" s="26">
        <v>0.4</v>
      </c>
      <c r="BF87" s="11"/>
      <c r="BG87" s="11"/>
      <c r="BH87" s="11"/>
    </row>
    <row r="88" spans="2:60" x14ac:dyDescent="0.35">
      <c r="B88" s="22" t="b">
        <v>1</v>
      </c>
      <c r="C88" s="22" t="str">
        <f t="shared" si="1"/>
        <v>ME_   Thermal</v>
      </c>
      <c r="D88" s="29" t="s">
        <v>49</v>
      </c>
      <c r="E88" s="30"/>
      <c r="F88" s="32" t="s">
        <v>216</v>
      </c>
      <c r="G88" s="26">
        <v>0</v>
      </c>
      <c r="H88" s="26">
        <v>0</v>
      </c>
      <c r="I88" s="26">
        <v>0</v>
      </c>
      <c r="J88" s="26">
        <v>0</v>
      </c>
      <c r="K88" s="26">
        <v>0</v>
      </c>
      <c r="L88" s="26">
        <v>0</v>
      </c>
      <c r="M88" s="26">
        <v>0</v>
      </c>
      <c r="N88" s="26">
        <v>0</v>
      </c>
      <c r="O88" s="26">
        <v>0</v>
      </c>
      <c r="P88" s="26">
        <v>0</v>
      </c>
      <c r="Q88" s="26">
        <v>0</v>
      </c>
      <c r="R88" s="26">
        <v>0</v>
      </c>
      <c r="S88" s="26">
        <v>0</v>
      </c>
      <c r="T88" s="26">
        <v>0</v>
      </c>
      <c r="U88" s="26">
        <v>0</v>
      </c>
      <c r="V88" s="26">
        <v>0</v>
      </c>
      <c r="W88" s="26">
        <v>0</v>
      </c>
      <c r="X88" s="26">
        <v>0</v>
      </c>
      <c r="Y88" s="26">
        <v>0</v>
      </c>
      <c r="Z88" s="26">
        <v>0</v>
      </c>
      <c r="AA88" s="26">
        <v>0</v>
      </c>
      <c r="AB88" s="26">
        <v>4.0000000000000001E-3</v>
      </c>
      <c r="AC88" s="26">
        <v>8.0000000000000002E-3</v>
      </c>
      <c r="AD88" s="26">
        <v>1.2E-2</v>
      </c>
      <c r="AE88" s="26">
        <v>1.6E-2</v>
      </c>
      <c r="AF88" s="26">
        <v>0.02</v>
      </c>
      <c r="AG88" s="26">
        <v>2.4E-2</v>
      </c>
      <c r="AH88" s="26">
        <v>2.8000000000000001E-2</v>
      </c>
      <c r="AI88" s="26">
        <v>3.2000000000000001E-2</v>
      </c>
      <c r="AJ88" s="26">
        <v>3.5999999999999997E-2</v>
      </c>
      <c r="AK88" s="26">
        <v>0.04</v>
      </c>
      <c r="AL88" s="26">
        <v>0.04</v>
      </c>
      <c r="AM88" s="26">
        <v>0.04</v>
      </c>
      <c r="AN88" s="26">
        <v>0.04</v>
      </c>
      <c r="AO88" s="26">
        <v>0.04</v>
      </c>
      <c r="AP88" s="26">
        <v>0.04</v>
      </c>
      <c r="AQ88" s="26">
        <v>0.04</v>
      </c>
      <c r="AR88" s="26">
        <v>0.04</v>
      </c>
      <c r="AS88" s="26">
        <v>0.04</v>
      </c>
      <c r="AT88" s="26">
        <v>0.04</v>
      </c>
      <c r="AU88" s="26">
        <v>0.04</v>
      </c>
      <c r="AV88" s="26">
        <v>0.04</v>
      </c>
      <c r="AW88" s="26">
        <v>0.04</v>
      </c>
      <c r="AX88" s="26">
        <v>0.04</v>
      </c>
      <c r="AY88" s="26">
        <v>0.04</v>
      </c>
      <c r="AZ88" s="26">
        <v>0.04</v>
      </c>
      <c r="BA88" s="26">
        <v>0.04</v>
      </c>
      <c r="BB88" s="26">
        <v>0.04</v>
      </c>
      <c r="BC88" s="26">
        <v>0.04</v>
      </c>
      <c r="BD88" s="26">
        <v>0.04</v>
      </c>
      <c r="BE88" s="26">
        <v>0.04</v>
      </c>
      <c r="BF88" s="11"/>
      <c r="BG88" s="11"/>
      <c r="BH88" s="11"/>
    </row>
    <row r="89" spans="2:60" x14ac:dyDescent="0.35">
      <c r="B89" s="22" t="b">
        <v>1</v>
      </c>
      <c r="C89" s="22" t="str">
        <f t="shared" si="1"/>
        <v>ME_   Existing</v>
      </c>
      <c r="D89" s="34" t="s">
        <v>49</v>
      </c>
      <c r="E89" s="35"/>
      <c r="F89" s="25" t="s">
        <v>190</v>
      </c>
      <c r="G89" s="26">
        <v>0.3</v>
      </c>
      <c r="H89" s="26">
        <v>0.3</v>
      </c>
      <c r="I89" s="26">
        <v>0.3</v>
      </c>
      <c r="J89" s="26">
        <v>0.3</v>
      </c>
      <c r="K89" s="26">
        <v>0.3</v>
      </c>
      <c r="L89" s="26">
        <v>0.3</v>
      </c>
      <c r="M89" s="26">
        <v>0.3</v>
      </c>
      <c r="N89" s="26">
        <v>0.3</v>
      </c>
      <c r="O89" s="26">
        <v>0.3</v>
      </c>
      <c r="P89" s="26">
        <v>0.3</v>
      </c>
      <c r="Q89" s="26">
        <v>0.3</v>
      </c>
      <c r="R89" s="26">
        <v>0.3</v>
      </c>
      <c r="S89" s="26">
        <v>0.3</v>
      </c>
      <c r="T89" s="26">
        <v>0.3</v>
      </c>
      <c r="U89" s="26">
        <v>0.3</v>
      </c>
      <c r="V89" s="26">
        <v>0.3</v>
      </c>
      <c r="W89" s="26">
        <v>0.3</v>
      </c>
      <c r="X89" s="26">
        <v>0.3</v>
      </c>
      <c r="Y89" s="26">
        <v>0.3</v>
      </c>
      <c r="Z89" s="26">
        <v>0.3</v>
      </c>
      <c r="AA89" s="26">
        <v>0.3</v>
      </c>
      <c r="AB89" s="26">
        <v>0.3</v>
      </c>
      <c r="AC89" s="26">
        <v>0.3</v>
      </c>
      <c r="AD89" s="26">
        <v>0.3</v>
      </c>
      <c r="AE89" s="26">
        <v>0.3</v>
      </c>
      <c r="AF89" s="26">
        <v>0.3</v>
      </c>
      <c r="AG89" s="26">
        <v>0.3</v>
      </c>
      <c r="AH89" s="26">
        <v>0.3</v>
      </c>
      <c r="AI89" s="26">
        <v>0.3</v>
      </c>
      <c r="AJ89" s="26">
        <v>0.3</v>
      </c>
      <c r="AK89" s="26">
        <v>0.3</v>
      </c>
      <c r="AL89" s="26">
        <v>0.3</v>
      </c>
      <c r="AM89" s="26">
        <v>0.3</v>
      </c>
      <c r="AN89" s="26">
        <v>0.3</v>
      </c>
      <c r="AO89" s="26">
        <v>0.3</v>
      </c>
      <c r="AP89" s="26">
        <v>0.3</v>
      </c>
      <c r="AQ89" s="26">
        <v>0.3</v>
      </c>
      <c r="AR89" s="26">
        <v>0.3</v>
      </c>
      <c r="AS89" s="26">
        <v>0.3</v>
      </c>
      <c r="AT89" s="26">
        <v>0.3</v>
      </c>
      <c r="AU89" s="26">
        <v>0.3</v>
      </c>
      <c r="AV89" s="26">
        <v>0.3</v>
      </c>
      <c r="AW89" s="26">
        <v>0.3</v>
      </c>
      <c r="AX89" s="26">
        <v>0.3</v>
      </c>
      <c r="AY89" s="26">
        <v>0.3</v>
      </c>
      <c r="AZ89" s="26">
        <v>0.3</v>
      </c>
      <c r="BA89" s="26">
        <v>0.3</v>
      </c>
      <c r="BB89" s="26">
        <v>0.3</v>
      </c>
      <c r="BC89" s="26">
        <v>0.3</v>
      </c>
      <c r="BD89" s="26">
        <v>0.3</v>
      </c>
      <c r="BE89" s="26">
        <v>0.3</v>
      </c>
      <c r="BF89" s="11"/>
      <c r="BG89" s="11"/>
      <c r="BH89" s="11"/>
    </row>
    <row r="90" spans="2:60" ht="12.75" customHeight="1" x14ac:dyDescent="0.35">
      <c r="B90" s="22" t="b">
        <v>1</v>
      </c>
      <c r="C90" s="22" t="str">
        <f t="shared" ref="C90:C121" si="2">D90&amp;"_"&amp;F90</f>
        <v>ME_Total CES</v>
      </c>
      <c r="D90" s="29" t="s">
        <v>49</v>
      </c>
      <c r="E90" s="30"/>
      <c r="F90" s="25" t="s">
        <v>174</v>
      </c>
      <c r="G90" s="26">
        <v>0</v>
      </c>
      <c r="H90" s="26">
        <v>0</v>
      </c>
      <c r="I90" s="26">
        <v>0</v>
      </c>
      <c r="J90" s="26">
        <v>0</v>
      </c>
      <c r="K90" s="26">
        <v>0</v>
      </c>
      <c r="L90" s="26">
        <v>0</v>
      </c>
      <c r="M90" s="26">
        <v>0</v>
      </c>
      <c r="N90" s="26">
        <v>0</v>
      </c>
      <c r="O90" s="26">
        <v>0</v>
      </c>
      <c r="P90" s="26">
        <v>0</v>
      </c>
      <c r="Q90" s="26">
        <v>0</v>
      </c>
      <c r="R90" s="26">
        <v>0</v>
      </c>
      <c r="S90" s="26">
        <v>0</v>
      </c>
      <c r="T90" s="26">
        <v>0</v>
      </c>
      <c r="U90" s="26">
        <v>0</v>
      </c>
      <c r="V90" s="26">
        <v>0</v>
      </c>
      <c r="W90" s="26">
        <v>0</v>
      </c>
      <c r="X90" s="26">
        <v>0</v>
      </c>
      <c r="Y90" s="26">
        <v>0</v>
      </c>
      <c r="Z90" s="26">
        <v>0</v>
      </c>
      <c r="AA90" s="26">
        <v>0</v>
      </c>
      <c r="AB90" s="26">
        <v>0</v>
      </c>
      <c r="AC90" s="26">
        <v>0</v>
      </c>
      <c r="AD90" s="26">
        <v>0</v>
      </c>
      <c r="AE90" s="26">
        <v>0</v>
      </c>
      <c r="AF90" s="26">
        <v>0</v>
      </c>
      <c r="AG90" s="26">
        <v>0</v>
      </c>
      <c r="AH90" s="26">
        <v>0</v>
      </c>
      <c r="AI90" s="26">
        <v>0</v>
      </c>
      <c r="AJ90" s="26">
        <v>0</v>
      </c>
      <c r="AK90" s="26">
        <v>0.8</v>
      </c>
      <c r="AL90" s="26">
        <v>0.8</v>
      </c>
      <c r="AM90" s="26">
        <v>0.8</v>
      </c>
      <c r="AN90" s="26">
        <v>0.8</v>
      </c>
      <c r="AO90" s="26">
        <v>0.8</v>
      </c>
      <c r="AP90" s="26">
        <v>0.8</v>
      </c>
      <c r="AQ90" s="26">
        <v>0.8</v>
      </c>
      <c r="AR90" s="26">
        <v>0.8</v>
      </c>
      <c r="AS90" s="26">
        <v>0.8</v>
      </c>
      <c r="AT90" s="26">
        <v>0.8</v>
      </c>
      <c r="AU90" s="26">
        <v>0.8</v>
      </c>
      <c r="AV90" s="26">
        <v>0.8</v>
      </c>
      <c r="AW90" s="26">
        <v>0.8</v>
      </c>
      <c r="AX90" s="26">
        <v>0.8</v>
      </c>
      <c r="AY90" s="26">
        <v>0.8</v>
      </c>
      <c r="AZ90" s="26">
        <v>0.8</v>
      </c>
      <c r="BA90" s="26">
        <v>0.8</v>
      </c>
      <c r="BB90" s="26">
        <v>0.8</v>
      </c>
      <c r="BC90" s="26">
        <v>0.8</v>
      </c>
      <c r="BD90" s="26">
        <v>0.8</v>
      </c>
      <c r="BE90" s="26">
        <v>1</v>
      </c>
      <c r="BF90" s="11"/>
      <c r="BG90" s="11"/>
      <c r="BH90" s="11"/>
    </row>
    <row r="91" spans="2:60" x14ac:dyDescent="0.35">
      <c r="B91" s="22" t="b">
        <v>1</v>
      </c>
      <c r="C91" s="22" t="str">
        <f t="shared" si="2"/>
        <v>MI_Total RPS</v>
      </c>
      <c r="D91" s="29" t="s">
        <v>53</v>
      </c>
      <c r="E91" s="30" t="s">
        <v>182</v>
      </c>
      <c r="F91" s="25" t="s">
        <v>171</v>
      </c>
      <c r="G91" s="26">
        <v>0</v>
      </c>
      <c r="H91" s="26">
        <v>0</v>
      </c>
      <c r="I91" s="26">
        <v>0</v>
      </c>
      <c r="J91" s="26">
        <v>0</v>
      </c>
      <c r="K91" s="26">
        <v>0</v>
      </c>
      <c r="L91" s="26">
        <v>0</v>
      </c>
      <c r="M91" s="26">
        <v>0</v>
      </c>
      <c r="N91" s="26">
        <v>0</v>
      </c>
      <c r="O91" s="26">
        <v>0</v>
      </c>
      <c r="P91" s="26">
        <v>0</v>
      </c>
      <c r="Q91" s="26">
        <v>0</v>
      </c>
      <c r="R91" s="26">
        <v>0</v>
      </c>
      <c r="S91" s="26">
        <v>3.6700000000000003E-2</v>
      </c>
      <c r="T91" s="26">
        <v>4.82E-2</v>
      </c>
      <c r="U91" s="26">
        <v>6.1100000000000002E-2</v>
      </c>
      <c r="V91" s="26">
        <v>0.1</v>
      </c>
      <c r="W91" s="26">
        <v>9.9000000000000005E-2</v>
      </c>
      <c r="X91" s="26">
        <v>0.10150000000000001</v>
      </c>
      <c r="Y91" s="26">
        <v>9.8599999999999993E-2</v>
      </c>
      <c r="Z91" s="26">
        <v>0.125</v>
      </c>
      <c r="AA91" s="26">
        <v>0.125</v>
      </c>
      <c r="AB91" s="26">
        <v>0.15</v>
      </c>
      <c r="AC91" s="26">
        <v>0.15</v>
      </c>
      <c r="AD91" s="26">
        <v>0.15</v>
      </c>
      <c r="AE91" s="26">
        <v>0.15</v>
      </c>
      <c r="AF91" s="26">
        <v>0.15</v>
      </c>
      <c r="AG91" s="26">
        <v>0.15</v>
      </c>
      <c r="AH91" s="26">
        <v>0.15</v>
      </c>
      <c r="AI91" s="26">
        <v>0.15</v>
      </c>
      <c r="AJ91" s="26">
        <v>0.15</v>
      </c>
      <c r="AK91" s="26">
        <v>0.5</v>
      </c>
      <c r="AL91" s="26">
        <v>0.5</v>
      </c>
      <c r="AM91" s="26">
        <v>0.5</v>
      </c>
      <c r="AN91" s="26">
        <v>0.5</v>
      </c>
      <c r="AO91" s="26">
        <v>0.5</v>
      </c>
      <c r="AP91" s="26">
        <v>0.6</v>
      </c>
      <c r="AQ91" s="26">
        <v>0.6</v>
      </c>
      <c r="AR91" s="26">
        <v>0.6</v>
      </c>
      <c r="AS91" s="26">
        <v>0.6</v>
      </c>
      <c r="AT91" s="26">
        <v>0.6</v>
      </c>
      <c r="AU91" s="26">
        <v>0.6</v>
      </c>
      <c r="AV91" s="26">
        <v>0.6</v>
      </c>
      <c r="AW91" s="26">
        <v>0.6</v>
      </c>
      <c r="AX91" s="26">
        <v>0.6</v>
      </c>
      <c r="AY91" s="26">
        <v>0.6</v>
      </c>
      <c r="AZ91" s="26">
        <v>0.6</v>
      </c>
      <c r="BA91" s="26">
        <v>0.6</v>
      </c>
      <c r="BB91" s="26">
        <v>0.6</v>
      </c>
      <c r="BC91" s="26">
        <v>0.6</v>
      </c>
      <c r="BD91" s="26">
        <v>0.6</v>
      </c>
      <c r="BE91" s="26">
        <v>0.6</v>
      </c>
      <c r="BF91" s="11"/>
      <c r="BG91" s="11"/>
      <c r="BH91" s="11"/>
    </row>
    <row r="92" spans="2:60" x14ac:dyDescent="0.35">
      <c r="B92" s="22" t="b">
        <v>1</v>
      </c>
      <c r="C92" s="22" t="str">
        <f t="shared" si="2"/>
        <v>MI_Total CES</v>
      </c>
      <c r="D92" s="29" t="s">
        <v>53</v>
      </c>
      <c r="E92" s="30"/>
      <c r="F92" s="25" t="s">
        <v>174</v>
      </c>
      <c r="G92" s="26">
        <v>0</v>
      </c>
      <c r="H92" s="26">
        <v>0</v>
      </c>
      <c r="I92" s="26">
        <v>0</v>
      </c>
      <c r="J92" s="26">
        <v>0</v>
      </c>
      <c r="K92" s="26">
        <v>0</v>
      </c>
      <c r="L92" s="26">
        <v>0</v>
      </c>
      <c r="M92" s="26">
        <v>0</v>
      </c>
      <c r="N92" s="26">
        <v>0</v>
      </c>
      <c r="O92" s="26">
        <v>0</v>
      </c>
      <c r="P92" s="26">
        <v>0</v>
      </c>
      <c r="Q92" s="26">
        <v>0</v>
      </c>
      <c r="R92" s="26">
        <v>0</v>
      </c>
      <c r="S92" s="26">
        <v>0</v>
      </c>
      <c r="T92" s="26">
        <v>0</v>
      </c>
      <c r="U92" s="26">
        <v>0</v>
      </c>
      <c r="V92" s="26">
        <v>0</v>
      </c>
      <c r="W92" s="26">
        <v>0</v>
      </c>
      <c r="X92" s="26">
        <v>0</v>
      </c>
      <c r="Y92" s="26">
        <v>0</v>
      </c>
      <c r="Z92" s="26">
        <v>0</v>
      </c>
      <c r="AA92" s="26">
        <v>0</v>
      </c>
      <c r="AB92" s="26">
        <v>0</v>
      </c>
      <c r="AC92" s="26">
        <v>0</v>
      </c>
      <c r="AD92" s="26">
        <v>0</v>
      </c>
      <c r="AE92" s="26">
        <v>0</v>
      </c>
      <c r="AF92" s="26">
        <v>0</v>
      </c>
      <c r="AG92" s="26">
        <v>0</v>
      </c>
      <c r="AH92" s="26">
        <v>0</v>
      </c>
      <c r="AI92" s="26">
        <v>0</v>
      </c>
      <c r="AJ92" s="26">
        <v>0</v>
      </c>
      <c r="AK92" s="26">
        <v>0</v>
      </c>
      <c r="AL92" s="26">
        <v>0</v>
      </c>
      <c r="AM92" s="26">
        <v>0</v>
      </c>
      <c r="AN92" s="26">
        <v>0</v>
      </c>
      <c r="AO92" s="26">
        <v>0</v>
      </c>
      <c r="AP92" s="26">
        <v>0.8</v>
      </c>
      <c r="AQ92" s="26">
        <v>0.8</v>
      </c>
      <c r="AR92" s="26">
        <v>0.8</v>
      </c>
      <c r="AS92" s="26">
        <v>0.8</v>
      </c>
      <c r="AT92" s="26">
        <v>0.8</v>
      </c>
      <c r="AU92" s="26">
        <v>1</v>
      </c>
      <c r="AV92" s="26">
        <v>1</v>
      </c>
      <c r="AW92" s="26">
        <v>1</v>
      </c>
      <c r="AX92" s="26">
        <v>1</v>
      </c>
      <c r="AY92" s="26">
        <v>1</v>
      </c>
      <c r="AZ92" s="26">
        <v>1</v>
      </c>
      <c r="BA92" s="26">
        <v>1</v>
      </c>
      <c r="BB92" s="26">
        <v>1</v>
      </c>
      <c r="BC92" s="26">
        <v>1</v>
      </c>
      <c r="BD92" s="26">
        <v>1</v>
      </c>
      <c r="BE92" s="26">
        <v>1</v>
      </c>
      <c r="BF92" s="11"/>
      <c r="BG92" s="11"/>
      <c r="BH92" s="11"/>
    </row>
    <row r="93" spans="2:60" ht="140.25" customHeight="1" x14ac:dyDescent="0.35">
      <c r="B93" s="22" t="b">
        <v>1</v>
      </c>
      <c r="C93" s="22" t="str">
        <f t="shared" si="2"/>
        <v>MN_Total RPS</v>
      </c>
      <c r="D93" s="29" t="s">
        <v>57</v>
      </c>
      <c r="E93" s="30" t="s">
        <v>217</v>
      </c>
      <c r="F93" s="32" t="s">
        <v>171</v>
      </c>
      <c r="G93" s="26">
        <v>0</v>
      </c>
      <c r="H93" s="26">
        <v>0</v>
      </c>
      <c r="I93" s="26">
        <v>0</v>
      </c>
      <c r="J93" s="26">
        <v>0</v>
      </c>
      <c r="K93" s="26">
        <v>0</v>
      </c>
      <c r="L93" s="26">
        <v>0.01</v>
      </c>
      <c r="M93" s="26">
        <v>0.02</v>
      </c>
      <c r="N93" s="26">
        <v>0.01</v>
      </c>
      <c r="O93" s="26">
        <v>0.01</v>
      </c>
      <c r="P93" s="26">
        <v>0.01</v>
      </c>
      <c r="Q93" s="26">
        <v>0.10780000000000001</v>
      </c>
      <c r="R93" s="26">
        <v>0.1074</v>
      </c>
      <c r="S93" s="26">
        <v>0.1479</v>
      </c>
      <c r="T93" s="26">
        <v>0.14749999999999999</v>
      </c>
      <c r="U93" s="26">
        <v>0.1469</v>
      </c>
      <c r="V93" s="26">
        <v>0.14729999999999999</v>
      </c>
      <c r="W93" s="26">
        <v>0.20649999999999999</v>
      </c>
      <c r="X93" s="26">
        <v>0.20549999999999999</v>
      </c>
      <c r="Y93" s="26">
        <v>0.20549999999999999</v>
      </c>
      <c r="Z93" s="26">
        <v>0.2049</v>
      </c>
      <c r="AA93" s="26">
        <v>0.24399999999999999</v>
      </c>
      <c r="AB93" s="26">
        <v>0.24329999999999999</v>
      </c>
      <c r="AC93" s="26">
        <v>0.24360000000000001</v>
      </c>
      <c r="AD93" s="26">
        <v>0.2</v>
      </c>
      <c r="AE93" s="26">
        <v>0.2</v>
      </c>
      <c r="AF93" s="26">
        <v>0.25</v>
      </c>
      <c r="AG93" s="26">
        <v>0.25</v>
      </c>
      <c r="AH93" s="26">
        <v>0.25</v>
      </c>
      <c r="AI93" s="26">
        <v>0.25</v>
      </c>
      <c r="AJ93" s="26">
        <v>0.25</v>
      </c>
      <c r="AK93" s="26">
        <v>0.25</v>
      </c>
      <c r="AL93" s="26">
        <v>0.25</v>
      </c>
      <c r="AM93" s="26">
        <v>0.25</v>
      </c>
      <c r="AN93" s="26">
        <v>0.25</v>
      </c>
      <c r="AO93" s="26">
        <v>0.25</v>
      </c>
      <c r="AP93" s="26">
        <v>0.55000000000000004</v>
      </c>
      <c r="AQ93" s="26">
        <v>0.55000000000000004</v>
      </c>
      <c r="AR93" s="26">
        <v>0.55000000000000004</v>
      </c>
      <c r="AS93" s="26">
        <v>0.55000000000000004</v>
      </c>
      <c r="AT93" s="26">
        <v>0.55000000000000004</v>
      </c>
      <c r="AU93" s="26">
        <v>0.55000000000000004</v>
      </c>
      <c r="AV93" s="26">
        <v>0.55000000000000004</v>
      </c>
      <c r="AW93" s="26">
        <v>0.55000000000000004</v>
      </c>
      <c r="AX93" s="26">
        <v>0.55000000000000004</v>
      </c>
      <c r="AY93" s="26">
        <v>0.55000000000000004</v>
      </c>
      <c r="AZ93" s="26">
        <v>0.55000000000000004</v>
      </c>
      <c r="BA93" s="26">
        <v>0.55000000000000004</v>
      </c>
      <c r="BB93" s="26">
        <v>0.55000000000000004</v>
      </c>
      <c r="BC93" s="26">
        <v>0.55000000000000004</v>
      </c>
      <c r="BD93" s="26">
        <v>0.55000000000000004</v>
      </c>
      <c r="BE93" s="26">
        <v>0.55000000000000004</v>
      </c>
      <c r="BF93" s="11"/>
      <c r="BG93" s="11"/>
      <c r="BH93" s="11"/>
    </row>
    <row r="94" spans="2:60" x14ac:dyDescent="0.35">
      <c r="B94" s="22" t="b">
        <v>1</v>
      </c>
      <c r="C94" s="22" t="str">
        <f t="shared" si="2"/>
        <v>MN_   Xcel</v>
      </c>
      <c r="D94" s="29" t="s">
        <v>57</v>
      </c>
      <c r="E94" s="30"/>
      <c r="F94" s="32" t="s">
        <v>218</v>
      </c>
      <c r="G94" s="26">
        <v>0</v>
      </c>
      <c r="H94" s="26">
        <v>0</v>
      </c>
      <c r="I94" s="26">
        <v>0</v>
      </c>
      <c r="J94" s="26">
        <v>0</v>
      </c>
      <c r="K94" s="26">
        <v>0</v>
      </c>
      <c r="L94" s="26">
        <v>0.01</v>
      </c>
      <c r="M94" s="26">
        <v>0.02</v>
      </c>
      <c r="N94" s="26">
        <v>0.01</v>
      </c>
      <c r="O94" s="26">
        <v>0.01</v>
      </c>
      <c r="P94" s="26">
        <v>0.01</v>
      </c>
      <c r="Q94" s="26">
        <v>0.15</v>
      </c>
      <c r="R94" s="26">
        <v>0.15</v>
      </c>
      <c r="S94" s="26">
        <v>0.18</v>
      </c>
      <c r="T94" s="26">
        <v>0.18</v>
      </c>
      <c r="U94" s="26">
        <v>0.18</v>
      </c>
      <c r="V94" s="26">
        <v>0.18</v>
      </c>
      <c r="W94" s="26">
        <v>0.25</v>
      </c>
      <c r="X94" s="26">
        <v>0.25</v>
      </c>
      <c r="Y94" s="26">
        <v>0.25</v>
      </c>
      <c r="Z94" s="26">
        <v>0.25</v>
      </c>
      <c r="AA94" s="26">
        <v>0.3</v>
      </c>
      <c r="AB94" s="26">
        <v>0.3</v>
      </c>
      <c r="AC94" s="26">
        <v>0.3</v>
      </c>
      <c r="AD94" s="26">
        <v>0.2</v>
      </c>
      <c r="AE94" s="26">
        <v>0.2</v>
      </c>
      <c r="AF94" s="26">
        <v>0.25</v>
      </c>
      <c r="AG94" s="26">
        <v>0.25</v>
      </c>
      <c r="AH94" s="26">
        <v>0.25</v>
      </c>
      <c r="AI94" s="26">
        <v>0.25</v>
      </c>
      <c r="AJ94" s="26">
        <v>0.25</v>
      </c>
      <c r="AK94" s="26">
        <v>0.25</v>
      </c>
      <c r="AL94" s="26">
        <v>0.25</v>
      </c>
      <c r="AM94" s="26">
        <v>0.25</v>
      </c>
      <c r="AN94" s="26">
        <v>0.25</v>
      </c>
      <c r="AO94" s="26">
        <v>0.25</v>
      </c>
      <c r="AP94" s="26">
        <v>0.55000000000000004</v>
      </c>
      <c r="AQ94" s="26">
        <v>0.55000000000000004</v>
      </c>
      <c r="AR94" s="26">
        <v>0.55000000000000004</v>
      </c>
      <c r="AS94" s="26">
        <v>0.55000000000000004</v>
      </c>
      <c r="AT94" s="26">
        <v>0.55000000000000004</v>
      </c>
      <c r="AU94" s="26">
        <v>0.55000000000000004</v>
      </c>
      <c r="AV94" s="26">
        <v>0.55000000000000004</v>
      </c>
      <c r="AW94" s="26">
        <v>0.55000000000000004</v>
      </c>
      <c r="AX94" s="26">
        <v>0.55000000000000004</v>
      </c>
      <c r="AY94" s="26">
        <v>0.55000000000000004</v>
      </c>
      <c r="AZ94" s="26">
        <v>0.55000000000000004</v>
      </c>
      <c r="BA94" s="26">
        <v>0.55000000000000004</v>
      </c>
      <c r="BB94" s="26">
        <v>0.55000000000000004</v>
      </c>
      <c r="BC94" s="26">
        <v>0.55000000000000004</v>
      </c>
      <c r="BD94" s="26">
        <v>0.55000000000000004</v>
      </c>
      <c r="BE94" s="26">
        <v>0.55000000000000004</v>
      </c>
      <c r="BF94" s="11"/>
      <c r="BG94" s="11"/>
      <c r="BH94" s="11"/>
    </row>
    <row r="95" spans="2:60" x14ac:dyDescent="0.35">
      <c r="B95" s="22" t="b">
        <v>1</v>
      </c>
      <c r="C95" s="22" t="str">
        <f t="shared" si="2"/>
        <v>MN_   Other utilities</v>
      </c>
      <c r="D95" s="29" t="s">
        <v>57</v>
      </c>
      <c r="E95" s="30"/>
      <c r="F95" s="32" t="s">
        <v>219</v>
      </c>
      <c r="G95" s="26">
        <v>0</v>
      </c>
      <c r="H95" s="26">
        <v>0</v>
      </c>
      <c r="I95" s="26">
        <v>0</v>
      </c>
      <c r="J95" s="26">
        <v>0</v>
      </c>
      <c r="K95" s="26">
        <v>0</v>
      </c>
      <c r="L95" s="26">
        <v>0.01</v>
      </c>
      <c r="M95" s="26">
        <v>0.02</v>
      </c>
      <c r="N95" s="26">
        <v>0.01</v>
      </c>
      <c r="O95" s="26">
        <v>0.01</v>
      </c>
      <c r="P95" s="26">
        <v>0.01</v>
      </c>
      <c r="Q95" s="26">
        <v>7.0000000000000007E-2</v>
      </c>
      <c r="R95" s="26">
        <v>7.0000000000000007E-2</v>
      </c>
      <c r="S95" s="26">
        <v>0.12</v>
      </c>
      <c r="T95" s="26">
        <v>0.12</v>
      </c>
      <c r="U95" s="26">
        <v>0.12</v>
      </c>
      <c r="V95" s="26">
        <v>0.12</v>
      </c>
      <c r="W95" s="26">
        <v>0.17</v>
      </c>
      <c r="X95" s="26">
        <v>0.17</v>
      </c>
      <c r="Y95" s="26">
        <v>0.17</v>
      </c>
      <c r="Z95" s="26">
        <v>0.17</v>
      </c>
      <c r="AA95" s="26">
        <v>0.2</v>
      </c>
      <c r="AB95" s="26">
        <v>0.2</v>
      </c>
      <c r="AC95" s="26">
        <v>0.2</v>
      </c>
      <c r="AD95" s="26">
        <v>0.2</v>
      </c>
      <c r="AE95" s="26">
        <v>0.2</v>
      </c>
      <c r="AF95" s="26">
        <v>0.25</v>
      </c>
      <c r="AG95" s="26">
        <v>0.25</v>
      </c>
      <c r="AH95" s="26">
        <v>0.25</v>
      </c>
      <c r="AI95" s="26">
        <v>0.25</v>
      </c>
      <c r="AJ95" s="26">
        <v>0.25</v>
      </c>
      <c r="AK95" s="26">
        <v>0.25</v>
      </c>
      <c r="AL95" s="26">
        <v>0.25</v>
      </c>
      <c r="AM95" s="26">
        <v>0.25</v>
      </c>
      <c r="AN95" s="26">
        <v>0.25</v>
      </c>
      <c r="AO95" s="26">
        <v>0.25</v>
      </c>
      <c r="AP95" s="26">
        <v>0.55000000000000004</v>
      </c>
      <c r="AQ95" s="26">
        <v>0.55000000000000004</v>
      </c>
      <c r="AR95" s="26">
        <v>0.55000000000000004</v>
      </c>
      <c r="AS95" s="26">
        <v>0.55000000000000004</v>
      </c>
      <c r="AT95" s="26">
        <v>0.55000000000000004</v>
      </c>
      <c r="AU95" s="26">
        <v>0.55000000000000004</v>
      </c>
      <c r="AV95" s="26">
        <v>0.55000000000000004</v>
      </c>
      <c r="AW95" s="26">
        <v>0.55000000000000004</v>
      </c>
      <c r="AX95" s="26">
        <v>0.55000000000000004</v>
      </c>
      <c r="AY95" s="26">
        <v>0.55000000000000004</v>
      </c>
      <c r="AZ95" s="26">
        <v>0.55000000000000004</v>
      </c>
      <c r="BA95" s="26">
        <v>0.55000000000000004</v>
      </c>
      <c r="BB95" s="26">
        <v>0.55000000000000004</v>
      </c>
      <c r="BC95" s="26">
        <v>0.55000000000000004</v>
      </c>
      <c r="BD95" s="26">
        <v>0.55000000000000004</v>
      </c>
      <c r="BE95" s="26">
        <v>0.55000000000000004</v>
      </c>
      <c r="BF95" s="11"/>
      <c r="BG95" s="11"/>
      <c r="BH95" s="11"/>
    </row>
    <row r="96" spans="2:60" x14ac:dyDescent="0.35">
      <c r="B96" s="22" t="b">
        <v>1</v>
      </c>
      <c r="C96" s="22" t="str">
        <f t="shared" si="2"/>
        <v>MN_Solar Carve-Out (IOUs only)</v>
      </c>
      <c r="D96" s="29" t="s">
        <v>57</v>
      </c>
      <c r="E96" s="30"/>
      <c r="F96" s="25" t="s">
        <v>220</v>
      </c>
      <c r="G96" s="26">
        <v>0</v>
      </c>
      <c r="H96" s="26">
        <v>0</v>
      </c>
      <c r="I96" s="26">
        <v>0</v>
      </c>
      <c r="J96" s="26">
        <v>0</v>
      </c>
      <c r="K96" s="26">
        <v>0</v>
      </c>
      <c r="L96" s="26">
        <v>0</v>
      </c>
      <c r="M96" s="26">
        <v>0</v>
      </c>
      <c r="N96" s="26">
        <v>0</v>
      </c>
      <c r="O96" s="26">
        <v>0</v>
      </c>
      <c r="P96" s="26">
        <v>0</v>
      </c>
      <c r="Q96" s="26">
        <v>0</v>
      </c>
      <c r="R96" s="26">
        <v>0</v>
      </c>
      <c r="S96" s="26">
        <v>0</v>
      </c>
      <c r="T96" s="26">
        <v>0</v>
      </c>
      <c r="U96" s="26">
        <v>0</v>
      </c>
      <c r="V96" s="26">
        <v>0</v>
      </c>
      <c r="W96" s="26">
        <v>0</v>
      </c>
      <c r="X96" s="26">
        <v>0</v>
      </c>
      <c r="Y96" s="26">
        <v>0</v>
      </c>
      <c r="Z96" s="26">
        <v>0</v>
      </c>
      <c r="AA96" s="26">
        <v>1.26E-2</v>
      </c>
      <c r="AB96" s="26">
        <v>1.2699999999999999E-2</v>
      </c>
      <c r="AC96" s="26">
        <v>1.2699999999999999E-2</v>
      </c>
      <c r="AD96" s="26">
        <v>1.26E-2</v>
      </c>
      <c r="AE96" s="26">
        <v>1.26E-2</v>
      </c>
      <c r="AF96" s="26">
        <v>1.26E-2</v>
      </c>
      <c r="AG96" s="26">
        <v>1.2699999999999999E-2</v>
      </c>
      <c r="AH96" s="26">
        <v>1.2699999999999999E-2</v>
      </c>
      <c r="AI96" s="26">
        <v>1.2699999999999999E-2</v>
      </c>
      <c r="AJ96" s="26">
        <v>1.2699999999999999E-2</v>
      </c>
      <c r="AK96" s="26">
        <v>1.2699999999999999E-2</v>
      </c>
      <c r="AL96" s="26">
        <v>1.2699999999999999E-2</v>
      </c>
      <c r="AM96" s="26">
        <v>1.2699999999999999E-2</v>
      </c>
      <c r="AN96" s="26">
        <v>1.2699999999999999E-2</v>
      </c>
      <c r="AO96" s="26">
        <v>1.2800000000000001E-2</v>
      </c>
      <c r="AP96" s="26">
        <v>1.2800000000000001E-2</v>
      </c>
      <c r="AQ96" s="26">
        <v>1.2800000000000001E-2</v>
      </c>
      <c r="AR96" s="26">
        <v>1.2800000000000001E-2</v>
      </c>
      <c r="AS96" s="26">
        <v>1.2800000000000001E-2</v>
      </c>
      <c r="AT96" s="26">
        <v>1.2800000000000001E-2</v>
      </c>
      <c r="AU96" s="26">
        <v>1.2800000000000001E-2</v>
      </c>
      <c r="AV96" s="26">
        <v>1.2800000000000001E-2</v>
      </c>
      <c r="AW96" s="26">
        <v>1.2800000000000001E-2</v>
      </c>
      <c r="AX96" s="26">
        <v>1.29E-2</v>
      </c>
      <c r="AY96" s="26">
        <v>1.29E-2</v>
      </c>
      <c r="AZ96" s="26">
        <v>1.29E-2</v>
      </c>
      <c r="BA96" s="26">
        <v>1.29E-2</v>
      </c>
      <c r="BB96" s="26">
        <v>1.29E-2</v>
      </c>
      <c r="BC96" s="26">
        <v>1.29E-2</v>
      </c>
      <c r="BD96" s="26">
        <v>1.29E-2</v>
      </c>
      <c r="BE96" s="31">
        <v>1.2999999999999999E-2</v>
      </c>
      <c r="BF96" s="11"/>
      <c r="BG96" s="11"/>
      <c r="BH96" s="11"/>
    </row>
    <row r="97" spans="2:60" ht="12.75" customHeight="1" x14ac:dyDescent="0.35">
      <c r="B97" s="22" t="b">
        <v>1</v>
      </c>
      <c r="C97" s="22" t="str">
        <f t="shared" si="2"/>
        <v>MN_Total CES</v>
      </c>
      <c r="D97" s="29" t="s">
        <v>57</v>
      </c>
      <c r="E97" s="30"/>
      <c r="F97" s="25" t="s">
        <v>174</v>
      </c>
      <c r="G97" s="26">
        <v>0</v>
      </c>
      <c r="H97" s="26">
        <v>0</v>
      </c>
      <c r="I97" s="26">
        <v>0</v>
      </c>
      <c r="J97" s="26">
        <v>0</v>
      </c>
      <c r="K97" s="26">
        <v>0</v>
      </c>
      <c r="L97" s="26">
        <v>0</v>
      </c>
      <c r="M97" s="26">
        <v>0</v>
      </c>
      <c r="N97" s="26">
        <v>0</v>
      </c>
      <c r="O97" s="26">
        <v>0</v>
      </c>
      <c r="P97" s="26">
        <v>0</v>
      </c>
      <c r="Q97" s="26">
        <v>0</v>
      </c>
      <c r="R97" s="26">
        <v>0</v>
      </c>
      <c r="S97" s="26">
        <v>0</v>
      </c>
      <c r="T97" s="26">
        <v>0</v>
      </c>
      <c r="U97" s="26">
        <v>0</v>
      </c>
      <c r="V97" s="26">
        <v>0</v>
      </c>
      <c r="W97" s="26">
        <v>0</v>
      </c>
      <c r="X97" s="26">
        <v>0</v>
      </c>
      <c r="Y97" s="26">
        <v>0</v>
      </c>
      <c r="Z97" s="26">
        <v>0</v>
      </c>
      <c r="AA97" s="26">
        <v>0</v>
      </c>
      <c r="AB97" s="26">
        <v>0</v>
      </c>
      <c r="AC97" s="26">
        <v>0</v>
      </c>
      <c r="AD97" s="26">
        <v>0</v>
      </c>
      <c r="AE97" s="26">
        <v>0</v>
      </c>
      <c r="AF97" s="26">
        <v>0</v>
      </c>
      <c r="AG97" s="26">
        <v>0</v>
      </c>
      <c r="AH97" s="26">
        <v>0</v>
      </c>
      <c r="AI97" s="26">
        <v>0</v>
      </c>
      <c r="AJ97" s="26">
        <v>0</v>
      </c>
      <c r="AK97" s="26">
        <v>0.72040000000000004</v>
      </c>
      <c r="AL97" s="26">
        <v>0.72040000000000004</v>
      </c>
      <c r="AM97" s="26">
        <v>0.72040000000000004</v>
      </c>
      <c r="AN97" s="26">
        <v>0.72040000000000004</v>
      </c>
      <c r="AO97" s="26">
        <v>0.72040000000000004</v>
      </c>
      <c r="AP97" s="26">
        <v>0.9</v>
      </c>
      <c r="AQ97" s="26">
        <v>0.9</v>
      </c>
      <c r="AR97" s="26">
        <v>0.9</v>
      </c>
      <c r="AS97" s="26">
        <v>0.9</v>
      </c>
      <c r="AT97" s="26">
        <v>0.9</v>
      </c>
      <c r="AU97" s="26">
        <v>1</v>
      </c>
      <c r="AV97" s="26">
        <v>1</v>
      </c>
      <c r="AW97" s="26">
        <v>1</v>
      </c>
      <c r="AX97" s="26">
        <v>1</v>
      </c>
      <c r="AY97" s="26">
        <v>1</v>
      </c>
      <c r="AZ97" s="26">
        <v>1</v>
      </c>
      <c r="BA97" s="26">
        <v>1</v>
      </c>
      <c r="BB97" s="26">
        <v>1</v>
      </c>
      <c r="BC97" s="26">
        <v>1</v>
      </c>
      <c r="BD97" s="26">
        <v>1</v>
      </c>
      <c r="BE97" s="26">
        <v>1</v>
      </c>
      <c r="BF97" s="11"/>
      <c r="BG97" s="11"/>
      <c r="BH97" s="11"/>
    </row>
    <row r="98" spans="2:60" x14ac:dyDescent="0.35">
      <c r="B98" s="22" t="b">
        <v>1</v>
      </c>
      <c r="C98" s="22" t="str">
        <f t="shared" si="2"/>
        <v>MN_   IOUs</v>
      </c>
      <c r="D98" s="29" t="s">
        <v>57</v>
      </c>
      <c r="E98" s="30"/>
      <c r="F98" s="25" t="s">
        <v>176</v>
      </c>
      <c r="G98" s="26">
        <v>0</v>
      </c>
      <c r="H98" s="26">
        <v>0</v>
      </c>
      <c r="I98" s="26">
        <v>0</v>
      </c>
      <c r="J98" s="26">
        <v>0</v>
      </c>
      <c r="K98" s="26">
        <v>0</v>
      </c>
      <c r="L98" s="26">
        <v>0</v>
      </c>
      <c r="M98" s="26">
        <v>0</v>
      </c>
      <c r="N98" s="26">
        <v>0</v>
      </c>
      <c r="O98" s="26">
        <v>0</v>
      </c>
      <c r="P98" s="26">
        <v>0</v>
      </c>
      <c r="Q98" s="26">
        <v>0</v>
      </c>
      <c r="R98" s="26">
        <v>0</v>
      </c>
      <c r="S98" s="26">
        <v>0</v>
      </c>
      <c r="T98" s="26">
        <v>0</v>
      </c>
      <c r="U98" s="26">
        <v>0</v>
      </c>
      <c r="V98" s="26">
        <v>0</v>
      </c>
      <c r="W98" s="26">
        <v>0</v>
      </c>
      <c r="X98" s="26">
        <v>0</v>
      </c>
      <c r="Y98" s="26">
        <v>0</v>
      </c>
      <c r="Z98" s="26">
        <v>0</v>
      </c>
      <c r="AA98" s="26">
        <v>0</v>
      </c>
      <c r="AB98" s="26">
        <v>0</v>
      </c>
      <c r="AC98" s="26">
        <v>0</v>
      </c>
      <c r="AD98" s="26">
        <v>0</v>
      </c>
      <c r="AE98" s="26">
        <v>0</v>
      </c>
      <c r="AF98" s="26">
        <v>0</v>
      </c>
      <c r="AG98" s="26">
        <v>0</v>
      </c>
      <c r="AH98" s="26">
        <v>0</v>
      </c>
      <c r="AI98" s="26">
        <v>0</v>
      </c>
      <c r="AJ98" s="26">
        <v>0</v>
      </c>
      <c r="AK98" s="26">
        <v>0.8</v>
      </c>
      <c r="AL98" s="26">
        <v>0.8</v>
      </c>
      <c r="AM98" s="26">
        <v>0.8</v>
      </c>
      <c r="AN98" s="26">
        <v>0.8</v>
      </c>
      <c r="AO98" s="26">
        <v>0.8</v>
      </c>
      <c r="AP98" s="26">
        <v>0.9</v>
      </c>
      <c r="AQ98" s="26">
        <v>0.9</v>
      </c>
      <c r="AR98" s="26">
        <v>0.9</v>
      </c>
      <c r="AS98" s="26">
        <v>0.9</v>
      </c>
      <c r="AT98" s="26">
        <v>0.9</v>
      </c>
      <c r="AU98" s="26">
        <v>1</v>
      </c>
      <c r="AV98" s="26">
        <v>1</v>
      </c>
      <c r="AW98" s="26">
        <v>1</v>
      </c>
      <c r="AX98" s="26">
        <v>1</v>
      </c>
      <c r="AY98" s="26">
        <v>1</v>
      </c>
      <c r="AZ98" s="26">
        <v>1</v>
      </c>
      <c r="BA98" s="26">
        <v>1</v>
      </c>
      <c r="BB98" s="26">
        <v>1</v>
      </c>
      <c r="BC98" s="26">
        <v>1</v>
      </c>
      <c r="BD98" s="26">
        <v>1</v>
      </c>
      <c r="BE98" s="26">
        <v>1</v>
      </c>
      <c r="BF98" s="11"/>
      <c r="BG98" s="11"/>
      <c r="BH98" s="11"/>
    </row>
    <row r="99" spans="2:60" x14ac:dyDescent="0.35">
      <c r="B99" s="22" t="b">
        <v>1</v>
      </c>
      <c r="C99" s="22" t="str">
        <f t="shared" si="2"/>
        <v>MN_   Other utilities</v>
      </c>
      <c r="D99" s="29" t="s">
        <v>57</v>
      </c>
      <c r="E99" s="28"/>
      <c r="F99" s="25" t="s">
        <v>219</v>
      </c>
      <c r="G99" s="26">
        <v>0</v>
      </c>
      <c r="H99" s="26">
        <v>0</v>
      </c>
      <c r="I99" s="26">
        <v>0</v>
      </c>
      <c r="J99" s="26">
        <v>0</v>
      </c>
      <c r="K99" s="26">
        <v>0</v>
      </c>
      <c r="L99" s="26">
        <v>0</v>
      </c>
      <c r="M99" s="26">
        <v>0</v>
      </c>
      <c r="N99" s="26">
        <v>0</v>
      </c>
      <c r="O99" s="26">
        <v>0</v>
      </c>
      <c r="P99" s="26">
        <v>0</v>
      </c>
      <c r="Q99" s="26">
        <v>0</v>
      </c>
      <c r="R99" s="26">
        <v>0</v>
      </c>
      <c r="S99" s="26">
        <v>0</v>
      </c>
      <c r="T99" s="26">
        <v>0</v>
      </c>
      <c r="U99" s="26">
        <v>0</v>
      </c>
      <c r="V99" s="26">
        <v>0</v>
      </c>
      <c r="W99" s="26">
        <v>0</v>
      </c>
      <c r="X99" s="26">
        <v>0</v>
      </c>
      <c r="Y99" s="26">
        <v>0</v>
      </c>
      <c r="Z99" s="26">
        <v>0</v>
      </c>
      <c r="AA99" s="26">
        <v>0</v>
      </c>
      <c r="AB99" s="26">
        <v>0</v>
      </c>
      <c r="AC99" s="26">
        <v>0</v>
      </c>
      <c r="AD99" s="26">
        <v>0</v>
      </c>
      <c r="AE99" s="26">
        <v>0</v>
      </c>
      <c r="AF99" s="26">
        <v>0</v>
      </c>
      <c r="AG99" s="26">
        <v>0</v>
      </c>
      <c r="AH99" s="26">
        <v>0</v>
      </c>
      <c r="AI99" s="26">
        <v>0</v>
      </c>
      <c r="AJ99" s="26">
        <v>0</v>
      </c>
      <c r="AK99" s="26">
        <v>0.6</v>
      </c>
      <c r="AL99" s="26">
        <v>0.6</v>
      </c>
      <c r="AM99" s="26">
        <v>0.6</v>
      </c>
      <c r="AN99" s="26">
        <v>0.6</v>
      </c>
      <c r="AO99" s="26">
        <v>0.6</v>
      </c>
      <c r="AP99" s="26">
        <v>0.9</v>
      </c>
      <c r="AQ99" s="26">
        <v>0.9</v>
      </c>
      <c r="AR99" s="26">
        <v>0.9</v>
      </c>
      <c r="AS99" s="26">
        <v>0.9</v>
      </c>
      <c r="AT99" s="26">
        <v>0.9</v>
      </c>
      <c r="AU99" s="26">
        <v>1</v>
      </c>
      <c r="AV99" s="26">
        <v>1</v>
      </c>
      <c r="AW99" s="26">
        <v>1</v>
      </c>
      <c r="AX99" s="26">
        <v>1</v>
      </c>
      <c r="AY99" s="26">
        <v>1</v>
      </c>
      <c r="AZ99" s="26">
        <v>1</v>
      </c>
      <c r="BA99" s="26">
        <v>1</v>
      </c>
      <c r="BB99" s="26">
        <v>1</v>
      </c>
      <c r="BC99" s="26">
        <v>1</v>
      </c>
      <c r="BD99" s="26">
        <v>1</v>
      </c>
      <c r="BE99" s="26">
        <v>1</v>
      </c>
      <c r="BF99" s="11"/>
      <c r="BG99" s="11"/>
      <c r="BH99" s="11"/>
    </row>
    <row r="100" spans="2:60" ht="12.75" customHeight="1" x14ac:dyDescent="0.35">
      <c r="B100" s="22" t="b">
        <v>1</v>
      </c>
      <c r="C100" s="22" t="str">
        <f t="shared" si="2"/>
        <v>MO_Total RPS</v>
      </c>
      <c r="D100" s="23" t="s">
        <v>60</v>
      </c>
      <c r="E100" s="24" t="s">
        <v>221</v>
      </c>
      <c r="F100" s="25" t="s">
        <v>171</v>
      </c>
      <c r="G100" s="26">
        <v>0</v>
      </c>
      <c r="H100" s="26">
        <v>0</v>
      </c>
      <c r="I100" s="26">
        <v>0</v>
      </c>
      <c r="J100" s="26">
        <v>0</v>
      </c>
      <c r="K100" s="26">
        <v>0</v>
      </c>
      <c r="L100" s="26">
        <v>0</v>
      </c>
      <c r="M100" s="26">
        <v>0</v>
      </c>
      <c r="N100" s="26">
        <v>0</v>
      </c>
      <c r="O100" s="26">
        <v>0</v>
      </c>
      <c r="P100" s="26">
        <v>0</v>
      </c>
      <c r="Q100" s="26">
        <v>0</v>
      </c>
      <c r="R100" s="26">
        <v>0.02</v>
      </c>
      <c r="S100" s="26">
        <v>0.02</v>
      </c>
      <c r="T100" s="26">
        <v>0.02</v>
      </c>
      <c r="U100" s="26">
        <v>0.05</v>
      </c>
      <c r="V100" s="26">
        <v>0.05</v>
      </c>
      <c r="W100" s="26">
        <v>0.05</v>
      </c>
      <c r="X100" s="26">
        <v>0.05</v>
      </c>
      <c r="Y100" s="26">
        <v>0.1</v>
      </c>
      <c r="Z100" s="26">
        <v>0.1</v>
      </c>
      <c r="AA100" s="26">
        <v>0.1</v>
      </c>
      <c r="AB100" s="26">
        <v>0.15</v>
      </c>
      <c r="AC100" s="26">
        <v>0.15</v>
      </c>
      <c r="AD100" s="26">
        <v>0.15</v>
      </c>
      <c r="AE100" s="26">
        <v>0.15</v>
      </c>
      <c r="AF100" s="26">
        <v>0.15</v>
      </c>
      <c r="AG100" s="26">
        <v>0.15</v>
      </c>
      <c r="AH100" s="26">
        <v>0.15</v>
      </c>
      <c r="AI100" s="26">
        <v>0.15</v>
      </c>
      <c r="AJ100" s="26">
        <v>0.15</v>
      </c>
      <c r="AK100" s="26">
        <v>0.15</v>
      </c>
      <c r="AL100" s="26">
        <v>0.15</v>
      </c>
      <c r="AM100" s="26">
        <v>0.15</v>
      </c>
      <c r="AN100" s="26">
        <v>0.15</v>
      </c>
      <c r="AO100" s="26">
        <v>0.15</v>
      </c>
      <c r="AP100" s="26">
        <v>0.15</v>
      </c>
      <c r="AQ100" s="26">
        <v>0.15</v>
      </c>
      <c r="AR100" s="26">
        <v>0.15</v>
      </c>
      <c r="AS100" s="26">
        <v>0.15</v>
      </c>
      <c r="AT100" s="26">
        <v>0.15</v>
      </c>
      <c r="AU100" s="26">
        <v>0.15</v>
      </c>
      <c r="AV100" s="26">
        <v>0.15</v>
      </c>
      <c r="AW100" s="26">
        <v>0.15</v>
      </c>
      <c r="AX100" s="26">
        <v>0.15</v>
      </c>
      <c r="AY100" s="26">
        <v>0.15</v>
      </c>
      <c r="AZ100" s="26">
        <v>0.15</v>
      </c>
      <c r="BA100" s="26">
        <v>0.15</v>
      </c>
      <c r="BB100" s="26">
        <v>0.15</v>
      </c>
      <c r="BC100" s="26">
        <v>0.15</v>
      </c>
      <c r="BD100" s="26">
        <v>0.15</v>
      </c>
      <c r="BE100" s="26">
        <v>0.15</v>
      </c>
      <c r="BF100" s="11"/>
      <c r="BG100" s="11"/>
      <c r="BH100" s="11"/>
    </row>
    <row r="101" spans="2:60" x14ac:dyDescent="0.35">
      <c r="B101" s="22" t="b">
        <v>1</v>
      </c>
      <c r="C101" s="22" t="str">
        <f t="shared" si="2"/>
        <v>MO_   Solar Carve-Out</v>
      </c>
      <c r="D101" s="29" t="s">
        <v>60</v>
      </c>
      <c r="E101" s="30"/>
      <c r="F101" s="32" t="s">
        <v>186</v>
      </c>
      <c r="G101" s="26">
        <v>0</v>
      </c>
      <c r="H101" s="26">
        <v>0</v>
      </c>
      <c r="I101" s="26">
        <v>0</v>
      </c>
      <c r="J101" s="26">
        <v>0</v>
      </c>
      <c r="K101" s="26">
        <v>0</v>
      </c>
      <c r="L101" s="26">
        <v>0</v>
      </c>
      <c r="M101" s="26">
        <v>0</v>
      </c>
      <c r="N101" s="26">
        <v>0</v>
      </c>
      <c r="O101" s="26">
        <v>0</v>
      </c>
      <c r="P101" s="26">
        <v>0</v>
      </c>
      <c r="Q101" s="26">
        <v>0</v>
      </c>
      <c r="R101" s="26">
        <v>4.0000000000000002E-4</v>
      </c>
      <c r="S101" s="26">
        <v>4.0000000000000002E-4</v>
      </c>
      <c r="T101" s="26">
        <v>4.0000000000000002E-4</v>
      </c>
      <c r="U101" s="26">
        <v>1E-3</v>
      </c>
      <c r="V101" s="26">
        <v>1E-3</v>
      </c>
      <c r="W101" s="26">
        <v>1E-3</v>
      </c>
      <c r="X101" s="26">
        <v>1E-3</v>
      </c>
      <c r="Y101" s="26">
        <v>2E-3</v>
      </c>
      <c r="Z101" s="26">
        <v>2E-3</v>
      </c>
      <c r="AA101" s="26">
        <v>2E-3</v>
      </c>
      <c r="AB101" s="26">
        <v>3.0000000000000001E-3</v>
      </c>
      <c r="AC101" s="26">
        <v>3.0000000000000001E-3</v>
      </c>
      <c r="AD101" s="26">
        <v>3.0000000000000001E-3</v>
      </c>
      <c r="AE101" s="26">
        <v>3.0000000000000001E-3</v>
      </c>
      <c r="AF101" s="26">
        <v>3.0000000000000001E-3</v>
      </c>
      <c r="AG101" s="26">
        <v>3.0000000000000001E-3</v>
      </c>
      <c r="AH101" s="26">
        <v>3.0000000000000001E-3</v>
      </c>
      <c r="AI101" s="26">
        <v>3.0000000000000001E-3</v>
      </c>
      <c r="AJ101" s="26">
        <v>3.0000000000000001E-3</v>
      </c>
      <c r="AK101" s="26">
        <v>3.0000000000000001E-3</v>
      </c>
      <c r="AL101" s="26">
        <v>3.0000000000000001E-3</v>
      </c>
      <c r="AM101" s="26">
        <v>3.0000000000000001E-3</v>
      </c>
      <c r="AN101" s="26">
        <v>3.0000000000000001E-3</v>
      </c>
      <c r="AO101" s="26">
        <v>3.0000000000000001E-3</v>
      </c>
      <c r="AP101" s="26">
        <v>3.0000000000000001E-3</v>
      </c>
      <c r="AQ101" s="26">
        <v>3.0000000000000001E-3</v>
      </c>
      <c r="AR101" s="26">
        <v>3.0000000000000001E-3</v>
      </c>
      <c r="AS101" s="26">
        <v>3.0000000000000001E-3</v>
      </c>
      <c r="AT101" s="26">
        <v>3.0000000000000001E-3</v>
      </c>
      <c r="AU101" s="26">
        <v>3.0000000000000001E-3</v>
      </c>
      <c r="AV101" s="26">
        <v>3.0000000000000001E-3</v>
      </c>
      <c r="AW101" s="26">
        <v>3.0000000000000001E-3</v>
      </c>
      <c r="AX101" s="26">
        <v>3.0000000000000001E-3</v>
      </c>
      <c r="AY101" s="26">
        <v>3.0000000000000001E-3</v>
      </c>
      <c r="AZ101" s="26">
        <v>3.0000000000000001E-3</v>
      </c>
      <c r="BA101" s="26">
        <v>3.0000000000000001E-3</v>
      </c>
      <c r="BB101" s="26">
        <v>3.0000000000000001E-3</v>
      </c>
      <c r="BC101" s="26">
        <v>3.0000000000000001E-3</v>
      </c>
      <c r="BD101" s="26">
        <v>3.0000000000000001E-3</v>
      </c>
      <c r="BE101" s="26">
        <v>3.0000000000000001E-3</v>
      </c>
      <c r="BF101" s="11"/>
      <c r="BG101" s="11"/>
      <c r="BH101" s="11"/>
    </row>
    <row r="102" spans="2:60" ht="25.5" customHeight="1" x14ac:dyDescent="0.35">
      <c r="B102" s="22" t="b">
        <v>1</v>
      </c>
      <c r="C102" s="22" t="str">
        <f t="shared" si="2"/>
        <v>MT_Total RPS</v>
      </c>
      <c r="D102" s="29" t="s">
        <v>63</v>
      </c>
      <c r="E102" s="30" t="s">
        <v>222</v>
      </c>
      <c r="F102" s="32" t="s">
        <v>171</v>
      </c>
      <c r="G102" s="26">
        <v>0</v>
      </c>
      <c r="H102" s="26">
        <v>0</v>
      </c>
      <c r="I102" s="26">
        <v>0</v>
      </c>
      <c r="J102" s="26">
        <v>0</v>
      </c>
      <c r="K102" s="26">
        <v>0</v>
      </c>
      <c r="L102" s="26">
        <v>0</v>
      </c>
      <c r="M102" s="26">
        <v>0</v>
      </c>
      <c r="N102" s="26">
        <v>0</v>
      </c>
      <c r="O102" s="26">
        <v>0.05</v>
      </c>
      <c r="P102" s="26">
        <v>0.05</v>
      </c>
      <c r="Q102" s="26">
        <v>0.1</v>
      </c>
      <c r="R102" s="26">
        <v>0.1</v>
      </c>
      <c r="S102" s="26">
        <v>0.1</v>
      </c>
      <c r="T102" s="26">
        <v>0.1</v>
      </c>
      <c r="U102" s="26">
        <v>0.1</v>
      </c>
      <c r="V102" s="26">
        <v>0.15</v>
      </c>
      <c r="W102" s="26">
        <v>0.15</v>
      </c>
      <c r="X102" s="26">
        <v>0.15</v>
      </c>
      <c r="Y102" s="26">
        <v>0.15</v>
      </c>
      <c r="Z102" s="26">
        <v>0.15</v>
      </c>
      <c r="AA102" s="26">
        <v>0.15</v>
      </c>
      <c r="AB102" s="26">
        <v>0</v>
      </c>
      <c r="AC102" s="26">
        <v>0</v>
      </c>
      <c r="AD102" s="26">
        <v>0</v>
      </c>
      <c r="AE102" s="26">
        <v>0</v>
      </c>
      <c r="AF102" s="26">
        <v>0</v>
      </c>
      <c r="AG102" s="26">
        <v>0</v>
      </c>
      <c r="AH102" s="26">
        <v>0</v>
      </c>
      <c r="AI102" s="26">
        <v>0</v>
      </c>
      <c r="AJ102" s="26">
        <v>0</v>
      </c>
      <c r="AK102" s="26">
        <v>0</v>
      </c>
      <c r="AL102" s="26">
        <v>0</v>
      </c>
      <c r="AM102" s="26">
        <v>0</v>
      </c>
      <c r="AN102" s="26">
        <v>0</v>
      </c>
      <c r="AO102" s="26">
        <v>0</v>
      </c>
      <c r="AP102" s="26">
        <v>0</v>
      </c>
      <c r="AQ102" s="26">
        <v>0</v>
      </c>
      <c r="AR102" s="26">
        <v>0</v>
      </c>
      <c r="AS102" s="26">
        <v>0</v>
      </c>
      <c r="AT102" s="26">
        <v>0</v>
      </c>
      <c r="AU102" s="26">
        <v>0</v>
      </c>
      <c r="AV102" s="26">
        <v>0</v>
      </c>
      <c r="AW102" s="26">
        <v>0</v>
      </c>
      <c r="AX102" s="26">
        <v>0</v>
      </c>
      <c r="AY102" s="26">
        <v>0</v>
      </c>
      <c r="AZ102" s="26">
        <v>0</v>
      </c>
      <c r="BA102" s="26">
        <v>0</v>
      </c>
      <c r="BB102" s="26">
        <v>0</v>
      </c>
      <c r="BC102" s="26">
        <v>0</v>
      </c>
      <c r="BD102" s="26">
        <v>0</v>
      </c>
      <c r="BE102" s="26">
        <v>0</v>
      </c>
      <c r="BF102" s="11"/>
      <c r="BG102" s="11"/>
      <c r="BH102" s="11"/>
    </row>
    <row r="103" spans="2:60" ht="89.25" customHeight="1" x14ac:dyDescent="0.35">
      <c r="B103" s="22" t="b">
        <v>1</v>
      </c>
      <c r="C103" s="22" t="str">
        <f t="shared" si="2"/>
        <v>NC_Total RPS</v>
      </c>
      <c r="D103" s="29" t="s">
        <v>66</v>
      </c>
      <c r="E103" s="30" t="s">
        <v>223</v>
      </c>
      <c r="F103" s="32" t="s">
        <v>171</v>
      </c>
      <c r="G103" s="26">
        <v>0</v>
      </c>
      <c r="H103" s="26">
        <v>0</v>
      </c>
      <c r="I103" s="26">
        <v>0</v>
      </c>
      <c r="J103" s="26">
        <v>0</v>
      </c>
      <c r="K103" s="26">
        <v>0</v>
      </c>
      <c r="L103" s="26">
        <v>0</v>
      </c>
      <c r="M103" s="26">
        <v>0</v>
      </c>
      <c r="N103" s="26">
        <v>0</v>
      </c>
      <c r="O103" s="26">
        <v>0</v>
      </c>
      <c r="P103" s="26">
        <v>0</v>
      </c>
      <c r="Q103" s="26">
        <v>0</v>
      </c>
      <c r="R103" s="26">
        <v>0</v>
      </c>
      <c r="S103" s="26">
        <v>0.03</v>
      </c>
      <c r="T103" s="26">
        <v>0.03</v>
      </c>
      <c r="U103" s="26">
        <v>0.03</v>
      </c>
      <c r="V103" s="26">
        <v>0.06</v>
      </c>
      <c r="W103" s="26">
        <v>0.06</v>
      </c>
      <c r="X103" s="26">
        <v>0.06</v>
      </c>
      <c r="Y103" s="26">
        <v>0.1</v>
      </c>
      <c r="Z103" s="26">
        <v>0.1</v>
      </c>
      <c r="AA103" s="26">
        <v>0.1</v>
      </c>
      <c r="AB103" s="26">
        <v>0.11899999999999999</v>
      </c>
      <c r="AC103" s="26">
        <v>0.1191</v>
      </c>
      <c r="AD103" s="26">
        <v>0.1191</v>
      </c>
      <c r="AE103" s="26">
        <v>0.1191</v>
      </c>
      <c r="AF103" s="26">
        <v>0.1191</v>
      </c>
      <c r="AG103" s="26">
        <v>0.1191</v>
      </c>
      <c r="AH103" s="26">
        <v>0.1191</v>
      </c>
      <c r="AI103" s="26">
        <v>0.1191</v>
      </c>
      <c r="AJ103" s="26">
        <v>0.1191</v>
      </c>
      <c r="AK103" s="26">
        <v>0.1191</v>
      </c>
      <c r="AL103" s="26">
        <v>0.1191</v>
      </c>
      <c r="AM103" s="26">
        <v>0.1191</v>
      </c>
      <c r="AN103" s="26">
        <v>0.1191</v>
      </c>
      <c r="AO103" s="26">
        <v>0.1191</v>
      </c>
      <c r="AP103" s="26">
        <v>0.1191</v>
      </c>
      <c r="AQ103" s="26">
        <v>0.1191</v>
      </c>
      <c r="AR103" s="26">
        <v>0.1191</v>
      </c>
      <c r="AS103" s="26">
        <v>0.1191</v>
      </c>
      <c r="AT103" s="26">
        <v>0.1191</v>
      </c>
      <c r="AU103" s="26">
        <v>0.1191</v>
      </c>
      <c r="AV103" s="26">
        <v>0.1191</v>
      </c>
      <c r="AW103" s="26">
        <v>0.1191</v>
      </c>
      <c r="AX103" s="26">
        <v>0.1191</v>
      </c>
      <c r="AY103" s="26">
        <v>0.1191</v>
      </c>
      <c r="AZ103" s="26">
        <v>0.1191</v>
      </c>
      <c r="BA103" s="26">
        <v>0.1191</v>
      </c>
      <c r="BB103" s="26">
        <v>0.1191</v>
      </c>
      <c r="BC103" s="26">
        <v>0.1191</v>
      </c>
      <c r="BD103" s="26">
        <v>0.1191</v>
      </c>
      <c r="BE103" s="26">
        <v>0.1191</v>
      </c>
      <c r="BF103" s="11"/>
      <c r="BG103" s="11"/>
      <c r="BH103" s="11"/>
    </row>
    <row r="104" spans="2:60" x14ac:dyDescent="0.35">
      <c r="B104" s="22" t="b">
        <v>1</v>
      </c>
      <c r="C104" s="22" t="str">
        <f t="shared" si="2"/>
        <v>NC_   IOUs</v>
      </c>
      <c r="D104" s="29" t="s">
        <v>66</v>
      </c>
      <c r="E104" s="30"/>
      <c r="F104" s="32" t="s">
        <v>176</v>
      </c>
      <c r="G104" s="26">
        <v>0</v>
      </c>
      <c r="H104" s="26">
        <v>0</v>
      </c>
      <c r="I104" s="26">
        <v>0</v>
      </c>
      <c r="J104" s="26">
        <v>0</v>
      </c>
      <c r="K104" s="26">
        <v>0</v>
      </c>
      <c r="L104" s="26">
        <v>0</v>
      </c>
      <c r="M104" s="26">
        <v>0</v>
      </c>
      <c r="N104" s="26">
        <v>0</v>
      </c>
      <c r="O104" s="26">
        <v>0</v>
      </c>
      <c r="P104" s="26">
        <v>0</v>
      </c>
      <c r="Q104" s="26">
        <v>0</v>
      </c>
      <c r="R104" s="26">
        <v>0</v>
      </c>
      <c r="S104" s="26">
        <v>0.03</v>
      </c>
      <c r="T104" s="26">
        <v>0.03</v>
      </c>
      <c r="U104" s="26">
        <v>0.03</v>
      </c>
      <c r="V104" s="26">
        <v>0.06</v>
      </c>
      <c r="W104" s="26">
        <v>0.06</v>
      </c>
      <c r="X104" s="26">
        <v>0.06</v>
      </c>
      <c r="Y104" s="26">
        <v>0.1</v>
      </c>
      <c r="Z104" s="26">
        <v>0.1</v>
      </c>
      <c r="AA104" s="26">
        <v>0.1</v>
      </c>
      <c r="AB104" s="26">
        <v>0.125</v>
      </c>
      <c r="AC104" s="26">
        <v>0.125</v>
      </c>
      <c r="AD104" s="26">
        <v>0.125</v>
      </c>
      <c r="AE104" s="26">
        <v>0.125</v>
      </c>
      <c r="AF104" s="26">
        <v>0.125</v>
      </c>
      <c r="AG104" s="26">
        <v>0.125</v>
      </c>
      <c r="AH104" s="26">
        <v>0.125</v>
      </c>
      <c r="AI104" s="26">
        <v>0.125</v>
      </c>
      <c r="AJ104" s="26">
        <v>0.125</v>
      </c>
      <c r="AK104" s="26">
        <v>0.125</v>
      </c>
      <c r="AL104" s="26">
        <v>0.125</v>
      </c>
      <c r="AM104" s="26">
        <v>0.125</v>
      </c>
      <c r="AN104" s="26">
        <v>0.125</v>
      </c>
      <c r="AO104" s="26">
        <v>0.125</v>
      </c>
      <c r="AP104" s="26">
        <v>0.125</v>
      </c>
      <c r="AQ104" s="26">
        <v>0.125</v>
      </c>
      <c r="AR104" s="26">
        <v>0.125</v>
      </c>
      <c r="AS104" s="26">
        <v>0.125</v>
      </c>
      <c r="AT104" s="26">
        <v>0.125</v>
      </c>
      <c r="AU104" s="26">
        <v>0.125</v>
      </c>
      <c r="AV104" s="26">
        <v>0.125</v>
      </c>
      <c r="AW104" s="26">
        <v>0.125</v>
      </c>
      <c r="AX104" s="26">
        <v>0.125</v>
      </c>
      <c r="AY104" s="26">
        <v>0.125</v>
      </c>
      <c r="AZ104" s="26">
        <v>0.125</v>
      </c>
      <c r="BA104" s="26">
        <v>0.125</v>
      </c>
      <c r="BB104" s="26">
        <v>0.125</v>
      </c>
      <c r="BC104" s="26">
        <v>0.125</v>
      </c>
      <c r="BD104" s="26">
        <v>0.125</v>
      </c>
      <c r="BE104" s="26">
        <v>0.125</v>
      </c>
      <c r="BF104" s="11"/>
      <c r="BG104" s="11"/>
      <c r="BH104" s="11"/>
    </row>
    <row r="105" spans="2:60" x14ac:dyDescent="0.35">
      <c r="B105" s="22" t="b">
        <v>1</v>
      </c>
      <c r="C105" s="22" t="str">
        <f t="shared" si="2"/>
        <v>NC_   Munis and Coops</v>
      </c>
      <c r="D105" s="29" t="s">
        <v>66</v>
      </c>
      <c r="E105" s="30"/>
      <c r="F105" s="32" t="s">
        <v>224</v>
      </c>
      <c r="G105" s="26">
        <v>0</v>
      </c>
      <c r="H105" s="26">
        <v>0</v>
      </c>
      <c r="I105" s="26">
        <v>0</v>
      </c>
      <c r="J105" s="26">
        <v>0</v>
      </c>
      <c r="K105" s="26">
        <v>0</v>
      </c>
      <c r="L105" s="26">
        <v>0</v>
      </c>
      <c r="M105" s="26">
        <v>0</v>
      </c>
      <c r="N105" s="26">
        <v>0</v>
      </c>
      <c r="O105" s="26">
        <v>0</v>
      </c>
      <c r="P105" s="26">
        <v>0</v>
      </c>
      <c r="Q105" s="26">
        <v>0</v>
      </c>
      <c r="R105" s="26">
        <v>0</v>
      </c>
      <c r="S105" s="26">
        <v>0.03</v>
      </c>
      <c r="T105" s="26">
        <v>0.03</v>
      </c>
      <c r="U105" s="26">
        <v>0.03</v>
      </c>
      <c r="V105" s="26">
        <v>0.06</v>
      </c>
      <c r="W105" s="26">
        <v>0.06</v>
      </c>
      <c r="X105" s="26">
        <v>0.06</v>
      </c>
      <c r="Y105" s="26">
        <v>0.1</v>
      </c>
      <c r="Z105" s="26">
        <v>0.1</v>
      </c>
      <c r="AA105" s="26">
        <v>0.1</v>
      </c>
      <c r="AB105" s="26">
        <v>0.1</v>
      </c>
      <c r="AC105" s="26">
        <v>0.1</v>
      </c>
      <c r="AD105" s="26">
        <v>0.1</v>
      </c>
      <c r="AE105" s="26">
        <v>0.1</v>
      </c>
      <c r="AF105" s="26">
        <v>0.1</v>
      </c>
      <c r="AG105" s="26">
        <v>0.1</v>
      </c>
      <c r="AH105" s="26">
        <v>0.1</v>
      </c>
      <c r="AI105" s="26">
        <v>0.1</v>
      </c>
      <c r="AJ105" s="26">
        <v>0.1</v>
      </c>
      <c r="AK105" s="26">
        <v>0.1</v>
      </c>
      <c r="AL105" s="26">
        <v>0.1</v>
      </c>
      <c r="AM105" s="26">
        <v>0.1</v>
      </c>
      <c r="AN105" s="26">
        <v>0.1</v>
      </c>
      <c r="AO105" s="26">
        <v>0.1</v>
      </c>
      <c r="AP105" s="26">
        <v>0.1</v>
      </c>
      <c r="AQ105" s="26">
        <v>0.1</v>
      </c>
      <c r="AR105" s="26">
        <v>0.1</v>
      </c>
      <c r="AS105" s="26">
        <v>0.1</v>
      </c>
      <c r="AT105" s="26">
        <v>0.1</v>
      </c>
      <c r="AU105" s="26">
        <v>0.1</v>
      </c>
      <c r="AV105" s="26">
        <v>0.1</v>
      </c>
      <c r="AW105" s="26">
        <v>0.1</v>
      </c>
      <c r="AX105" s="26">
        <v>0.1</v>
      </c>
      <c r="AY105" s="26">
        <v>0.1</v>
      </c>
      <c r="AZ105" s="26">
        <v>0.1</v>
      </c>
      <c r="BA105" s="26">
        <v>0.1</v>
      </c>
      <c r="BB105" s="26">
        <v>0.1</v>
      </c>
      <c r="BC105" s="26">
        <v>0.1</v>
      </c>
      <c r="BD105" s="26">
        <v>0.1</v>
      </c>
      <c r="BE105" s="26">
        <v>0.1</v>
      </c>
      <c r="BF105" s="11"/>
      <c r="BG105" s="11"/>
      <c r="BH105" s="11"/>
    </row>
    <row r="106" spans="2:60" ht="12.75" customHeight="1" x14ac:dyDescent="0.35">
      <c r="B106" s="22" t="b">
        <v>1</v>
      </c>
      <c r="C106" s="22" t="str">
        <f t="shared" si="2"/>
        <v>NC_Solar Carve-Out</v>
      </c>
      <c r="D106" s="29" t="s">
        <v>66</v>
      </c>
      <c r="E106" s="30"/>
      <c r="F106" s="25" t="s">
        <v>225</v>
      </c>
      <c r="G106" s="26">
        <v>0</v>
      </c>
      <c r="H106" s="26">
        <v>0</v>
      </c>
      <c r="I106" s="26">
        <v>0</v>
      </c>
      <c r="J106" s="26">
        <v>0</v>
      </c>
      <c r="K106" s="26">
        <v>0</v>
      </c>
      <c r="L106" s="26">
        <v>0</v>
      </c>
      <c r="M106" s="26">
        <v>0</v>
      </c>
      <c r="N106" s="26">
        <v>0</v>
      </c>
      <c r="O106" s="26">
        <v>0</v>
      </c>
      <c r="P106" s="26">
        <v>0</v>
      </c>
      <c r="Q106" s="26">
        <v>2.0000000000000001E-4</v>
      </c>
      <c r="R106" s="26">
        <v>2.0000000000000001E-4</v>
      </c>
      <c r="S106" s="26">
        <v>6.9999999999999999E-4</v>
      </c>
      <c r="T106" s="26">
        <v>6.9999999999999999E-4</v>
      </c>
      <c r="U106" s="26">
        <v>6.9999999999999999E-4</v>
      </c>
      <c r="V106" s="26">
        <v>1.4E-3</v>
      </c>
      <c r="W106" s="26">
        <v>1.4E-3</v>
      </c>
      <c r="X106" s="26">
        <v>1.4E-3</v>
      </c>
      <c r="Y106" s="26">
        <v>2E-3</v>
      </c>
      <c r="Z106" s="26">
        <v>2E-3</v>
      </c>
      <c r="AA106" s="26">
        <v>2E-3</v>
      </c>
      <c r="AB106" s="26">
        <v>2E-3</v>
      </c>
      <c r="AC106" s="26">
        <v>2E-3</v>
      </c>
      <c r="AD106" s="26">
        <v>2E-3</v>
      </c>
      <c r="AE106" s="26">
        <v>2E-3</v>
      </c>
      <c r="AF106" s="26">
        <v>2E-3</v>
      </c>
      <c r="AG106" s="26">
        <v>2E-3</v>
      </c>
      <c r="AH106" s="26">
        <v>2E-3</v>
      </c>
      <c r="AI106" s="26">
        <v>2E-3</v>
      </c>
      <c r="AJ106" s="26">
        <v>2E-3</v>
      </c>
      <c r="AK106" s="26">
        <v>2E-3</v>
      </c>
      <c r="AL106" s="26">
        <v>2E-3</v>
      </c>
      <c r="AM106" s="26">
        <v>2E-3</v>
      </c>
      <c r="AN106" s="26">
        <v>2E-3</v>
      </c>
      <c r="AO106" s="26">
        <v>2E-3</v>
      </c>
      <c r="AP106" s="26">
        <v>2E-3</v>
      </c>
      <c r="AQ106" s="26">
        <v>2E-3</v>
      </c>
      <c r="AR106" s="26">
        <v>2E-3</v>
      </c>
      <c r="AS106" s="26">
        <v>2E-3</v>
      </c>
      <c r="AT106" s="26">
        <v>2E-3</v>
      </c>
      <c r="AU106" s="26">
        <v>2E-3</v>
      </c>
      <c r="AV106" s="26">
        <v>2E-3</v>
      </c>
      <c r="AW106" s="26">
        <v>2E-3</v>
      </c>
      <c r="AX106" s="26">
        <v>2E-3</v>
      </c>
      <c r="AY106" s="26">
        <v>2E-3</v>
      </c>
      <c r="AZ106" s="26">
        <v>2E-3</v>
      </c>
      <c r="BA106" s="26">
        <v>2E-3</v>
      </c>
      <c r="BB106" s="26">
        <v>2E-3</v>
      </c>
      <c r="BC106" s="26">
        <v>2E-3</v>
      </c>
      <c r="BD106" s="26">
        <v>2E-3</v>
      </c>
      <c r="BE106" s="26">
        <v>2E-3</v>
      </c>
      <c r="BF106" s="11"/>
      <c r="BG106" s="11"/>
      <c r="BH106" s="11"/>
    </row>
    <row r="107" spans="2:60" x14ac:dyDescent="0.35">
      <c r="B107" s="22" t="b">
        <v>1</v>
      </c>
      <c r="C107" s="22" t="str">
        <f t="shared" si="2"/>
        <v>NC_Swine Waste Carve-Out</v>
      </c>
      <c r="D107" s="29" t="s">
        <v>66</v>
      </c>
      <c r="E107" s="30"/>
      <c r="F107" s="32" t="s">
        <v>226</v>
      </c>
      <c r="G107" s="26">
        <v>0</v>
      </c>
      <c r="H107" s="26">
        <v>0</v>
      </c>
      <c r="I107" s="26">
        <v>0</v>
      </c>
      <c r="J107" s="26">
        <v>0</v>
      </c>
      <c r="K107" s="26">
        <v>0</v>
      </c>
      <c r="L107" s="26">
        <v>0</v>
      </c>
      <c r="M107" s="26">
        <v>0</v>
      </c>
      <c r="N107" s="26">
        <v>0</v>
      </c>
      <c r="O107" s="26">
        <v>0</v>
      </c>
      <c r="P107" s="26">
        <v>0</v>
      </c>
      <c r="Q107" s="26">
        <v>0</v>
      </c>
      <c r="R107" s="26">
        <v>0</v>
      </c>
      <c r="S107" s="26">
        <v>0</v>
      </c>
      <c r="T107" s="26">
        <v>0</v>
      </c>
      <c r="U107" s="26">
        <v>0</v>
      </c>
      <c r="V107" s="26">
        <v>0</v>
      </c>
      <c r="W107" s="26">
        <v>0</v>
      </c>
      <c r="X107" s="26">
        <v>6.9999999999999999E-4</v>
      </c>
      <c r="Y107" s="26">
        <v>2.0000000000000001E-4</v>
      </c>
      <c r="Z107" s="26">
        <v>4.0000000000000002E-4</v>
      </c>
      <c r="AA107" s="26">
        <v>6.9999999999999999E-4</v>
      </c>
      <c r="AB107" s="26">
        <v>6.9999999999999999E-4</v>
      </c>
      <c r="AC107" s="26">
        <v>5.0000000000000001E-4</v>
      </c>
      <c r="AD107" s="26">
        <v>1.4E-3</v>
      </c>
      <c r="AE107" s="26">
        <v>2E-3</v>
      </c>
      <c r="AF107" s="26">
        <v>2E-3</v>
      </c>
      <c r="AG107" s="26">
        <v>2E-3</v>
      </c>
      <c r="AH107" s="26">
        <v>2E-3</v>
      </c>
      <c r="AI107" s="26">
        <v>2E-3</v>
      </c>
      <c r="AJ107" s="26">
        <v>2E-3</v>
      </c>
      <c r="AK107" s="26">
        <v>2E-3</v>
      </c>
      <c r="AL107" s="26">
        <v>2E-3</v>
      </c>
      <c r="AM107" s="26">
        <v>2E-3</v>
      </c>
      <c r="AN107" s="26">
        <v>2E-3</v>
      </c>
      <c r="AO107" s="26">
        <v>2E-3</v>
      </c>
      <c r="AP107" s="26">
        <v>2E-3</v>
      </c>
      <c r="AQ107" s="26">
        <v>2E-3</v>
      </c>
      <c r="AR107" s="26">
        <v>2E-3</v>
      </c>
      <c r="AS107" s="26">
        <v>2E-3</v>
      </c>
      <c r="AT107" s="26">
        <v>2E-3</v>
      </c>
      <c r="AU107" s="26">
        <v>2E-3</v>
      </c>
      <c r="AV107" s="26">
        <v>2E-3</v>
      </c>
      <c r="AW107" s="26">
        <v>2E-3</v>
      </c>
      <c r="AX107" s="26">
        <v>2E-3</v>
      </c>
      <c r="AY107" s="26">
        <v>2E-3</v>
      </c>
      <c r="AZ107" s="26">
        <v>2E-3</v>
      </c>
      <c r="BA107" s="26">
        <v>2E-3</v>
      </c>
      <c r="BB107" s="26">
        <v>2E-3</v>
      </c>
      <c r="BC107" s="26">
        <v>2E-3</v>
      </c>
      <c r="BD107" s="26">
        <v>2E-3</v>
      </c>
      <c r="BE107" s="26">
        <v>2E-3</v>
      </c>
      <c r="BF107" s="11"/>
      <c r="BG107" s="11"/>
      <c r="BH107" s="11"/>
    </row>
    <row r="108" spans="2:60" x14ac:dyDescent="0.35">
      <c r="B108" s="22" t="b">
        <v>1</v>
      </c>
      <c r="C108" s="22" t="str">
        <f t="shared" si="2"/>
        <v>NC_Poultry Waste Carve-Out</v>
      </c>
      <c r="D108" s="29" t="s">
        <v>66</v>
      </c>
      <c r="E108" s="30"/>
      <c r="F108" s="32" t="s">
        <v>227</v>
      </c>
      <c r="G108" s="26">
        <v>0</v>
      </c>
      <c r="H108" s="26">
        <v>0</v>
      </c>
      <c r="I108" s="26">
        <v>0</v>
      </c>
      <c r="J108" s="26">
        <v>0</v>
      </c>
      <c r="K108" s="26">
        <v>0</v>
      </c>
      <c r="L108" s="26">
        <v>0</v>
      </c>
      <c r="M108" s="26">
        <v>0</v>
      </c>
      <c r="N108" s="26">
        <v>0</v>
      </c>
      <c r="O108" s="26">
        <v>0</v>
      </c>
      <c r="P108" s="26">
        <v>0</v>
      </c>
      <c r="Q108" s="26">
        <v>0</v>
      </c>
      <c r="R108" s="26">
        <v>0</v>
      </c>
      <c r="S108" s="26">
        <v>0</v>
      </c>
      <c r="T108" s="26">
        <v>0</v>
      </c>
      <c r="U108" s="26">
        <v>1.2999999999999999E-3</v>
      </c>
      <c r="V108" s="26">
        <v>1.2999999999999999E-3</v>
      </c>
      <c r="W108" s="26">
        <v>1.2999999999999999E-3</v>
      </c>
      <c r="X108" s="26">
        <v>1.2999999999999999E-3</v>
      </c>
      <c r="Y108" s="26">
        <v>2.3E-3</v>
      </c>
      <c r="Z108" s="26">
        <v>3.5999999999999999E-3</v>
      </c>
      <c r="AA108" s="26">
        <v>5.1000000000000004E-3</v>
      </c>
      <c r="AB108" s="26">
        <v>2.3E-3</v>
      </c>
      <c r="AC108" s="26">
        <v>5.1999999999999998E-3</v>
      </c>
      <c r="AD108" s="26">
        <v>6.4999999999999997E-3</v>
      </c>
      <c r="AE108" s="26">
        <v>6.4999999999999997E-3</v>
      </c>
      <c r="AF108" s="26">
        <v>6.4999999999999997E-3</v>
      </c>
      <c r="AG108" s="26">
        <v>6.4999999999999997E-3</v>
      </c>
      <c r="AH108" s="26">
        <v>6.4000000000000003E-3</v>
      </c>
      <c r="AI108" s="26">
        <v>6.4000000000000003E-3</v>
      </c>
      <c r="AJ108" s="26">
        <v>6.3E-3</v>
      </c>
      <c r="AK108" s="26">
        <v>6.1999999999999998E-3</v>
      </c>
      <c r="AL108" s="26">
        <v>6.1999999999999998E-3</v>
      </c>
      <c r="AM108" s="26">
        <v>6.1000000000000004E-3</v>
      </c>
      <c r="AN108" s="26">
        <v>6.1000000000000004E-3</v>
      </c>
      <c r="AO108" s="26">
        <v>6.1000000000000004E-3</v>
      </c>
      <c r="AP108" s="26">
        <v>6.0000000000000001E-3</v>
      </c>
      <c r="AQ108" s="26">
        <v>6.0000000000000001E-3</v>
      </c>
      <c r="AR108" s="26">
        <v>5.8999999999999999E-3</v>
      </c>
      <c r="AS108" s="26">
        <v>5.8999999999999999E-3</v>
      </c>
      <c r="AT108" s="26">
        <v>5.7999999999999996E-3</v>
      </c>
      <c r="AU108" s="26">
        <v>5.7999999999999996E-3</v>
      </c>
      <c r="AV108" s="26">
        <v>5.7000000000000002E-3</v>
      </c>
      <c r="AW108" s="26">
        <v>5.7000000000000002E-3</v>
      </c>
      <c r="AX108" s="26">
        <v>5.5999999999999999E-3</v>
      </c>
      <c r="AY108" s="26">
        <v>5.5999999999999999E-3</v>
      </c>
      <c r="AZ108" s="26">
        <v>5.4999999999999997E-3</v>
      </c>
      <c r="BA108" s="26">
        <v>5.4999999999999997E-3</v>
      </c>
      <c r="BB108" s="26">
        <v>5.4000000000000003E-3</v>
      </c>
      <c r="BC108" s="26">
        <v>5.4000000000000003E-3</v>
      </c>
      <c r="BD108" s="26">
        <v>5.3E-3</v>
      </c>
      <c r="BE108" s="26">
        <v>5.3E-3</v>
      </c>
      <c r="BF108" s="11"/>
      <c r="BG108" s="11"/>
      <c r="BH108" s="11"/>
    </row>
    <row r="109" spans="2:60" x14ac:dyDescent="0.35">
      <c r="B109" s="22" t="b">
        <v>1</v>
      </c>
      <c r="C109" s="22" t="str">
        <f t="shared" si="2"/>
        <v>NC_Total CES (Duke only)</v>
      </c>
      <c r="D109" s="29" t="s">
        <v>66</v>
      </c>
      <c r="E109" s="28"/>
      <c r="F109" s="32" t="s">
        <v>228</v>
      </c>
      <c r="G109" s="26">
        <v>0</v>
      </c>
      <c r="H109" s="26">
        <v>0</v>
      </c>
      <c r="I109" s="26">
        <v>0</v>
      </c>
      <c r="J109" s="26">
        <v>0</v>
      </c>
      <c r="K109" s="26">
        <v>0</v>
      </c>
      <c r="L109" s="26">
        <v>0</v>
      </c>
      <c r="M109" s="26">
        <v>0</v>
      </c>
      <c r="N109" s="26">
        <v>0</v>
      </c>
      <c r="O109" s="26">
        <v>0</v>
      </c>
      <c r="P109" s="26">
        <v>0</v>
      </c>
      <c r="Q109" s="26">
        <v>0</v>
      </c>
      <c r="R109" s="26">
        <v>0</v>
      </c>
      <c r="S109" s="26">
        <v>0</v>
      </c>
      <c r="T109" s="26">
        <v>0</v>
      </c>
      <c r="U109" s="26">
        <v>0</v>
      </c>
      <c r="V109" s="26">
        <v>0</v>
      </c>
      <c r="W109" s="26">
        <v>0</v>
      </c>
      <c r="X109" s="26">
        <v>0</v>
      </c>
      <c r="Y109" s="26">
        <v>0</v>
      </c>
      <c r="Z109" s="26">
        <v>0</v>
      </c>
      <c r="AA109" s="26">
        <v>0</v>
      </c>
      <c r="AB109" s="26">
        <v>0</v>
      </c>
      <c r="AC109" s="26">
        <v>0</v>
      </c>
      <c r="AD109" s="26">
        <v>0</v>
      </c>
      <c r="AE109" s="26">
        <v>0</v>
      </c>
      <c r="AF109" s="26">
        <v>0</v>
      </c>
      <c r="AG109" s="26">
        <v>0</v>
      </c>
      <c r="AH109" s="26">
        <v>0</v>
      </c>
      <c r="AI109" s="26">
        <v>0</v>
      </c>
      <c r="AJ109" s="26">
        <v>0</v>
      </c>
      <c r="AK109" s="26">
        <v>0.74919999999999998</v>
      </c>
      <c r="AL109" s="26">
        <v>0.75290000000000001</v>
      </c>
      <c r="AM109" s="26">
        <v>0.75690000000000002</v>
      </c>
      <c r="AN109" s="26">
        <v>0.75960000000000005</v>
      </c>
      <c r="AO109" s="26">
        <v>0.76239999999999997</v>
      </c>
      <c r="AP109" s="26">
        <v>0.7661</v>
      </c>
      <c r="AQ109" s="26">
        <v>0.76959999999999995</v>
      </c>
      <c r="AR109" s="26">
        <v>0.77300000000000002</v>
      </c>
      <c r="AS109" s="26">
        <v>0.77590000000000003</v>
      </c>
      <c r="AT109" s="26">
        <v>0.77890000000000004</v>
      </c>
      <c r="AU109" s="26">
        <v>0.78239999999999998</v>
      </c>
      <c r="AV109" s="26">
        <v>0.78639999999999999</v>
      </c>
      <c r="AW109" s="26">
        <v>0.79049999999999998</v>
      </c>
      <c r="AX109" s="26">
        <v>0.79459999999999997</v>
      </c>
      <c r="AY109" s="26">
        <v>0.7984</v>
      </c>
      <c r="AZ109" s="26">
        <v>0.80200000000000005</v>
      </c>
      <c r="BA109" s="26">
        <v>0.80569999999999997</v>
      </c>
      <c r="BB109" s="26">
        <v>0.8095</v>
      </c>
      <c r="BC109" s="26">
        <v>0.81340000000000001</v>
      </c>
      <c r="BD109" s="26">
        <v>0.81730000000000003</v>
      </c>
      <c r="BE109" s="26">
        <v>1.2050000000000001</v>
      </c>
      <c r="BF109" s="11"/>
      <c r="BG109" s="11"/>
      <c r="BH109" s="11"/>
    </row>
    <row r="110" spans="2:60" ht="12.75" customHeight="1" x14ac:dyDescent="0.35">
      <c r="B110" s="22" t="b">
        <v>1</v>
      </c>
      <c r="C110" s="22" t="str">
        <f t="shared" si="2"/>
        <v>NE_Total CES</v>
      </c>
      <c r="D110" s="23" t="s">
        <v>69</v>
      </c>
      <c r="E110" s="24" t="s">
        <v>229</v>
      </c>
      <c r="F110" s="25" t="s">
        <v>174</v>
      </c>
      <c r="G110" s="26">
        <v>0</v>
      </c>
      <c r="H110" s="26">
        <v>0</v>
      </c>
      <c r="I110" s="26">
        <v>0</v>
      </c>
      <c r="J110" s="26">
        <v>0</v>
      </c>
      <c r="K110" s="26">
        <v>0</v>
      </c>
      <c r="L110" s="26">
        <v>0</v>
      </c>
      <c r="M110" s="26">
        <v>0</v>
      </c>
      <c r="N110" s="26">
        <v>0</v>
      </c>
      <c r="O110" s="26">
        <v>0</v>
      </c>
      <c r="P110" s="26">
        <v>0</v>
      </c>
      <c r="Q110" s="26">
        <v>0</v>
      </c>
      <c r="R110" s="26">
        <v>0</v>
      </c>
      <c r="S110" s="26">
        <v>0</v>
      </c>
      <c r="T110" s="26">
        <v>0</v>
      </c>
      <c r="U110" s="26">
        <v>0</v>
      </c>
      <c r="V110" s="26">
        <v>0</v>
      </c>
      <c r="W110" s="26">
        <v>0</v>
      </c>
      <c r="X110" s="26">
        <v>0</v>
      </c>
      <c r="Y110" s="26">
        <v>0</v>
      </c>
      <c r="Z110" s="26">
        <v>0</v>
      </c>
      <c r="AA110" s="26">
        <v>0</v>
      </c>
      <c r="AB110" s="26">
        <v>0</v>
      </c>
      <c r="AC110" s="26">
        <v>0</v>
      </c>
      <c r="AD110" s="26">
        <v>0</v>
      </c>
      <c r="AE110" s="26">
        <v>0</v>
      </c>
      <c r="AF110" s="26">
        <v>0</v>
      </c>
      <c r="AG110" s="26">
        <v>0</v>
      </c>
      <c r="AH110" s="26">
        <v>0</v>
      </c>
      <c r="AI110" s="26">
        <v>0</v>
      </c>
      <c r="AJ110" s="26">
        <v>0</v>
      </c>
      <c r="AK110" s="26">
        <v>0</v>
      </c>
      <c r="AL110" s="26">
        <v>0</v>
      </c>
      <c r="AM110" s="26">
        <v>0</v>
      </c>
      <c r="AN110" s="26">
        <v>0</v>
      </c>
      <c r="AO110" s="26">
        <v>0</v>
      </c>
      <c r="AP110" s="26">
        <v>0</v>
      </c>
      <c r="AQ110" s="26">
        <v>0</v>
      </c>
      <c r="AR110" s="26">
        <v>0</v>
      </c>
      <c r="AS110" s="26">
        <v>0</v>
      </c>
      <c r="AT110" s="26">
        <v>0</v>
      </c>
      <c r="AU110" s="26">
        <v>9.7900000000000001E-2</v>
      </c>
      <c r="AV110" s="26">
        <v>9.7900000000000001E-2</v>
      </c>
      <c r="AW110" s="26">
        <v>9.7900000000000001E-2</v>
      </c>
      <c r="AX110" s="26">
        <v>9.7900000000000001E-2</v>
      </c>
      <c r="AY110" s="26">
        <v>9.7900000000000001E-2</v>
      </c>
      <c r="AZ110" s="26">
        <v>9.7900000000000001E-2</v>
      </c>
      <c r="BA110" s="26">
        <v>9.7900000000000001E-2</v>
      </c>
      <c r="BB110" s="26">
        <v>9.7900000000000001E-2</v>
      </c>
      <c r="BC110" s="26">
        <v>9.7900000000000001E-2</v>
      </c>
      <c r="BD110" s="26">
        <v>9.7900000000000001E-2</v>
      </c>
      <c r="BE110" s="26">
        <v>1</v>
      </c>
      <c r="BF110" s="11"/>
      <c r="BG110" s="11"/>
      <c r="BH110" s="11"/>
    </row>
    <row r="111" spans="2:60" x14ac:dyDescent="0.35">
      <c r="B111" s="22" t="b">
        <v>1</v>
      </c>
      <c r="C111" s="22" t="str">
        <f t="shared" si="2"/>
        <v>NE_   Lincoln Electric</v>
      </c>
      <c r="D111" s="29" t="s">
        <v>69</v>
      </c>
      <c r="E111" s="30"/>
      <c r="F111" s="25" t="s">
        <v>230</v>
      </c>
      <c r="G111" s="26">
        <v>0</v>
      </c>
      <c r="H111" s="26">
        <v>0</v>
      </c>
      <c r="I111" s="26">
        <v>0</v>
      </c>
      <c r="J111" s="26">
        <v>0</v>
      </c>
      <c r="K111" s="26">
        <v>0</v>
      </c>
      <c r="L111" s="26">
        <v>0</v>
      </c>
      <c r="M111" s="26">
        <v>0</v>
      </c>
      <c r="N111" s="26">
        <v>0</v>
      </c>
      <c r="O111" s="26">
        <v>0</v>
      </c>
      <c r="P111" s="26">
        <v>0</v>
      </c>
      <c r="Q111" s="26">
        <v>0</v>
      </c>
      <c r="R111" s="26">
        <v>0</v>
      </c>
      <c r="S111" s="26">
        <v>0</v>
      </c>
      <c r="T111" s="26">
        <v>0</v>
      </c>
      <c r="U111" s="26">
        <v>0</v>
      </c>
      <c r="V111" s="26">
        <v>0</v>
      </c>
      <c r="W111" s="26">
        <v>0</v>
      </c>
      <c r="X111" s="26">
        <v>0</v>
      </c>
      <c r="Y111" s="26">
        <v>0</v>
      </c>
      <c r="Z111" s="26">
        <v>0</v>
      </c>
      <c r="AA111" s="26">
        <v>0</v>
      </c>
      <c r="AB111" s="26">
        <v>0</v>
      </c>
      <c r="AC111" s="26">
        <v>0</v>
      </c>
      <c r="AD111" s="26">
        <v>0</v>
      </c>
      <c r="AE111" s="26">
        <v>0</v>
      </c>
      <c r="AF111" s="26">
        <v>0</v>
      </c>
      <c r="AG111" s="26">
        <v>0</v>
      </c>
      <c r="AH111" s="26">
        <v>0</v>
      </c>
      <c r="AI111" s="26">
        <v>0</v>
      </c>
      <c r="AJ111" s="26">
        <v>0</v>
      </c>
      <c r="AK111" s="26">
        <v>0</v>
      </c>
      <c r="AL111" s="26">
        <v>0</v>
      </c>
      <c r="AM111" s="26">
        <v>0</v>
      </c>
      <c r="AN111" s="26">
        <v>0</v>
      </c>
      <c r="AO111" s="26">
        <v>0</v>
      </c>
      <c r="AP111" s="26">
        <v>0</v>
      </c>
      <c r="AQ111" s="26">
        <v>0</v>
      </c>
      <c r="AR111" s="26">
        <v>0</v>
      </c>
      <c r="AS111" s="26">
        <v>0</v>
      </c>
      <c r="AT111" s="26">
        <v>0</v>
      </c>
      <c r="AU111" s="26">
        <v>1</v>
      </c>
      <c r="AV111" s="26">
        <v>1</v>
      </c>
      <c r="AW111" s="26">
        <v>1</v>
      </c>
      <c r="AX111" s="26">
        <v>1</v>
      </c>
      <c r="AY111" s="26">
        <v>1</v>
      </c>
      <c r="AZ111" s="26">
        <v>1</v>
      </c>
      <c r="BA111" s="26">
        <v>1</v>
      </c>
      <c r="BB111" s="26">
        <v>1</v>
      </c>
      <c r="BC111" s="26">
        <v>1</v>
      </c>
      <c r="BD111" s="26">
        <v>1</v>
      </c>
      <c r="BE111" s="26">
        <v>1</v>
      </c>
      <c r="BF111" s="11"/>
      <c r="BG111" s="11"/>
      <c r="BH111" s="11"/>
    </row>
    <row r="112" spans="2:60" x14ac:dyDescent="0.35">
      <c r="B112" s="22" t="b">
        <v>1</v>
      </c>
      <c r="C112" s="22" t="str">
        <f t="shared" si="2"/>
        <v>NE_   Nebraska PPD and Omaha PPD</v>
      </c>
      <c r="D112" s="29" t="s">
        <v>69</v>
      </c>
      <c r="E112" s="30"/>
      <c r="F112" s="25" t="s">
        <v>231</v>
      </c>
      <c r="G112" s="26">
        <v>0</v>
      </c>
      <c r="H112" s="26">
        <v>0</v>
      </c>
      <c r="I112" s="26">
        <v>0</v>
      </c>
      <c r="J112" s="26">
        <v>0</v>
      </c>
      <c r="K112" s="26">
        <v>0</v>
      </c>
      <c r="L112" s="26">
        <v>0</v>
      </c>
      <c r="M112" s="26">
        <v>0</v>
      </c>
      <c r="N112" s="26">
        <v>0</v>
      </c>
      <c r="O112" s="26">
        <v>0</v>
      </c>
      <c r="P112" s="26">
        <v>0</v>
      </c>
      <c r="Q112" s="26">
        <v>0</v>
      </c>
      <c r="R112" s="26">
        <v>0</v>
      </c>
      <c r="S112" s="26">
        <v>0</v>
      </c>
      <c r="T112" s="26">
        <v>0</v>
      </c>
      <c r="U112" s="26">
        <v>0</v>
      </c>
      <c r="V112" s="26">
        <v>0</v>
      </c>
      <c r="W112" s="26">
        <v>0</v>
      </c>
      <c r="X112" s="26">
        <v>0</v>
      </c>
      <c r="Y112" s="26">
        <v>0</v>
      </c>
      <c r="Z112" s="26">
        <v>0</v>
      </c>
      <c r="AA112" s="26">
        <v>0</v>
      </c>
      <c r="AB112" s="26">
        <v>0</v>
      </c>
      <c r="AC112" s="26">
        <v>0</v>
      </c>
      <c r="AD112" s="26">
        <v>0</v>
      </c>
      <c r="AE112" s="26">
        <v>0</v>
      </c>
      <c r="AF112" s="26">
        <v>0</v>
      </c>
      <c r="AG112" s="26">
        <v>0</v>
      </c>
      <c r="AH112" s="26">
        <v>0</v>
      </c>
      <c r="AI112" s="26">
        <v>0</v>
      </c>
      <c r="AJ112" s="26">
        <v>0</v>
      </c>
      <c r="AK112" s="26">
        <v>0</v>
      </c>
      <c r="AL112" s="26">
        <v>0</v>
      </c>
      <c r="AM112" s="26">
        <v>0</v>
      </c>
      <c r="AN112" s="26">
        <v>0</v>
      </c>
      <c r="AO112" s="26">
        <v>0</v>
      </c>
      <c r="AP112" s="26">
        <v>0</v>
      </c>
      <c r="AQ112" s="26">
        <v>0</v>
      </c>
      <c r="AR112" s="26">
        <v>0</v>
      </c>
      <c r="AS112" s="26">
        <v>0</v>
      </c>
      <c r="AT112" s="26">
        <v>0</v>
      </c>
      <c r="AU112" s="26">
        <v>0</v>
      </c>
      <c r="AV112" s="26">
        <v>0</v>
      </c>
      <c r="AW112" s="26">
        <v>0</v>
      </c>
      <c r="AX112" s="26">
        <v>0</v>
      </c>
      <c r="AY112" s="26">
        <v>0</v>
      </c>
      <c r="AZ112" s="26">
        <v>0</v>
      </c>
      <c r="BA112" s="26">
        <v>0</v>
      </c>
      <c r="BB112" s="26">
        <v>0</v>
      </c>
      <c r="BC112" s="26">
        <v>0</v>
      </c>
      <c r="BD112" s="26">
        <v>0</v>
      </c>
      <c r="BE112" s="26">
        <v>1</v>
      </c>
      <c r="BF112" s="11"/>
      <c r="BG112" s="11"/>
      <c r="BH112" s="11"/>
    </row>
    <row r="113" spans="2:60" ht="25.5" customHeight="1" x14ac:dyDescent="0.35">
      <c r="B113" s="22" t="b">
        <v>1</v>
      </c>
      <c r="C113" s="22" t="str">
        <f t="shared" si="2"/>
        <v>NH_Total RPS</v>
      </c>
      <c r="D113" s="29" t="s">
        <v>72</v>
      </c>
      <c r="E113" s="30" t="s">
        <v>232</v>
      </c>
      <c r="F113" s="25" t="s">
        <v>171</v>
      </c>
      <c r="G113" s="26">
        <v>0</v>
      </c>
      <c r="H113" s="26">
        <v>0</v>
      </c>
      <c r="I113" s="26">
        <v>0</v>
      </c>
      <c r="J113" s="26">
        <v>0</v>
      </c>
      <c r="K113" s="26">
        <v>0</v>
      </c>
      <c r="L113" s="26">
        <v>0</v>
      </c>
      <c r="M113" s="26">
        <v>0</v>
      </c>
      <c r="N113" s="26">
        <v>0</v>
      </c>
      <c r="O113" s="26">
        <v>0.04</v>
      </c>
      <c r="P113" s="26">
        <v>0.06</v>
      </c>
      <c r="Q113" s="26">
        <v>7.5399999999999995E-2</v>
      </c>
      <c r="R113" s="26">
        <v>9.5799999999999996E-2</v>
      </c>
      <c r="S113" s="26">
        <v>5.5500000000000001E-2</v>
      </c>
      <c r="T113" s="26">
        <v>5.8000000000000003E-2</v>
      </c>
      <c r="U113" s="26">
        <v>7.1999999999999995E-2</v>
      </c>
      <c r="V113" s="26">
        <v>8.3000000000000004E-2</v>
      </c>
      <c r="W113" s="26">
        <v>8.5000000000000006E-2</v>
      </c>
      <c r="X113" s="26">
        <v>0.17599999999999999</v>
      </c>
      <c r="Y113" s="26">
        <v>0.187</v>
      </c>
      <c r="Z113" s="26">
        <v>0.19700000000000001</v>
      </c>
      <c r="AA113" s="26">
        <v>0.20699999999999999</v>
      </c>
      <c r="AB113" s="26">
        <v>0.216</v>
      </c>
      <c r="AC113" s="26">
        <v>0.22500000000000001</v>
      </c>
      <c r="AD113" s="26">
        <v>0.23400000000000001</v>
      </c>
      <c r="AE113" s="26">
        <v>0.24299999999999999</v>
      </c>
      <c r="AF113" s="26">
        <v>0.252</v>
      </c>
      <c r="AG113" s="26">
        <v>0.252</v>
      </c>
      <c r="AH113" s="26">
        <v>0.252</v>
      </c>
      <c r="AI113" s="26">
        <v>0.252</v>
      </c>
      <c r="AJ113" s="26">
        <v>0.252</v>
      </c>
      <c r="AK113" s="26">
        <v>0.252</v>
      </c>
      <c r="AL113" s="26">
        <v>0.252</v>
      </c>
      <c r="AM113" s="26">
        <v>0.252</v>
      </c>
      <c r="AN113" s="26">
        <v>0.252</v>
      </c>
      <c r="AO113" s="26">
        <v>0.252</v>
      </c>
      <c r="AP113" s="26">
        <v>0.252</v>
      </c>
      <c r="AQ113" s="26">
        <v>0.252</v>
      </c>
      <c r="AR113" s="26">
        <v>0.252</v>
      </c>
      <c r="AS113" s="26">
        <v>0.252</v>
      </c>
      <c r="AT113" s="26">
        <v>0.252</v>
      </c>
      <c r="AU113" s="26">
        <v>0.252</v>
      </c>
      <c r="AV113" s="26">
        <v>0.252</v>
      </c>
      <c r="AW113" s="26">
        <v>0.252</v>
      </c>
      <c r="AX113" s="26">
        <v>0.252</v>
      </c>
      <c r="AY113" s="26">
        <v>0.252</v>
      </c>
      <c r="AZ113" s="26">
        <v>0.252</v>
      </c>
      <c r="BA113" s="26">
        <v>0.252</v>
      </c>
      <c r="BB113" s="26">
        <v>0.252</v>
      </c>
      <c r="BC113" s="26">
        <v>0.252</v>
      </c>
      <c r="BD113" s="26">
        <v>0.252</v>
      </c>
      <c r="BE113" s="26">
        <v>0.252</v>
      </c>
      <c r="BF113" s="11"/>
      <c r="BG113" s="11"/>
      <c r="BH113" s="11"/>
    </row>
    <row r="114" spans="2:60" x14ac:dyDescent="0.35">
      <c r="B114" s="22" t="b">
        <v>1</v>
      </c>
      <c r="C114" s="22" t="str">
        <f t="shared" si="2"/>
        <v>NH_   Class I (Non-Thermal)</v>
      </c>
      <c r="D114" s="29" t="s">
        <v>72</v>
      </c>
      <c r="E114" s="30"/>
      <c r="F114" s="25" t="s">
        <v>233</v>
      </c>
      <c r="G114" s="26">
        <v>0</v>
      </c>
      <c r="H114" s="26">
        <v>0</v>
      </c>
      <c r="I114" s="26">
        <v>0</v>
      </c>
      <c r="J114" s="26">
        <v>0</v>
      </c>
      <c r="K114" s="26">
        <v>0</v>
      </c>
      <c r="L114" s="26">
        <v>0</v>
      </c>
      <c r="M114" s="26">
        <v>0</v>
      </c>
      <c r="N114" s="26">
        <v>0</v>
      </c>
      <c r="O114" s="26">
        <v>0</v>
      </c>
      <c r="P114" s="26">
        <v>5.0000000000000001E-3</v>
      </c>
      <c r="Q114" s="26">
        <v>0.01</v>
      </c>
      <c r="R114" s="26">
        <v>0.02</v>
      </c>
      <c r="S114" s="26">
        <v>0.03</v>
      </c>
      <c r="T114" s="26">
        <v>3.7999999999999999E-2</v>
      </c>
      <c r="U114" s="26">
        <v>4.5999999999999999E-2</v>
      </c>
      <c r="V114" s="26">
        <v>5.3999999999999999E-2</v>
      </c>
      <c r="W114" s="26">
        <v>5.6000000000000001E-2</v>
      </c>
      <c r="X114" s="26">
        <v>6.8000000000000005E-2</v>
      </c>
      <c r="Y114" s="26">
        <v>7.4999999999999997E-2</v>
      </c>
      <c r="Z114" s="26">
        <v>8.2000000000000003E-2</v>
      </c>
      <c r="AA114" s="26">
        <v>8.8999999999999996E-2</v>
      </c>
      <c r="AB114" s="26">
        <v>9.6000000000000002E-2</v>
      </c>
      <c r="AC114" s="26">
        <v>0.10299999999999999</v>
      </c>
      <c r="AD114" s="26">
        <v>0.11</v>
      </c>
      <c r="AE114" s="26">
        <v>0.11899999999999999</v>
      </c>
      <c r="AF114" s="26">
        <v>0.128</v>
      </c>
      <c r="AG114" s="26">
        <v>0.128</v>
      </c>
      <c r="AH114" s="26">
        <v>0.128</v>
      </c>
      <c r="AI114" s="26">
        <v>0.128</v>
      </c>
      <c r="AJ114" s="26">
        <v>0.128</v>
      </c>
      <c r="AK114" s="26">
        <v>0.128</v>
      </c>
      <c r="AL114" s="26">
        <v>0.128</v>
      </c>
      <c r="AM114" s="26">
        <v>0.128</v>
      </c>
      <c r="AN114" s="26">
        <v>0.128</v>
      </c>
      <c r="AO114" s="26">
        <v>0.128</v>
      </c>
      <c r="AP114" s="26">
        <v>0.128</v>
      </c>
      <c r="AQ114" s="26">
        <v>0.128</v>
      </c>
      <c r="AR114" s="26">
        <v>0.128</v>
      </c>
      <c r="AS114" s="26">
        <v>0.128</v>
      </c>
      <c r="AT114" s="26">
        <v>0.128</v>
      </c>
      <c r="AU114" s="26">
        <v>0.128</v>
      </c>
      <c r="AV114" s="26">
        <v>0.128</v>
      </c>
      <c r="AW114" s="26">
        <v>0.128</v>
      </c>
      <c r="AX114" s="26">
        <v>0.128</v>
      </c>
      <c r="AY114" s="26">
        <v>0.128</v>
      </c>
      <c r="AZ114" s="26">
        <v>0.128</v>
      </c>
      <c r="BA114" s="26">
        <v>0.128</v>
      </c>
      <c r="BB114" s="26">
        <v>0.128</v>
      </c>
      <c r="BC114" s="26">
        <v>0.128</v>
      </c>
      <c r="BD114" s="26">
        <v>0.128</v>
      </c>
      <c r="BE114" s="26">
        <v>0.128</v>
      </c>
      <c r="BF114" s="11"/>
      <c r="BG114" s="11"/>
      <c r="BH114" s="11"/>
    </row>
    <row r="115" spans="2:60" x14ac:dyDescent="0.35">
      <c r="B115" s="22" t="b">
        <v>1</v>
      </c>
      <c r="C115" s="22" t="str">
        <f t="shared" si="2"/>
        <v>NH _   Class I (Thermal)</v>
      </c>
      <c r="D115" s="29" t="s">
        <v>234</v>
      </c>
      <c r="E115" s="30"/>
      <c r="F115" s="25" t="s">
        <v>235</v>
      </c>
      <c r="G115" s="26">
        <v>0</v>
      </c>
      <c r="H115" s="26">
        <v>0</v>
      </c>
      <c r="I115" s="26">
        <v>0</v>
      </c>
      <c r="J115" s="26">
        <v>0</v>
      </c>
      <c r="K115" s="26">
        <v>0</v>
      </c>
      <c r="L115" s="26">
        <v>0</v>
      </c>
      <c r="M115" s="26">
        <v>0</v>
      </c>
      <c r="N115" s="26">
        <v>0</v>
      </c>
      <c r="O115" s="26">
        <v>0</v>
      </c>
      <c r="P115" s="26">
        <v>0</v>
      </c>
      <c r="Q115" s="26">
        <v>0</v>
      </c>
      <c r="R115" s="26">
        <v>0</v>
      </c>
      <c r="S115" s="26">
        <v>0</v>
      </c>
      <c r="T115" s="26">
        <v>0</v>
      </c>
      <c r="U115" s="26">
        <v>4.0000000000000001E-3</v>
      </c>
      <c r="V115" s="26">
        <v>6.0000000000000001E-3</v>
      </c>
      <c r="W115" s="26">
        <v>6.0000000000000001E-3</v>
      </c>
      <c r="X115" s="26">
        <v>0.01</v>
      </c>
      <c r="Y115" s="26">
        <v>1.2E-2</v>
      </c>
      <c r="Z115" s="26">
        <v>1.4E-2</v>
      </c>
      <c r="AA115" s="26">
        <v>1.6E-2</v>
      </c>
      <c r="AB115" s="26">
        <v>1.7999999999999999E-2</v>
      </c>
      <c r="AC115" s="26">
        <v>0.02</v>
      </c>
      <c r="AD115" s="26">
        <v>2.1999999999999999E-2</v>
      </c>
      <c r="AE115" s="26">
        <v>2.1999999999999999E-2</v>
      </c>
      <c r="AF115" s="26">
        <v>2.1999999999999999E-2</v>
      </c>
      <c r="AG115" s="26">
        <v>2.1999999999999999E-2</v>
      </c>
      <c r="AH115" s="26">
        <v>2.1999999999999999E-2</v>
      </c>
      <c r="AI115" s="26">
        <v>2.1999999999999999E-2</v>
      </c>
      <c r="AJ115" s="26">
        <v>2.1999999999999999E-2</v>
      </c>
      <c r="AK115" s="26">
        <v>2.1999999999999999E-2</v>
      </c>
      <c r="AL115" s="26">
        <v>2.1999999999999999E-2</v>
      </c>
      <c r="AM115" s="26">
        <v>2.1999999999999999E-2</v>
      </c>
      <c r="AN115" s="26">
        <v>2.1999999999999999E-2</v>
      </c>
      <c r="AO115" s="26">
        <v>2.1999999999999999E-2</v>
      </c>
      <c r="AP115" s="26">
        <v>2.1999999999999999E-2</v>
      </c>
      <c r="AQ115" s="26">
        <v>2.1999999999999999E-2</v>
      </c>
      <c r="AR115" s="26">
        <v>2.1999999999999999E-2</v>
      </c>
      <c r="AS115" s="26">
        <v>2.1999999999999999E-2</v>
      </c>
      <c r="AT115" s="26">
        <v>2.1999999999999999E-2</v>
      </c>
      <c r="AU115" s="26">
        <v>2.1999999999999999E-2</v>
      </c>
      <c r="AV115" s="26">
        <v>2.1999999999999999E-2</v>
      </c>
      <c r="AW115" s="26">
        <v>2.1999999999999999E-2</v>
      </c>
      <c r="AX115" s="26">
        <v>2.1999999999999999E-2</v>
      </c>
      <c r="AY115" s="26">
        <v>2.1999999999999999E-2</v>
      </c>
      <c r="AZ115" s="26">
        <v>2.1999999999999999E-2</v>
      </c>
      <c r="BA115" s="26">
        <v>2.1999999999999999E-2</v>
      </c>
      <c r="BB115" s="26">
        <v>2.1999999999999999E-2</v>
      </c>
      <c r="BC115" s="26">
        <v>2.1999999999999999E-2</v>
      </c>
      <c r="BD115" s="26">
        <v>2.1999999999999999E-2</v>
      </c>
      <c r="BE115" s="26">
        <v>2.1999999999999999E-2</v>
      </c>
      <c r="BF115" s="11"/>
      <c r="BG115" s="11"/>
      <c r="BH115" s="11"/>
    </row>
    <row r="116" spans="2:60" x14ac:dyDescent="0.35">
      <c r="B116" s="22" t="b">
        <v>1</v>
      </c>
      <c r="C116" s="22" t="str">
        <f t="shared" si="2"/>
        <v>NH_   Class II (Solar Carve-Out)</v>
      </c>
      <c r="D116" s="29" t="s">
        <v>72</v>
      </c>
      <c r="E116" s="30"/>
      <c r="F116" s="25" t="s">
        <v>236</v>
      </c>
      <c r="G116" s="26">
        <v>0</v>
      </c>
      <c r="H116" s="26">
        <v>0</v>
      </c>
      <c r="I116" s="26">
        <v>0</v>
      </c>
      <c r="J116" s="26">
        <v>0</v>
      </c>
      <c r="K116" s="26">
        <v>0</v>
      </c>
      <c r="L116" s="26">
        <v>0</v>
      </c>
      <c r="M116" s="26">
        <v>0</v>
      </c>
      <c r="N116" s="26">
        <v>0</v>
      </c>
      <c r="O116" s="26">
        <v>0</v>
      </c>
      <c r="P116" s="26">
        <v>0</v>
      </c>
      <c r="Q116" s="26">
        <v>4.0000000000000002E-4</v>
      </c>
      <c r="R116" s="26">
        <v>8.0000000000000004E-4</v>
      </c>
      <c r="S116" s="26">
        <v>1.5E-3</v>
      </c>
      <c r="T116" s="26">
        <v>2E-3</v>
      </c>
      <c r="U116" s="26">
        <v>3.0000000000000001E-3</v>
      </c>
      <c r="V116" s="26">
        <v>3.0000000000000001E-3</v>
      </c>
      <c r="W116" s="26">
        <v>3.0000000000000001E-3</v>
      </c>
      <c r="X116" s="26">
        <v>3.0000000000000001E-3</v>
      </c>
      <c r="Y116" s="26">
        <v>5.0000000000000001E-3</v>
      </c>
      <c r="Z116" s="26">
        <v>6.0000000000000001E-3</v>
      </c>
      <c r="AA116" s="26">
        <v>7.0000000000000001E-3</v>
      </c>
      <c r="AB116" s="26">
        <v>7.0000000000000001E-3</v>
      </c>
      <c r="AC116" s="26">
        <v>7.0000000000000001E-3</v>
      </c>
      <c r="AD116" s="26">
        <v>7.0000000000000001E-3</v>
      </c>
      <c r="AE116" s="26">
        <v>7.0000000000000001E-3</v>
      </c>
      <c r="AF116" s="26">
        <v>7.0000000000000001E-3</v>
      </c>
      <c r="AG116" s="26">
        <v>7.0000000000000001E-3</v>
      </c>
      <c r="AH116" s="26">
        <v>7.0000000000000001E-3</v>
      </c>
      <c r="AI116" s="26">
        <v>7.0000000000000001E-3</v>
      </c>
      <c r="AJ116" s="26">
        <v>7.0000000000000001E-3</v>
      </c>
      <c r="AK116" s="26">
        <v>7.0000000000000001E-3</v>
      </c>
      <c r="AL116" s="26">
        <v>7.0000000000000001E-3</v>
      </c>
      <c r="AM116" s="26">
        <v>7.0000000000000001E-3</v>
      </c>
      <c r="AN116" s="26">
        <v>7.0000000000000001E-3</v>
      </c>
      <c r="AO116" s="26">
        <v>7.0000000000000001E-3</v>
      </c>
      <c r="AP116" s="26">
        <v>7.0000000000000001E-3</v>
      </c>
      <c r="AQ116" s="26">
        <v>7.0000000000000001E-3</v>
      </c>
      <c r="AR116" s="26">
        <v>7.0000000000000001E-3</v>
      </c>
      <c r="AS116" s="26">
        <v>7.0000000000000001E-3</v>
      </c>
      <c r="AT116" s="26">
        <v>7.0000000000000001E-3</v>
      </c>
      <c r="AU116" s="26">
        <v>7.0000000000000001E-3</v>
      </c>
      <c r="AV116" s="26">
        <v>7.0000000000000001E-3</v>
      </c>
      <c r="AW116" s="26">
        <v>7.0000000000000001E-3</v>
      </c>
      <c r="AX116" s="26">
        <v>7.0000000000000001E-3</v>
      </c>
      <c r="AY116" s="26">
        <v>7.0000000000000001E-3</v>
      </c>
      <c r="AZ116" s="26">
        <v>7.0000000000000001E-3</v>
      </c>
      <c r="BA116" s="26">
        <v>7.0000000000000001E-3</v>
      </c>
      <c r="BB116" s="26">
        <v>7.0000000000000001E-3</v>
      </c>
      <c r="BC116" s="26">
        <v>7.0000000000000001E-3</v>
      </c>
      <c r="BD116" s="26">
        <v>7.0000000000000001E-3</v>
      </c>
      <c r="BE116" s="26">
        <v>7.0000000000000001E-3</v>
      </c>
      <c r="BF116" s="11"/>
      <c r="BG116" s="11"/>
      <c r="BH116" s="11"/>
    </row>
    <row r="117" spans="2:60" x14ac:dyDescent="0.35">
      <c r="B117" s="22" t="b">
        <v>1</v>
      </c>
      <c r="C117" s="22" t="str">
        <f t="shared" si="2"/>
        <v>NH_   Class III (Existing Biomass/Methane)</v>
      </c>
      <c r="D117" s="29" t="s">
        <v>72</v>
      </c>
      <c r="E117" s="30"/>
      <c r="F117" s="25" t="s">
        <v>237</v>
      </c>
      <c r="G117" s="26">
        <v>0</v>
      </c>
      <c r="H117" s="26">
        <v>0</v>
      </c>
      <c r="I117" s="26">
        <v>0</v>
      </c>
      <c r="J117" s="26">
        <v>0</v>
      </c>
      <c r="K117" s="26">
        <v>0</v>
      </c>
      <c r="L117" s="26">
        <v>0</v>
      </c>
      <c r="M117" s="26">
        <v>0</v>
      </c>
      <c r="N117" s="26">
        <v>0</v>
      </c>
      <c r="O117" s="26">
        <v>3.5000000000000003E-2</v>
      </c>
      <c r="P117" s="26">
        <v>4.4999999999999998E-2</v>
      </c>
      <c r="Q117" s="26">
        <v>5.5E-2</v>
      </c>
      <c r="R117" s="26">
        <v>6.5000000000000002E-2</v>
      </c>
      <c r="S117" s="26">
        <v>1.4E-2</v>
      </c>
      <c r="T117" s="26">
        <v>5.0000000000000001E-3</v>
      </c>
      <c r="U117" s="26">
        <v>5.0000000000000001E-3</v>
      </c>
      <c r="V117" s="26">
        <v>5.0000000000000001E-3</v>
      </c>
      <c r="W117" s="26">
        <v>5.0000000000000001E-3</v>
      </c>
      <c r="X117" s="26">
        <v>0.08</v>
      </c>
      <c r="Y117" s="26">
        <v>0.08</v>
      </c>
      <c r="Z117" s="26">
        <v>0.08</v>
      </c>
      <c r="AA117" s="26">
        <v>0.08</v>
      </c>
      <c r="AB117" s="26">
        <v>0.08</v>
      </c>
      <c r="AC117" s="26">
        <v>0.08</v>
      </c>
      <c r="AD117" s="26">
        <v>0.08</v>
      </c>
      <c r="AE117" s="26">
        <v>0.08</v>
      </c>
      <c r="AF117" s="26">
        <v>0.08</v>
      </c>
      <c r="AG117" s="26">
        <v>0.08</v>
      </c>
      <c r="AH117" s="26">
        <v>0.08</v>
      </c>
      <c r="AI117" s="26">
        <v>0.08</v>
      </c>
      <c r="AJ117" s="26">
        <v>0.08</v>
      </c>
      <c r="AK117" s="26">
        <v>0.08</v>
      </c>
      <c r="AL117" s="26">
        <v>0.08</v>
      </c>
      <c r="AM117" s="26">
        <v>0.08</v>
      </c>
      <c r="AN117" s="26">
        <v>0.08</v>
      </c>
      <c r="AO117" s="26">
        <v>0.08</v>
      </c>
      <c r="AP117" s="26">
        <v>0.08</v>
      </c>
      <c r="AQ117" s="26">
        <v>0.08</v>
      </c>
      <c r="AR117" s="26">
        <v>0.08</v>
      </c>
      <c r="AS117" s="26">
        <v>0.08</v>
      </c>
      <c r="AT117" s="26">
        <v>0.08</v>
      </c>
      <c r="AU117" s="26">
        <v>0.08</v>
      </c>
      <c r="AV117" s="26">
        <v>0.08</v>
      </c>
      <c r="AW117" s="26">
        <v>0.08</v>
      </c>
      <c r="AX117" s="26">
        <v>0.08</v>
      </c>
      <c r="AY117" s="26">
        <v>0.08</v>
      </c>
      <c r="AZ117" s="26">
        <v>0.08</v>
      </c>
      <c r="BA117" s="26">
        <v>0.08</v>
      </c>
      <c r="BB117" s="26">
        <v>0.08</v>
      </c>
      <c r="BC117" s="26">
        <v>0.08</v>
      </c>
      <c r="BD117" s="26">
        <v>0.08</v>
      </c>
      <c r="BE117" s="26">
        <v>0.08</v>
      </c>
      <c r="BF117" s="11"/>
      <c r="BG117" s="11"/>
      <c r="BH117" s="11"/>
    </row>
    <row r="118" spans="2:60" x14ac:dyDescent="0.35">
      <c r="B118" s="22" t="b">
        <v>1</v>
      </c>
      <c r="C118" s="22" t="str">
        <f t="shared" si="2"/>
        <v>NH_   Class IV (Existing Small Hydro)</v>
      </c>
      <c r="D118" s="29" t="s">
        <v>72</v>
      </c>
      <c r="E118" s="30"/>
      <c r="F118" s="25" t="s">
        <v>238</v>
      </c>
      <c r="G118" s="26">
        <v>0</v>
      </c>
      <c r="H118" s="26">
        <v>0</v>
      </c>
      <c r="I118" s="26">
        <v>0</v>
      </c>
      <c r="J118" s="26">
        <v>0</v>
      </c>
      <c r="K118" s="26">
        <v>0</v>
      </c>
      <c r="L118" s="26">
        <v>0</v>
      </c>
      <c r="M118" s="26">
        <v>0</v>
      </c>
      <c r="N118" s="26">
        <v>0</v>
      </c>
      <c r="O118" s="26">
        <v>5.0000000000000001E-3</v>
      </c>
      <c r="P118" s="26">
        <v>0.01</v>
      </c>
      <c r="Q118" s="26">
        <v>0.01</v>
      </c>
      <c r="R118" s="26">
        <v>0.01</v>
      </c>
      <c r="S118" s="26">
        <v>0.01</v>
      </c>
      <c r="T118" s="26">
        <v>1.2999999999999999E-2</v>
      </c>
      <c r="U118" s="26">
        <v>1.4E-2</v>
      </c>
      <c r="V118" s="26">
        <v>1.4999999999999999E-2</v>
      </c>
      <c r="W118" s="26">
        <v>1.4999999999999999E-2</v>
      </c>
      <c r="X118" s="26">
        <v>1.4999999999999999E-2</v>
      </c>
      <c r="Y118" s="26">
        <v>1.4999999999999999E-2</v>
      </c>
      <c r="Z118" s="26">
        <v>1.4999999999999999E-2</v>
      </c>
      <c r="AA118" s="26">
        <v>1.4999999999999999E-2</v>
      </c>
      <c r="AB118" s="26">
        <v>1.4999999999999999E-2</v>
      </c>
      <c r="AC118" s="26">
        <v>1.4999999999999999E-2</v>
      </c>
      <c r="AD118" s="26">
        <v>1.4999999999999999E-2</v>
      </c>
      <c r="AE118" s="26">
        <v>1.4999999999999999E-2</v>
      </c>
      <c r="AF118" s="26">
        <v>1.4999999999999999E-2</v>
      </c>
      <c r="AG118" s="26">
        <v>1.4999999999999999E-2</v>
      </c>
      <c r="AH118" s="26">
        <v>1.4999999999999999E-2</v>
      </c>
      <c r="AI118" s="26">
        <v>1.4999999999999999E-2</v>
      </c>
      <c r="AJ118" s="26">
        <v>1.4999999999999999E-2</v>
      </c>
      <c r="AK118" s="26">
        <v>1.4999999999999999E-2</v>
      </c>
      <c r="AL118" s="26">
        <v>1.4999999999999999E-2</v>
      </c>
      <c r="AM118" s="26">
        <v>1.4999999999999999E-2</v>
      </c>
      <c r="AN118" s="26">
        <v>1.4999999999999999E-2</v>
      </c>
      <c r="AO118" s="26">
        <v>1.4999999999999999E-2</v>
      </c>
      <c r="AP118" s="26">
        <v>1.4999999999999999E-2</v>
      </c>
      <c r="AQ118" s="26">
        <v>1.4999999999999999E-2</v>
      </c>
      <c r="AR118" s="26">
        <v>1.4999999999999999E-2</v>
      </c>
      <c r="AS118" s="26">
        <v>1.4999999999999999E-2</v>
      </c>
      <c r="AT118" s="26">
        <v>1.4999999999999999E-2</v>
      </c>
      <c r="AU118" s="26">
        <v>1.4999999999999999E-2</v>
      </c>
      <c r="AV118" s="26">
        <v>1.4999999999999999E-2</v>
      </c>
      <c r="AW118" s="26">
        <v>1.4999999999999999E-2</v>
      </c>
      <c r="AX118" s="26">
        <v>1.4999999999999999E-2</v>
      </c>
      <c r="AY118" s="26">
        <v>1.4999999999999999E-2</v>
      </c>
      <c r="AZ118" s="26">
        <v>1.4999999999999999E-2</v>
      </c>
      <c r="BA118" s="26">
        <v>1.4999999999999999E-2</v>
      </c>
      <c r="BB118" s="26">
        <v>1.4999999999999999E-2</v>
      </c>
      <c r="BC118" s="26">
        <v>1.4999999999999999E-2</v>
      </c>
      <c r="BD118" s="26">
        <v>1.4999999999999999E-2</v>
      </c>
      <c r="BE118" s="26">
        <v>1.4999999999999999E-2</v>
      </c>
      <c r="BF118" s="11"/>
      <c r="BG118" s="11"/>
      <c r="BH118" s="11"/>
    </row>
    <row r="119" spans="2:60" ht="102" customHeight="1" x14ac:dyDescent="0.35">
      <c r="B119" s="22" t="b">
        <v>1</v>
      </c>
      <c r="C119" s="22" t="str">
        <f t="shared" si="2"/>
        <v>NJ_Total RPS</v>
      </c>
      <c r="D119" s="29" t="s">
        <v>76</v>
      </c>
      <c r="E119" s="30" t="s">
        <v>239</v>
      </c>
      <c r="F119" s="25" t="s">
        <v>171</v>
      </c>
      <c r="G119" s="26">
        <v>0</v>
      </c>
      <c r="H119" s="26">
        <v>0</v>
      </c>
      <c r="I119" s="26">
        <v>0.03</v>
      </c>
      <c r="J119" s="26">
        <v>0.03</v>
      </c>
      <c r="K119" s="26">
        <v>0.03</v>
      </c>
      <c r="L119" s="26">
        <v>3.2500000000000001E-2</v>
      </c>
      <c r="M119" s="26">
        <v>3.5000000000000003E-2</v>
      </c>
      <c r="N119" s="26">
        <v>4.58E-2</v>
      </c>
      <c r="O119" s="26">
        <v>5.5100000000000003E-2</v>
      </c>
      <c r="P119" s="26">
        <v>6.5000000000000002E-2</v>
      </c>
      <c r="Q119" s="26">
        <v>7.4099999999999999E-2</v>
      </c>
      <c r="R119" s="26">
        <v>8.3900000000000002E-2</v>
      </c>
      <c r="S119" s="26">
        <v>9.4100000000000003E-2</v>
      </c>
      <c r="T119" s="26">
        <v>0.1045</v>
      </c>
      <c r="U119" s="26">
        <v>0.12529999999999999</v>
      </c>
      <c r="V119" s="26">
        <v>0.1376</v>
      </c>
      <c r="W119" s="26">
        <v>0.14899999999999999</v>
      </c>
      <c r="X119" s="26">
        <v>0.15989999999999999</v>
      </c>
      <c r="Y119" s="26">
        <v>0.18029999999999999</v>
      </c>
      <c r="Z119" s="26">
        <v>0.20979999999999999</v>
      </c>
      <c r="AA119" s="26">
        <v>0.20599999999999999</v>
      </c>
      <c r="AB119" s="26">
        <v>0.23499999999999999</v>
      </c>
      <c r="AC119" s="26">
        <v>0.23499999999999999</v>
      </c>
      <c r="AD119" s="26">
        <v>0.245</v>
      </c>
      <c r="AE119" s="26">
        <v>0.29499999999999998</v>
      </c>
      <c r="AF119" s="26">
        <v>0.375</v>
      </c>
      <c r="AG119" s="26">
        <v>0.40500000000000003</v>
      </c>
      <c r="AH119" s="26">
        <v>0.435</v>
      </c>
      <c r="AI119" s="26">
        <v>0.46500000000000002</v>
      </c>
      <c r="AJ119" s="26">
        <v>0.495</v>
      </c>
      <c r="AK119" s="26">
        <v>0.52500000000000002</v>
      </c>
      <c r="AL119" s="26">
        <v>0.52500000000000002</v>
      </c>
      <c r="AM119" s="26">
        <v>0.52500000000000002</v>
      </c>
      <c r="AN119" s="26">
        <v>0.52500000000000002</v>
      </c>
      <c r="AO119" s="26">
        <v>0.52500000000000002</v>
      </c>
      <c r="AP119" s="26">
        <v>0.52500000000000002</v>
      </c>
      <c r="AQ119" s="26">
        <v>0.52500000000000002</v>
      </c>
      <c r="AR119" s="26">
        <v>0.52500000000000002</v>
      </c>
      <c r="AS119" s="26">
        <v>0.52500000000000002</v>
      </c>
      <c r="AT119" s="26">
        <v>0.52500000000000002</v>
      </c>
      <c r="AU119" s="26">
        <v>0.52500000000000002</v>
      </c>
      <c r="AV119" s="26">
        <v>0.52500000000000002</v>
      </c>
      <c r="AW119" s="26">
        <v>0.52500000000000002</v>
      </c>
      <c r="AX119" s="26">
        <v>0.52500000000000002</v>
      </c>
      <c r="AY119" s="26">
        <v>0.52500000000000002</v>
      </c>
      <c r="AZ119" s="26">
        <v>0.52500000000000002</v>
      </c>
      <c r="BA119" s="26">
        <v>0.52500000000000002</v>
      </c>
      <c r="BB119" s="26">
        <v>0.52500000000000002</v>
      </c>
      <c r="BC119" s="26">
        <v>0.52500000000000002</v>
      </c>
      <c r="BD119" s="26">
        <v>0.52500000000000002</v>
      </c>
      <c r="BE119" s="26">
        <v>0.52500000000000002</v>
      </c>
      <c r="BF119" s="11"/>
      <c r="BG119" s="11"/>
      <c r="BH119" s="11"/>
    </row>
    <row r="120" spans="2:60" ht="12.75" customHeight="1" x14ac:dyDescent="0.35">
      <c r="B120" s="22" t="b">
        <v>1</v>
      </c>
      <c r="C120" s="22" t="str">
        <f t="shared" si="2"/>
        <v>NJ_   Solar Carve-Out</v>
      </c>
      <c r="D120" s="29" t="s">
        <v>76</v>
      </c>
      <c r="E120" s="30"/>
      <c r="F120" s="25" t="s">
        <v>186</v>
      </c>
      <c r="G120" s="26">
        <v>0</v>
      </c>
      <c r="H120" s="26">
        <v>0</v>
      </c>
      <c r="I120" s="26">
        <v>0</v>
      </c>
      <c r="J120" s="26">
        <v>0</v>
      </c>
      <c r="K120" s="26">
        <v>0</v>
      </c>
      <c r="L120" s="26">
        <v>1E-4</v>
      </c>
      <c r="M120" s="26">
        <v>2.0000000000000001E-4</v>
      </c>
      <c r="N120" s="26">
        <v>4.0000000000000002E-4</v>
      </c>
      <c r="O120" s="26">
        <v>8.0000000000000004E-4</v>
      </c>
      <c r="P120" s="26">
        <v>1.6000000000000001E-3</v>
      </c>
      <c r="Q120" s="26">
        <v>2.2000000000000001E-3</v>
      </c>
      <c r="R120" s="26">
        <v>3.8999999999999998E-3</v>
      </c>
      <c r="S120" s="26">
        <v>5.8999999999999999E-3</v>
      </c>
      <c r="T120" s="26">
        <v>8.0999999999999996E-3</v>
      </c>
      <c r="U120" s="26">
        <v>2.0500000000000001E-2</v>
      </c>
      <c r="V120" s="26">
        <v>2.4500000000000001E-2</v>
      </c>
      <c r="W120" s="26">
        <v>2.75E-2</v>
      </c>
      <c r="X120" s="26">
        <v>0.03</v>
      </c>
      <c r="Y120" s="26">
        <v>3.2000000000000001E-2</v>
      </c>
      <c r="Z120" s="26">
        <v>4.2999999999999997E-2</v>
      </c>
      <c r="AA120" s="26">
        <v>4.9000000000000002E-2</v>
      </c>
      <c r="AB120" s="26">
        <v>5.0999999999999997E-2</v>
      </c>
      <c r="AC120" s="26">
        <v>5.0999999999999997E-2</v>
      </c>
      <c r="AD120" s="26">
        <v>5.0999999999999997E-2</v>
      </c>
      <c r="AE120" s="26">
        <v>4.9000000000000002E-2</v>
      </c>
      <c r="AF120" s="26">
        <v>4.8000000000000001E-2</v>
      </c>
      <c r="AG120" s="26">
        <v>4.4999999999999998E-2</v>
      </c>
      <c r="AH120" s="26">
        <v>4.3499999999999997E-2</v>
      </c>
      <c r="AI120" s="26">
        <v>3.7400000000000003E-2</v>
      </c>
      <c r="AJ120" s="26">
        <v>3.0700000000000002E-2</v>
      </c>
      <c r="AK120" s="26">
        <v>2.2100000000000002E-2</v>
      </c>
      <c r="AL120" s="26">
        <v>1.5800000000000002E-2</v>
      </c>
      <c r="AM120" s="26">
        <v>1.4E-2</v>
      </c>
      <c r="AN120" s="26">
        <v>1.0999999999999999E-2</v>
      </c>
      <c r="AO120" s="26">
        <v>0</v>
      </c>
      <c r="AP120" s="26">
        <v>0</v>
      </c>
      <c r="AQ120" s="26">
        <v>0</v>
      </c>
      <c r="AR120" s="26">
        <v>0</v>
      </c>
      <c r="AS120" s="26">
        <v>0</v>
      </c>
      <c r="AT120" s="26">
        <v>0</v>
      </c>
      <c r="AU120" s="26">
        <v>0</v>
      </c>
      <c r="AV120" s="26">
        <v>0</v>
      </c>
      <c r="AW120" s="26">
        <v>0</v>
      </c>
      <c r="AX120" s="26">
        <v>0</v>
      </c>
      <c r="AY120" s="26">
        <v>0</v>
      </c>
      <c r="AZ120" s="26">
        <v>0</v>
      </c>
      <c r="BA120" s="26">
        <v>0</v>
      </c>
      <c r="BB120" s="26">
        <v>0</v>
      </c>
      <c r="BC120" s="26">
        <v>0</v>
      </c>
      <c r="BD120" s="26">
        <v>0</v>
      </c>
      <c r="BE120" s="26">
        <v>0</v>
      </c>
      <c r="BF120" s="11"/>
      <c r="BG120" s="11"/>
      <c r="BH120" s="11"/>
    </row>
    <row r="121" spans="2:60" x14ac:dyDescent="0.35">
      <c r="B121" s="22" t="b">
        <v>1</v>
      </c>
      <c r="C121" s="22" t="str">
        <f t="shared" si="2"/>
        <v>NJ_   Class I Non-Solar</v>
      </c>
      <c r="D121" s="29" t="s">
        <v>76</v>
      </c>
      <c r="E121" s="30"/>
      <c r="F121" s="25" t="s">
        <v>240</v>
      </c>
      <c r="G121" s="26">
        <v>0</v>
      </c>
      <c r="H121" s="26">
        <v>0</v>
      </c>
      <c r="I121" s="26">
        <v>5.0000000000000001E-3</v>
      </c>
      <c r="J121" s="26">
        <v>5.0000000000000001E-3</v>
      </c>
      <c r="K121" s="26">
        <v>5.0000000000000001E-3</v>
      </c>
      <c r="L121" s="26">
        <v>7.4000000000000003E-3</v>
      </c>
      <c r="M121" s="26">
        <v>9.7999999999999997E-3</v>
      </c>
      <c r="N121" s="26">
        <v>2.0400000000000001E-2</v>
      </c>
      <c r="O121" s="26">
        <v>2.92E-2</v>
      </c>
      <c r="P121" s="26">
        <v>3.8399999999999997E-2</v>
      </c>
      <c r="Q121" s="26">
        <v>4.6899999999999997E-2</v>
      </c>
      <c r="R121" s="26">
        <v>5.4899999999999997E-2</v>
      </c>
      <c r="S121" s="26">
        <v>6.3200000000000006E-2</v>
      </c>
      <c r="T121" s="26">
        <v>7.1400000000000005E-2</v>
      </c>
      <c r="U121" s="26">
        <v>7.9799999999999996E-2</v>
      </c>
      <c r="V121" s="26">
        <v>8.8099999999999998E-2</v>
      </c>
      <c r="W121" s="26">
        <v>9.6500000000000002E-2</v>
      </c>
      <c r="X121" s="26">
        <v>0.10489999999999999</v>
      </c>
      <c r="Y121" s="26">
        <v>0.12330000000000001</v>
      </c>
      <c r="Z121" s="26">
        <v>0.14180000000000001</v>
      </c>
      <c r="AA121" s="26">
        <v>0.13200000000000001</v>
      </c>
      <c r="AB121" s="26">
        <v>0.159</v>
      </c>
      <c r="AC121" s="26">
        <v>0.159</v>
      </c>
      <c r="AD121" s="26">
        <v>0.16900000000000001</v>
      </c>
      <c r="AE121" s="26">
        <v>0.221</v>
      </c>
      <c r="AF121" s="26">
        <v>0.30199999999999999</v>
      </c>
      <c r="AG121" s="26">
        <v>0.33500000000000002</v>
      </c>
      <c r="AH121" s="26">
        <v>0.36649999999999999</v>
      </c>
      <c r="AI121" s="26">
        <v>0.40260000000000001</v>
      </c>
      <c r="AJ121" s="26">
        <v>0.43930000000000002</v>
      </c>
      <c r="AK121" s="26">
        <v>0.47789999999999999</v>
      </c>
      <c r="AL121" s="26">
        <v>0.48420000000000002</v>
      </c>
      <c r="AM121" s="26">
        <v>0.48599999999999999</v>
      </c>
      <c r="AN121" s="26">
        <v>0.48899999999999999</v>
      </c>
      <c r="AO121" s="26">
        <v>0.5</v>
      </c>
      <c r="AP121" s="26">
        <v>0.5</v>
      </c>
      <c r="AQ121" s="26">
        <v>0.5</v>
      </c>
      <c r="AR121" s="26">
        <v>0.5</v>
      </c>
      <c r="AS121" s="26">
        <v>0.5</v>
      </c>
      <c r="AT121" s="26">
        <v>0.5</v>
      </c>
      <c r="AU121" s="26">
        <v>0.5</v>
      </c>
      <c r="AV121" s="26">
        <v>0.5</v>
      </c>
      <c r="AW121" s="26">
        <v>0.5</v>
      </c>
      <c r="AX121" s="26">
        <v>0.5</v>
      </c>
      <c r="AY121" s="26">
        <v>0.5</v>
      </c>
      <c r="AZ121" s="26">
        <v>0.5</v>
      </c>
      <c r="BA121" s="26">
        <v>0.5</v>
      </c>
      <c r="BB121" s="26">
        <v>0.5</v>
      </c>
      <c r="BC121" s="26">
        <v>0.5</v>
      </c>
      <c r="BD121" s="26">
        <v>0.5</v>
      </c>
      <c r="BE121" s="31">
        <v>0.5</v>
      </c>
      <c r="BF121" s="11"/>
      <c r="BG121" s="11"/>
      <c r="BH121" s="11"/>
    </row>
    <row r="122" spans="2:60" ht="12.75" customHeight="1" x14ac:dyDescent="0.35">
      <c r="B122" s="22" t="b">
        <v>1</v>
      </c>
      <c r="C122" s="22" t="str">
        <f t="shared" ref="C122:C153" si="3">D122&amp;"_"&amp;F122</f>
        <v>NJ_   Class II</v>
      </c>
      <c r="D122" s="29" t="s">
        <v>76</v>
      </c>
      <c r="E122" s="48"/>
      <c r="F122" s="25" t="s">
        <v>184</v>
      </c>
      <c r="G122" s="26">
        <v>0</v>
      </c>
      <c r="H122" s="26">
        <v>0</v>
      </c>
      <c r="I122" s="26">
        <v>2.5000000000000001E-2</v>
      </c>
      <c r="J122" s="26">
        <v>2.5000000000000001E-2</v>
      </c>
      <c r="K122" s="26">
        <v>2.5000000000000001E-2</v>
      </c>
      <c r="L122" s="26">
        <v>2.5000000000000001E-2</v>
      </c>
      <c r="M122" s="26">
        <v>2.5000000000000001E-2</v>
      </c>
      <c r="N122" s="26">
        <v>2.5000000000000001E-2</v>
      </c>
      <c r="O122" s="26">
        <v>2.5000000000000001E-2</v>
      </c>
      <c r="P122" s="26">
        <v>2.5000000000000001E-2</v>
      </c>
      <c r="Q122" s="26">
        <v>2.5000000000000001E-2</v>
      </c>
      <c r="R122" s="26">
        <v>2.5000000000000001E-2</v>
      </c>
      <c r="S122" s="26">
        <v>2.5000000000000001E-2</v>
      </c>
      <c r="T122" s="26">
        <v>2.5000000000000001E-2</v>
      </c>
      <c r="U122" s="26">
        <v>2.5000000000000001E-2</v>
      </c>
      <c r="V122" s="26">
        <v>2.5000000000000001E-2</v>
      </c>
      <c r="W122" s="26">
        <v>2.5000000000000001E-2</v>
      </c>
      <c r="X122" s="26">
        <v>2.5000000000000001E-2</v>
      </c>
      <c r="Y122" s="26">
        <v>2.5000000000000001E-2</v>
      </c>
      <c r="Z122" s="26">
        <v>2.5000000000000001E-2</v>
      </c>
      <c r="AA122" s="26">
        <v>2.5000000000000001E-2</v>
      </c>
      <c r="AB122" s="26">
        <v>2.5000000000000001E-2</v>
      </c>
      <c r="AC122" s="26">
        <v>2.5000000000000001E-2</v>
      </c>
      <c r="AD122" s="26">
        <v>2.5000000000000001E-2</v>
      </c>
      <c r="AE122" s="26">
        <v>2.5000000000000001E-2</v>
      </c>
      <c r="AF122" s="26">
        <v>2.5000000000000001E-2</v>
      </c>
      <c r="AG122" s="26">
        <v>2.5000000000000001E-2</v>
      </c>
      <c r="AH122" s="26">
        <v>2.5000000000000001E-2</v>
      </c>
      <c r="AI122" s="26">
        <v>2.5000000000000001E-2</v>
      </c>
      <c r="AJ122" s="26">
        <v>2.5000000000000001E-2</v>
      </c>
      <c r="AK122" s="26">
        <v>2.5000000000000001E-2</v>
      </c>
      <c r="AL122" s="26">
        <v>2.5000000000000001E-2</v>
      </c>
      <c r="AM122" s="26">
        <v>2.5000000000000001E-2</v>
      </c>
      <c r="AN122" s="26">
        <v>2.5000000000000001E-2</v>
      </c>
      <c r="AO122" s="26">
        <v>2.5000000000000001E-2</v>
      </c>
      <c r="AP122" s="26">
        <v>2.5000000000000001E-2</v>
      </c>
      <c r="AQ122" s="26">
        <v>2.5000000000000001E-2</v>
      </c>
      <c r="AR122" s="26">
        <v>2.5000000000000001E-2</v>
      </c>
      <c r="AS122" s="26">
        <v>2.5000000000000001E-2</v>
      </c>
      <c r="AT122" s="26">
        <v>2.5000000000000001E-2</v>
      </c>
      <c r="AU122" s="26">
        <v>2.5000000000000001E-2</v>
      </c>
      <c r="AV122" s="26">
        <v>2.5000000000000001E-2</v>
      </c>
      <c r="AW122" s="26">
        <v>2.5000000000000001E-2</v>
      </c>
      <c r="AX122" s="26">
        <v>2.5000000000000001E-2</v>
      </c>
      <c r="AY122" s="26">
        <v>2.5000000000000001E-2</v>
      </c>
      <c r="AZ122" s="26">
        <v>2.5000000000000001E-2</v>
      </c>
      <c r="BA122" s="26">
        <v>2.5000000000000001E-2</v>
      </c>
      <c r="BB122" s="26">
        <v>2.5000000000000001E-2</v>
      </c>
      <c r="BC122" s="26">
        <v>2.5000000000000001E-2</v>
      </c>
      <c r="BD122" s="26">
        <v>2.5000000000000001E-2</v>
      </c>
      <c r="BE122" s="26">
        <v>2.5000000000000001E-2</v>
      </c>
      <c r="BF122" s="11"/>
      <c r="BG122" s="11"/>
      <c r="BH122" s="11"/>
    </row>
    <row r="123" spans="2:60" ht="114.75" customHeight="1" x14ac:dyDescent="0.35">
      <c r="B123" s="22" t="b">
        <v>1</v>
      </c>
      <c r="C123" s="22" t="str">
        <f t="shared" si="3"/>
        <v>NM_Total RPS</v>
      </c>
      <c r="D123" s="29" t="s">
        <v>79</v>
      </c>
      <c r="E123" s="48" t="s">
        <v>241</v>
      </c>
      <c r="F123" s="25" t="s">
        <v>171</v>
      </c>
      <c r="G123" s="26">
        <v>0</v>
      </c>
      <c r="H123" s="26">
        <v>0</v>
      </c>
      <c r="I123" s="26">
        <v>0</v>
      </c>
      <c r="J123" s="26">
        <v>0</v>
      </c>
      <c r="K123" s="26">
        <v>0</v>
      </c>
      <c r="L123" s="26">
        <v>0</v>
      </c>
      <c r="M123" s="26">
        <v>0.05</v>
      </c>
      <c r="N123" s="26">
        <v>0.05</v>
      </c>
      <c r="O123" s="26">
        <v>0.05</v>
      </c>
      <c r="P123" s="26">
        <v>0.06</v>
      </c>
      <c r="Q123" s="26">
        <v>0.06</v>
      </c>
      <c r="R123" s="26">
        <v>0.1</v>
      </c>
      <c r="S123" s="26">
        <v>0.1</v>
      </c>
      <c r="T123" s="26">
        <v>0.1</v>
      </c>
      <c r="U123" s="26">
        <v>0.1</v>
      </c>
      <c r="V123" s="26">
        <v>0.12559999999999999</v>
      </c>
      <c r="W123" s="26">
        <v>0.12870000000000001</v>
      </c>
      <c r="X123" s="26">
        <v>0.13109999999999999</v>
      </c>
      <c r="Y123" s="26">
        <v>0.1338</v>
      </c>
      <c r="Z123" s="26">
        <v>0.1368</v>
      </c>
      <c r="AA123" s="26">
        <v>0.18110000000000001</v>
      </c>
      <c r="AB123" s="26">
        <v>0.18179999999999999</v>
      </c>
      <c r="AC123" s="26">
        <v>0.1822</v>
      </c>
      <c r="AD123" s="26">
        <v>0.1822</v>
      </c>
      <c r="AE123" s="26">
        <v>0.1822</v>
      </c>
      <c r="AF123" s="26">
        <v>0.4</v>
      </c>
      <c r="AG123" s="26">
        <v>0.4</v>
      </c>
      <c r="AH123" s="26">
        <v>0.4</v>
      </c>
      <c r="AI123" s="26">
        <v>0.4</v>
      </c>
      <c r="AJ123" s="26">
        <v>0.4</v>
      </c>
      <c r="AK123" s="26">
        <v>0.5</v>
      </c>
      <c r="AL123" s="26">
        <v>0.5</v>
      </c>
      <c r="AM123" s="26">
        <v>0.5</v>
      </c>
      <c r="AN123" s="26">
        <v>0.5</v>
      </c>
      <c r="AO123" s="26">
        <v>0.5</v>
      </c>
      <c r="AP123" s="26">
        <v>0.5</v>
      </c>
      <c r="AQ123" s="26">
        <v>0.5</v>
      </c>
      <c r="AR123" s="26">
        <v>0.5</v>
      </c>
      <c r="AS123" s="26">
        <v>0.5</v>
      </c>
      <c r="AT123" s="26">
        <v>0.5</v>
      </c>
      <c r="AU123" s="26">
        <v>0.74670000000000003</v>
      </c>
      <c r="AV123" s="26">
        <v>0.74670000000000003</v>
      </c>
      <c r="AW123" s="26">
        <v>0.74670000000000003</v>
      </c>
      <c r="AX123" s="26">
        <v>0.74670000000000003</v>
      </c>
      <c r="AY123" s="26">
        <v>0.74670000000000003</v>
      </c>
      <c r="AZ123" s="26">
        <v>0.74670000000000003</v>
      </c>
      <c r="BA123" s="26">
        <v>0.74670000000000003</v>
      </c>
      <c r="BB123" s="26">
        <v>0.74670000000000003</v>
      </c>
      <c r="BC123" s="26">
        <v>0.74670000000000003</v>
      </c>
      <c r="BD123" s="26">
        <v>0.74670000000000003</v>
      </c>
      <c r="BE123" s="26">
        <v>0.8</v>
      </c>
      <c r="BF123" s="11"/>
      <c r="BG123" s="11"/>
      <c r="BH123" s="11"/>
    </row>
    <row r="124" spans="2:60" ht="12.75" customHeight="1" x14ac:dyDescent="0.35">
      <c r="B124" s="22" t="b">
        <v>1</v>
      </c>
      <c r="C124" s="22" t="str">
        <f t="shared" si="3"/>
        <v>NM_   IOUs</v>
      </c>
      <c r="D124" s="29" t="s">
        <v>79</v>
      </c>
      <c r="E124" s="30"/>
      <c r="F124" s="25" t="s">
        <v>176</v>
      </c>
      <c r="G124" s="26">
        <v>0</v>
      </c>
      <c r="H124" s="26">
        <v>0</v>
      </c>
      <c r="I124" s="26">
        <v>0</v>
      </c>
      <c r="J124" s="26">
        <v>0</v>
      </c>
      <c r="K124" s="26">
        <v>0</v>
      </c>
      <c r="L124" s="26">
        <v>0</v>
      </c>
      <c r="M124" s="26">
        <v>0.05</v>
      </c>
      <c r="N124" s="26">
        <v>0.05</v>
      </c>
      <c r="O124" s="26">
        <v>0.05</v>
      </c>
      <c r="P124" s="26">
        <v>0.06</v>
      </c>
      <c r="Q124" s="26">
        <v>0.06</v>
      </c>
      <c r="R124" s="26">
        <v>0.1</v>
      </c>
      <c r="S124" s="26">
        <v>0.1</v>
      </c>
      <c r="T124" s="26">
        <v>0.1</v>
      </c>
      <c r="U124" s="26">
        <v>0.1</v>
      </c>
      <c r="V124" s="26">
        <v>0.15</v>
      </c>
      <c r="W124" s="26">
        <v>0.15</v>
      </c>
      <c r="X124" s="26">
        <v>0.15</v>
      </c>
      <c r="Y124" s="26">
        <v>0.15</v>
      </c>
      <c r="Z124" s="26">
        <v>0.15</v>
      </c>
      <c r="AA124" s="26">
        <v>0.2</v>
      </c>
      <c r="AB124" s="26">
        <v>0.2</v>
      </c>
      <c r="AC124" s="26">
        <v>0.2</v>
      </c>
      <c r="AD124" s="26">
        <v>0.2</v>
      </c>
      <c r="AE124" s="26">
        <v>0.2</v>
      </c>
      <c r="AF124" s="26">
        <v>0.4</v>
      </c>
      <c r="AG124" s="26">
        <v>0.4</v>
      </c>
      <c r="AH124" s="26">
        <v>0.4</v>
      </c>
      <c r="AI124" s="26">
        <v>0.4</v>
      </c>
      <c r="AJ124" s="26">
        <v>0.4</v>
      </c>
      <c r="AK124" s="26">
        <v>0.5</v>
      </c>
      <c r="AL124" s="26">
        <v>0.5</v>
      </c>
      <c r="AM124" s="26">
        <v>0.5</v>
      </c>
      <c r="AN124" s="26">
        <v>0.5</v>
      </c>
      <c r="AO124" s="26">
        <v>0.5</v>
      </c>
      <c r="AP124" s="26">
        <v>0.5</v>
      </c>
      <c r="AQ124" s="26">
        <v>0.5</v>
      </c>
      <c r="AR124" s="26">
        <v>0.5</v>
      </c>
      <c r="AS124" s="26">
        <v>0.5</v>
      </c>
      <c r="AT124" s="26">
        <v>0.5</v>
      </c>
      <c r="AU124" s="26">
        <v>0.8</v>
      </c>
      <c r="AV124" s="26">
        <v>0.8</v>
      </c>
      <c r="AW124" s="26">
        <v>0.8</v>
      </c>
      <c r="AX124" s="26">
        <v>0.8</v>
      </c>
      <c r="AY124" s="26">
        <v>0.8</v>
      </c>
      <c r="AZ124" s="26">
        <v>0.8</v>
      </c>
      <c r="BA124" s="26">
        <v>0.8</v>
      </c>
      <c r="BB124" s="26">
        <v>0.8</v>
      </c>
      <c r="BC124" s="26">
        <v>0.8</v>
      </c>
      <c r="BD124" s="26">
        <v>0.8</v>
      </c>
      <c r="BE124" s="26">
        <v>0.8</v>
      </c>
      <c r="BF124" s="11"/>
      <c r="BG124" s="11"/>
      <c r="BH124" s="11"/>
    </row>
    <row r="125" spans="2:60" x14ac:dyDescent="0.35">
      <c r="B125" s="22" t="b">
        <v>1</v>
      </c>
      <c r="C125" s="22" t="str">
        <f t="shared" si="3"/>
        <v>NM_   Coops</v>
      </c>
      <c r="D125" s="29" t="s">
        <v>79</v>
      </c>
      <c r="E125" s="30"/>
      <c r="F125" s="32" t="s">
        <v>242</v>
      </c>
      <c r="G125" s="26">
        <v>0</v>
      </c>
      <c r="H125" s="26">
        <v>0</v>
      </c>
      <c r="I125" s="26">
        <v>0</v>
      </c>
      <c r="J125" s="26">
        <v>0</v>
      </c>
      <c r="K125" s="26">
        <v>0</v>
      </c>
      <c r="L125" s="26">
        <v>0</v>
      </c>
      <c r="M125" s="26">
        <v>0</v>
      </c>
      <c r="N125" s="26">
        <v>0</v>
      </c>
      <c r="O125" s="26">
        <v>0</v>
      </c>
      <c r="P125" s="26">
        <v>0</v>
      </c>
      <c r="Q125" s="26">
        <v>0</v>
      </c>
      <c r="R125" s="26">
        <v>0</v>
      </c>
      <c r="S125" s="26">
        <v>0</v>
      </c>
      <c r="T125" s="26">
        <v>0</v>
      </c>
      <c r="U125" s="26">
        <v>0</v>
      </c>
      <c r="V125" s="26">
        <v>0.05</v>
      </c>
      <c r="W125" s="26">
        <v>0.06</v>
      </c>
      <c r="X125" s="26">
        <v>7.0000000000000007E-2</v>
      </c>
      <c r="Y125" s="26">
        <v>0.08</v>
      </c>
      <c r="Z125" s="26">
        <v>0.09</v>
      </c>
      <c r="AA125" s="26">
        <v>0.1</v>
      </c>
      <c r="AB125" s="26">
        <v>0.1</v>
      </c>
      <c r="AC125" s="26">
        <v>0.1</v>
      </c>
      <c r="AD125" s="26">
        <v>0.1</v>
      </c>
      <c r="AE125" s="26">
        <v>0.1</v>
      </c>
      <c r="AF125" s="26">
        <v>0.4</v>
      </c>
      <c r="AG125" s="26">
        <v>0.4</v>
      </c>
      <c r="AH125" s="26">
        <v>0.4</v>
      </c>
      <c r="AI125" s="26">
        <v>0.4</v>
      </c>
      <c r="AJ125" s="26">
        <v>0.4</v>
      </c>
      <c r="AK125" s="26">
        <v>0.5</v>
      </c>
      <c r="AL125" s="26">
        <v>0.5</v>
      </c>
      <c r="AM125" s="26">
        <v>0.5</v>
      </c>
      <c r="AN125" s="26">
        <v>0.5</v>
      </c>
      <c r="AO125" s="26">
        <v>0.5</v>
      </c>
      <c r="AP125" s="26">
        <v>0.5</v>
      </c>
      <c r="AQ125" s="26">
        <v>0.5</v>
      </c>
      <c r="AR125" s="26">
        <v>0.5</v>
      </c>
      <c r="AS125" s="26">
        <v>0.5</v>
      </c>
      <c r="AT125" s="26">
        <v>0.5</v>
      </c>
      <c r="AU125" s="26">
        <v>0.5</v>
      </c>
      <c r="AV125" s="26">
        <v>0.5</v>
      </c>
      <c r="AW125" s="26">
        <v>0.5</v>
      </c>
      <c r="AX125" s="26">
        <v>0.5</v>
      </c>
      <c r="AY125" s="26">
        <v>0.5</v>
      </c>
      <c r="AZ125" s="26">
        <v>0.5</v>
      </c>
      <c r="BA125" s="26">
        <v>0.5</v>
      </c>
      <c r="BB125" s="26">
        <v>0.5</v>
      </c>
      <c r="BC125" s="26">
        <v>0.5</v>
      </c>
      <c r="BD125" s="26">
        <v>0.5</v>
      </c>
      <c r="BE125" s="26">
        <v>0.8</v>
      </c>
      <c r="BF125" s="11"/>
      <c r="BG125" s="11"/>
      <c r="BH125" s="11"/>
    </row>
    <row r="126" spans="2:60" ht="12.75" customHeight="1" x14ac:dyDescent="0.35">
      <c r="B126" s="22" t="b">
        <v>1</v>
      </c>
      <c r="C126" s="22" t="str">
        <f t="shared" si="3"/>
        <v>NM_IOU RPS: DG Diversity Requirement</v>
      </c>
      <c r="D126" s="29" t="s">
        <v>79</v>
      </c>
      <c r="E126" s="30"/>
      <c r="F126" s="25" t="s">
        <v>243</v>
      </c>
      <c r="G126" s="26">
        <v>0</v>
      </c>
      <c r="H126" s="26">
        <v>0</v>
      </c>
      <c r="I126" s="26">
        <v>0</v>
      </c>
      <c r="J126" s="26">
        <v>0</v>
      </c>
      <c r="K126" s="26">
        <v>0</v>
      </c>
      <c r="L126" s="26">
        <v>0</v>
      </c>
      <c r="M126" s="26">
        <v>0</v>
      </c>
      <c r="N126" s="26">
        <v>0</v>
      </c>
      <c r="O126" s="26">
        <v>0</v>
      </c>
      <c r="P126" s="26">
        <v>0</v>
      </c>
      <c r="Q126" s="26">
        <v>0</v>
      </c>
      <c r="R126" s="26">
        <v>1.5E-3</v>
      </c>
      <c r="S126" s="26">
        <v>1.5E-3</v>
      </c>
      <c r="T126" s="26">
        <v>1.5E-3</v>
      </c>
      <c r="U126" s="26">
        <v>1.5E-3</v>
      </c>
      <c r="V126" s="26">
        <v>4.4999999999999997E-3</v>
      </c>
      <c r="W126" s="26">
        <v>4.4999999999999997E-3</v>
      </c>
      <c r="X126" s="26">
        <v>4.4999999999999997E-3</v>
      </c>
      <c r="Y126" s="26">
        <v>4.4999999999999997E-3</v>
      </c>
      <c r="Z126" s="26">
        <v>4.4999999999999997E-3</v>
      </c>
      <c r="AA126" s="26">
        <v>6.0000000000000001E-3</v>
      </c>
      <c r="AB126" s="26">
        <v>6.0000000000000001E-3</v>
      </c>
      <c r="AC126" s="26">
        <v>6.0000000000000001E-3</v>
      </c>
      <c r="AD126" s="26">
        <v>6.0000000000000001E-3</v>
      </c>
      <c r="AE126" s="26">
        <v>6.0000000000000001E-3</v>
      </c>
      <c r="AF126" s="26">
        <v>1.2E-2</v>
      </c>
      <c r="AG126" s="26">
        <v>1.2E-2</v>
      </c>
      <c r="AH126" s="26">
        <v>1.2E-2</v>
      </c>
      <c r="AI126" s="26">
        <v>1.2E-2</v>
      </c>
      <c r="AJ126" s="26">
        <v>1.2E-2</v>
      </c>
      <c r="AK126" s="26">
        <v>1.4999999999999999E-2</v>
      </c>
      <c r="AL126" s="26">
        <v>1.4999999999999999E-2</v>
      </c>
      <c r="AM126" s="26">
        <v>1.4999999999999999E-2</v>
      </c>
      <c r="AN126" s="26">
        <v>1.4999999999999999E-2</v>
      </c>
      <c r="AO126" s="26">
        <v>1.4999999999999999E-2</v>
      </c>
      <c r="AP126" s="26">
        <v>1.4999999999999999E-2</v>
      </c>
      <c r="AQ126" s="26">
        <v>1.4999999999999999E-2</v>
      </c>
      <c r="AR126" s="26">
        <v>1.4999999999999999E-2</v>
      </c>
      <c r="AS126" s="26">
        <v>1.4999999999999999E-2</v>
      </c>
      <c r="AT126" s="26">
        <v>1.4999999999999999E-2</v>
      </c>
      <c r="AU126" s="26">
        <v>2.4E-2</v>
      </c>
      <c r="AV126" s="26">
        <v>2.4E-2</v>
      </c>
      <c r="AW126" s="26">
        <v>2.4E-2</v>
      </c>
      <c r="AX126" s="26">
        <v>2.4E-2</v>
      </c>
      <c r="AY126" s="26">
        <v>2.4E-2</v>
      </c>
      <c r="AZ126" s="26">
        <v>2.4E-2</v>
      </c>
      <c r="BA126" s="26">
        <v>2.4E-2</v>
      </c>
      <c r="BB126" s="26">
        <v>2.4E-2</v>
      </c>
      <c r="BC126" s="26">
        <v>2.4E-2</v>
      </c>
      <c r="BD126" s="26">
        <v>2.4E-2</v>
      </c>
      <c r="BE126" s="26">
        <v>2.4E-2</v>
      </c>
      <c r="BF126" s="11"/>
      <c r="BG126" s="11"/>
      <c r="BH126" s="11"/>
    </row>
    <row r="127" spans="2:60" x14ac:dyDescent="0.35">
      <c r="B127" s="22" t="b">
        <v>1</v>
      </c>
      <c r="C127" s="22" t="str">
        <f t="shared" si="3"/>
        <v>NM_IOU RPS: Wind Diversity Requirement</v>
      </c>
      <c r="D127" s="29" t="s">
        <v>79</v>
      </c>
      <c r="E127" s="30"/>
      <c r="F127" s="25" t="s">
        <v>244</v>
      </c>
      <c r="G127" s="26">
        <v>0</v>
      </c>
      <c r="H127" s="26">
        <v>0</v>
      </c>
      <c r="I127" s="26">
        <v>0</v>
      </c>
      <c r="J127" s="26">
        <v>0</v>
      </c>
      <c r="K127" s="26">
        <v>0</v>
      </c>
      <c r="L127" s="26">
        <v>0</v>
      </c>
      <c r="M127" s="26">
        <v>0</v>
      </c>
      <c r="N127" s="26">
        <v>0</v>
      </c>
      <c r="O127" s="26">
        <v>0</v>
      </c>
      <c r="P127" s="26">
        <v>0</v>
      </c>
      <c r="Q127" s="26">
        <v>0</v>
      </c>
      <c r="R127" s="26">
        <v>0.02</v>
      </c>
      <c r="S127" s="26">
        <v>0.03</v>
      </c>
      <c r="T127" s="26">
        <v>0.03</v>
      </c>
      <c r="U127" s="26">
        <v>0.03</v>
      </c>
      <c r="V127" s="26">
        <v>4.4999999999999998E-2</v>
      </c>
      <c r="W127" s="26">
        <v>4.4999999999999998E-2</v>
      </c>
      <c r="X127" s="26">
        <v>4.4999999999999998E-2</v>
      </c>
      <c r="Y127" s="26">
        <v>4.4999999999999998E-2</v>
      </c>
      <c r="Z127" s="26">
        <v>4.4999999999999998E-2</v>
      </c>
      <c r="AA127" s="26">
        <v>0.06</v>
      </c>
      <c r="AB127" s="26">
        <v>0.06</v>
      </c>
      <c r="AC127" s="26">
        <v>0.06</v>
      </c>
      <c r="AD127" s="26">
        <v>0.06</v>
      </c>
      <c r="AE127" s="26">
        <v>0.06</v>
      </c>
      <c r="AF127" s="26">
        <v>0.12</v>
      </c>
      <c r="AG127" s="26">
        <v>0.12</v>
      </c>
      <c r="AH127" s="26">
        <v>0.12</v>
      </c>
      <c r="AI127" s="26">
        <v>0.12</v>
      </c>
      <c r="AJ127" s="26">
        <v>0.12</v>
      </c>
      <c r="AK127" s="26">
        <v>0.15</v>
      </c>
      <c r="AL127" s="26">
        <v>0.15</v>
      </c>
      <c r="AM127" s="26">
        <v>0.15</v>
      </c>
      <c r="AN127" s="26">
        <v>0.15</v>
      </c>
      <c r="AO127" s="26">
        <v>0.15</v>
      </c>
      <c r="AP127" s="26">
        <v>0.15</v>
      </c>
      <c r="AQ127" s="26">
        <v>0.15</v>
      </c>
      <c r="AR127" s="26">
        <v>0.15</v>
      </c>
      <c r="AS127" s="26">
        <v>0.15</v>
      </c>
      <c r="AT127" s="26">
        <v>0.15</v>
      </c>
      <c r="AU127" s="26">
        <v>0.24</v>
      </c>
      <c r="AV127" s="26">
        <v>0.24</v>
      </c>
      <c r="AW127" s="26">
        <v>0.24</v>
      </c>
      <c r="AX127" s="26">
        <v>0.24</v>
      </c>
      <c r="AY127" s="26">
        <v>0.24</v>
      </c>
      <c r="AZ127" s="26">
        <v>0.24</v>
      </c>
      <c r="BA127" s="26">
        <v>0.24</v>
      </c>
      <c r="BB127" s="26">
        <v>0.24</v>
      </c>
      <c r="BC127" s="26">
        <v>0.24</v>
      </c>
      <c r="BD127" s="26">
        <v>0.24</v>
      </c>
      <c r="BE127" s="26">
        <v>0.24</v>
      </c>
      <c r="BF127" s="11"/>
      <c r="BG127" s="11"/>
      <c r="BH127" s="11"/>
    </row>
    <row r="128" spans="2:60" x14ac:dyDescent="0.35">
      <c r="B128" s="22" t="b">
        <v>1</v>
      </c>
      <c r="C128" s="22" t="str">
        <f t="shared" si="3"/>
        <v>NM_IOU RPS: Solar Diversity Requirement</v>
      </c>
      <c r="D128" s="29" t="s">
        <v>79</v>
      </c>
      <c r="E128" s="30"/>
      <c r="F128" s="25" t="s">
        <v>245</v>
      </c>
      <c r="G128" s="26">
        <v>0</v>
      </c>
      <c r="H128" s="26">
        <v>0</v>
      </c>
      <c r="I128" s="26">
        <v>0</v>
      </c>
      <c r="J128" s="26">
        <v>0</v>
      </c>
      <c r="K128" s="26">
        <v>0</v>
      </c>
      <c r="L128" s="26">
        <v>0</v>
      </c>
      <c r="M128" s="26">
        <v>0</v>
      </c>
      <c r="N128" s="26">
        <v>0</v>
      </c>
      <c r="O128" s="26">
        <v>0</v>
      </c>
      <c r="P128" s="26">
        <v>0</v>
      </c>
      <c r="Q128" s="26">
        <v>0</v>
      </c>
      <c r="R128" s="26">
        <v>0.02</v>
      </c>
      <c r="S128" s="26">
        <v>0.02</v>
      </c>
      <c r="T128" s="26">
        <v>0.02</v>
      </c>
      <c r="U128" s="26">
        <v>0.02</v>
      </c>
      <c r="V128" s="26">
        <v>0.03</v>
      </c>
      <c r="W128" s="26">
        <v>0.03</v>
      </c>
      <c r="X128" s="26">
        <v>0.03</v>
      </c>
      <c r="Y128" s="26">
        <v>0.03</v>
      </c>
      <c r="Z128" s="26">
        <v>0.03</v>
      </c>
      <c r="AA128" s="26">
        <v>0.04</v>
      </c>
      <c r="AB128" s="26">
        <v>0.04</v>
      </c>
      <c r="AC128" s="26">
        <v>0.04</v>
      </c>
      <c r="AD128" s="26">
        <v>0.04</v>
      </c>
      <c r="AE128" s="26">
        <v>0.04</v>
      </c>
      <c r="AF128" s="26">
        <v>0.08</v>
      </c>
      <c r="AG128" s="26">
        <v>0.08</v>
      </c>
      <c r="AH128" s="26">
        <v>0.08</v>
      </c>
      <c r="AI128" s="26">
        <v>0.08</v>
      </c>
      <c r="AJ128" s="26">
        <v>0.08</v>
      </c>
      <c r="AK128" s="26">
        <v>0.1</v>
      </c>
      <c r="AL128" s="26">
        <v>0.1</v>
      </c>
      <c r="AM128" s="26">
        <v>0.1</v>
      </c>
      <c r="AN128" s="26">
        <v>0.1</v>
      </c>
      <c r="AO128" s="26">
        <v>0.1</v>
      </c>
      <c r="AP128" s="26">
        <v>0.1</v>
      </c>
      <c r="AQ128" s="26">
        <v>0.1</v>
      </c>
      <c r="AR128" s="26">
        <v>0.1</v>
      </c>
      <c r="AS128" s="26">
        <v>0.1</v>
      </c>
      <c r="AT128" s="26">
        <v>0.1</v>
      </c>
      <c r="AU128" s="26">
        <v>0.16</v>
      </c>
      <c r="AV128" s="26">
        <v>0.16</v>
      </c>
      <c r="AW128" s="26">
        <v>0.16</v>
      </c>
      <c r="AX128" s="26">
        <v>0.16</v>
      </c>
      <c r="AY128" s="26">
        <v>0.16</v>
      </c>
      <c r="AZ128" s="26">
        <v>0.16</v>
      </c>
      <c r="BA128" s="26">
        <v>0.16</v>
      </c>
      <c r="BB128" s="26">
        <v>0.16</v>
      </c>
      <c r="BC128" s="26">
        <v>0.16</v>
      </c>
      <c r="BD128" s="26">
        <v>0.16</v>
      </c>
      <c r="BE128" s="26">
        <v>0.16</v>
      </c>
      <c r="BF128" s="11"/>
      <c r="BG128" s="11"/>
      <c r="BH128" s="11"/>
    </row>
    <row r="129" spans="2:60" x14ac:dyDescent="0.35">
      <c r="B129" s="22" t="b">
        <v>1</v>
      </c>
      <c r="C129" s="22" t="str">
        <f t="shared" si="3"/>
        <v>NM_IOU RPS: Non-Wind/Solar Diversity Requirement</v>
      </c>
      <c r="D129" s="29" t="s">
        <v>79</v>
      </c>
      <c r="E129" s="30"/>
      <c r="F129" s="32" t="s">
        <v>246</v>
      </c>
      <c r="G129" s="26">
        <v>0</v>
      </c>
      <c r="H129" s="26">
        <v>0</v>
      </c>
      <c r="I129" s="26">
        <v>0</v>
      </c>
      <c r="J129" s="26">
        <v>0</v>
      </c>
      <c r="K129" s="26">
        <v>0</v>
      </c>
      <c r="L129" s="26">
        <v>0</v>
      </c>
      <c r="M129" s="26">
        <v>0</v>
      </c>
      <c r="N129" s="26">
        <v>0</v>
      </c>
      <c r="O129" s="26">
        <v>0</v>
      </c>
      <c r="P129" s="26">
        <v>0</v>
      </c>
      <c r="Q129" s="26">
        <v>0</v>
      </c>
      <c r="R129" s="26">
        <v>0.01</v>
      </c>
      <c r="S129" s="26">
        <v>5.0000000000000001E-3</v>
      </c>
      <c r="T129" s="26">
        <v>5.0000000000000001E-3</v>
      </c>
      <c r="U129" s="26">
        <v>5.0000000000000001E-3</v>
      </c>
      <c r="V129" s="26">
        <v>7.4999999999999997E-3</v>
      </c>
      <c r="W129" s="26">
        <v>7.4999999999999997E-3</v>
      </c>
      <c r="X129" s="26">
        <v>7.4999999999999997E-3</v>
      </c>
      <c r="Y129" s="26">
        <v>7.4999999999999997E-3</v>
      </c>
      <c r="Z129" s="26">
        <v>7.4999999999999997E-3</v>
      </c>
      <c r="AA129" s="26">
        <v>0.01</v>
      </c>
      <c r="AB129" s="26">
        <v>0.01</v>
      </c>
      <c r="AC129" s="26">
        <v>0.01</v>
      </c>
      <c r="AD129" s="26">
        <v>0.01</v>
      </c>
      <c r="AE129" s="26">
        <v>0.01</v>
      </c>
      <c r="AF129" s="26">
        <v>0.02</v>
      </c>
      <c r="AG129" s="26">
        <v>0.02</v>
      </c>
      <c r="AH129" s="26">
        <v>0.02</v>
      </c>
      <c r="AI129" s="26">
        <v>0.02</v>
      </c>
      <c r="AJ129" s="26">
        <v>0.02</v>
      </c>
      <c r="AK129" s="26">
        <v>2.5000000000000001E-2</v>
      </c>
      <c r="AL129" s="26">
        <v>2.5000000000000001E-2</v>
      </c>
      <c r="AM129" s="26">
        <v>2.5000000000000001E-2</v>
      </c>
      <c r="AN129" s="26">
        <v>2.5000000000000001E-2</v>
      </c>
      <c r="AO129" s="26">
        <v>2.5000000000000001E-2</v>
      </c>
      <c r="AP129" s="26">
        <v>2.5000000000000001E-2</v>
      </c>
      <c r="AQ129" s="26">
        <v>2.5000000000000001E-2</v>
      </c>
      <c r="AR129" s="26">
        <v>2.5000000000000001E-2</v>
      </c>
      <c r="AS129" s="26">
        <v>2.5000000000000001E-2</v>
      </c>
      <c r="AT129" s="26">
        <v>2.5000000000000001E-2</v>
      </c>
      <c r="AU129" s="26">
        <v>0.04</v>
      </c>
      <c r="AV129" s="26">
        <v>0.04</v>
      </c>
      <c r="AW129" s="26">
        <v>0.04</v>
      </c>
      <c r="AX129" s="26">
        <v>0.04</v>
      </c>
      <c r="AY129" s="26">
        <v>0.04</v>
      </c>
      <c r="AZ129" s="26">
        <v>0.04</v>
      </c>
      <c r="BA129" s="26">
        <v>0.04</v>
      </c>
      <c r="BB129" s="26">
        <v>0.04</v>
      </c>
      <c r="BC129" s="26">
        <v>0.04</v>
      </c>
      <c r="BD129" s="26">
        <v>0.04</v>
      </c>
      <c r="BE129" s="26">
        <v>0.04</v>
      </c>
      <c r="BF129" s="11"/>
      <c r="BG129" s="11"/>
      <c r="BH129" s="11"/>
    </row>
    <row r="130" spans="2:60" x14ac:dyDescent="0.35">
      <c r="B130" s="22" t="b">
        <v>1</v>
      </c>
      <c r="C130" s="22" t="str">
        <f t="shared" si="3"/>
        <v>NM_Total CES</v>
      </c>
      <c r="D130" s="29" t="s">
        <v>79</v>
      </c>
      <c r="E130" s="30"/>
      <c r="F130" s="25" t="s">
        <v>174</v>
      </c>
      <c r="G130" s="26">
        <v>0</v>
      </c>
      <c r="H130" s="26">
        <v>0</v>
      </c>
      <c r="I130" s="26">
        <v>0</v>
      </c>
      <c r="J130" s="26">
        <v>0</v>
      </c>
      <c r="K130" s="26">
        <v>0</v>
      </c>
      <c r="L130" s="26">
        <v>0</v>
      </c>
      <c r="M130" s="26">
        <v>0</v>
      </c>
      <c r="N130" s="26">
        <v>0</v>
      </c>
      <c r="O130" s="26">
        <v>0</v>
      </c>
      <c r="P130" s="26">
        <v>0</v>
      </c>
      <c r="Q130" s="26">
        <v>0</v>
      </c>
      <c r="R130" s="26">
        <v>0</v>
      </c>
      <c r="S130" s="26">
        <v>0</v>
      </c>
      <c r="T130" s="26">
        <v>0</v>
      </c>
      <c r="U130" s="26">
        <v>0</v>
      </c>
      <c r="V130" s="26">
        <v>0</v>
      </c>
      <c r="W130" s="26">
        <v>0</v>
      </c>
      <c r="X130" s="26">
        <v>0</v>
      </c>
      <c r="Y130" s="26">
        <v>0</v>
      </c>
      <c r="Z130" s="26">
        <v>0</v>
      </c>
      <c r="AA130" s="26">
        <v>0</v>
      </c>
      <c r="AB130" s="26">
        <v>0</v>
      </c>
      <c r="AC130" s="26">
        <v>0</v>
      </c>
      <c r="AD130" s="26">
        <v>0</v>
      </c>
      <c r="AE130" s="26">
        <v>0</v>
      </c>
      <c r="AF130" s="26">
        <v>0</v>
      </c>
      <c r="AG130" s="26">
        <v>0</v>
      </c>
      <c r="AH130" s="26">
        <v>0</v>
      </c>
      <c r="AI130" s="26">
        <v>0</v>
      </c>
      <c r="AJ130" s="26">
        <v>0</v>
      </c>
      <c r="AK130" s="26">
        <v>0</v>
      </c>
      <c r="AL130" s="26">
        <v>0</v>
      </c>
      <c r="AM130" s="26">
        <v>0</v>
      </c>
      <c r="AN130" s="26">
        <v>0</v>
      </c>
      <c r="AO130" s="26">
        <v>0</v>
      </c>
      <c r="AP130" s="26">
        <v>0</v>
      </c>
      <c r="AQ130" s="26">
        <v>0</v>
      </c>
      <c r="AR130" s="26">
        <v>0</v>
      </c>
      <c r="AS130" s="26">
        <v>0</v>
      </c>
      <c r="AT130" s="26">
        <v>0</v>
      </c>
      <c r="AU130" s="26">
        <v>0</v>
      </c>
      <c r="AV130" s="26">
        <v>0</v>
      </c>
      <c r="AW130" s="26">
        <v>0</v>
      </c>
      <c r="AX130" s="26">
        <v>0</v>
      </c>
      <c r="AY130" s="26">
        <v>0</v>
      </c>
      <c r="AZ130" s="26">
        <v>0.82230000000000003</v>
      </c>
      <c r="BA130" s="26">
        <v>0.82230000000000003</v>
      </c>
      <c r="BB130" s="26">
        <v>0.82230000000000003</v>
      </c>
      <c r="BC130" s="26">
        <v>0.82230000000000003</v>
      </c>
      <c r="BD130" s="26">
        <v>0.82230000000000003</v>
      </c>
      <c r="BE130" s="26">
        <v>1</v>
      </c>
      <c r="BF130" s="11"/>
      <c r="BG130" s="11"/>
      <c r="BH130" s="11"/>
    </row>
    <row r="131" spans="2:60" x14ac:dyDescent="0.35">
      <c r="B131" s="22" t="b">
        <v>1</v>
      </c>
      <c r="C131" s="22" t="str">
        <f t="shared" si="3"/>
        <v>NM_   IOUs</v>
      </c>
      <c r="D131" s="29" t="s">
        <v>79</v>
      </c>
      <c r="E131" s="30"/>
      <c r="F131" s="25" t="s">
        <v>176</v>
      </c>
      <c r="G131" s="26">
        <v>0</v>
      </c>
      <c r="H131" s="26">
        <v>0</v>
      </c>
      <c r="I131" s="26">
        <v>0</v>
      </c>
      <c r="J131" s="26">
        <v>0</v>
      </c>
      <c r="K131" s="26">
        <v>0</v>
      </c>
      <c r="L131" s="26">
        <v>0</v>
      </c>
      <c r="M131" s="26">
        <v>0</v>
      </c>
      <c r="N131" s="26">
        <v>0</v>
      </c>
      <c r="O131" s="26">
        <v>0</v>
      </c>
      <c r="P131" s="26">
        <v>0</v>
      </c>
      <c r="Q131" s="26">
        <v>0</v>
      </c>
      <c r="R131" s="26">
        <v>0</v>
      </c>
      <c r="S131" s="26">
        <v>0</v>
      </c>
      <c r="T131" s="26">
        <v>0</v>
      </c>
      <c r="U131" s="26">
        <v>0</v>
      </c>
      <c r="V131" s="26">
        <v>0</v>
      </c>
      <c r="W131" s="26">
        <v>0</v>
      </c>
      <c r="X131" s="26">
        <v>0</v>
      </c>
      <c r="Y131" s="26">
        <v>0</v>
      </c>
      <c r="Z131" s="26">
        <v>0</v>
      </c>
      <c r="AA131" s="26">
        <v>0</v>
      </c>
      <c r="AB131" s="26">
        <v>0</v>
      </c>
      <c r="AC131" s="26">
        <v>0</v>
      </c>
      <c r="AD131" s="26">
        <v>0</v>
      </c>
      <c r="AE131" s="26">
        <v>0</v>
      </c>
      <c r="AF131" s="26">
        <v>0</v>
      </c>
      <c r="AG131" s="26">
        <v>0</v>
      </c>
      <c r="AH131" s="26">
        <v>0</v>
      </c>
      <c r="AI131" s="26">
        <v>0</v>
      </c>
      <c r="AJ131" s="26">
        <v>0</v>
      </c>
      <c r="AK131" s="26">
        <v>0</v>
      </c>
      <c r="AL131" s="26">
        <v>0</v>
      </c>
      <c r="AM131" s="26">
        <v>0</v>
      </c>
      <c r="AN131" s="26">
        <v>0</v>
      </c>
      <c r="AO131" s="26">
        <v>0</v>
      </c>
      <c r="AP131" s="26">
        <v>0</v>
      </c>
      <c r="AQ131" s="26">
        <v>0</v>
      </c>
      <c r="AR131" s="26">
        <v>0</v>
      </c>
      <c r="AS131" s="26">
        <v>0</v>
      </c>
      <c r="AT131" s="26">
        <v>0</v>
      </c>
      <c r="AU131" s="26">
        <v>0</v>
      </c>
      <c r="AV131" s="26">
        <v>0</v>
      </c>
      <c r="AW131" s="26">
        <v>0</v>
      </c>
      <c r="AX131" s="26">
        <v>0</v>
      </c>
      <c r="AY131" s="26">
        <v>0</v>
      </c>
      <c r="AZ131" s="26">
        <v>1</v>
      </c>
      <c r="BA131" s="26">
        <v>1</v>
      </c>
      <c r="BB131" s="26">
        <v>1</v>
      </c>
      <c r="BC131" s="26">
        <v>1</v>
      </c>
      <c r="BD131" s="26">
        <v>1</v>
      </c>
      <c r="BE131" s="26">
        <v>1</v>
      </c>
      <c r="BF131" s="11"/>
      <c r="BG131" s="11"/>
      <c r="BH131" s="11"/>
    </row>
    <row r="132" spans="2:60" x14ac:dyDescent="0.35">
      <c r="B132" s="22" t="b">
        <v>1</v>
      </c>
      <c r="C132" s="22" t="str">
        <f t="shared" si="3"/>
        <v>NM_   Coops</v>
      </c>
      <c r="D132" s="29" t="s">
        <v>79</v>
      </c>
      <c r="E132" s="30"/>
      <c r="F132" s="32" t="s">
        <v>242</v>
      </c>
      <c r="G132" s="26">
        <v>0</v>
      </c>
      <c r="H132" s="26">
        <v>0</v>
      </c>
      <c r="I132" s="26">
        <v>0</v>
      </c>
      <c r="J132" s="26">
        <v>0</v>
      </c>
      <c r="K132" s="26">
        <v>0</v>
      </c>
      <c r="L132" s="26">
        <v>0</v>
      </c>
      <c r="M132" s="26">
        <v>0</v>
      </c>
      <c r="N132" s="26">
        <v>0</v>
      </c>
      <c r="O132" s="26">
        <v>0</v>
      </c>
      <c r="P132" s="26">
        <v>0</v>
      </c>
      <c r="Q132" s="26">
        <v>0</v>
      </c>
      <c r="R132" s="26">
        <v>0</v>
      </c>
      <c r="S132" s="26">
        <v>0</v>
      </c>
      <c r="T132" s="26">
        <v>0</v>
      </c>
      <c r="U132" s="26">
        <v>0</v>
      </c>
      <c r="V132" s="26">
        <v>0</v>
      </c>
      <c r="W132" s="26">
        <v>0</v>
      </c>
      <c r="X132" s="26">
        <v>0</v>
      </c>
      <c r="Y132" s="26">
        <v>0</v>
      </c>
      <c r="Z132" s="26">
        <v>0</v>
      </c>
      <c r="AA132" s="26">
        <v>0</v>
      </c>
      <c r="AB132" s="26">
        <v>0</v>
      </c>
      <c r="AC132" s="26">
        <v>0</v>
      </c>
      <c r="AD132" s="26">
        <v>0</v>
      </c>
      <c r="AE132" s="26">
        <v>0</v>
      </c>
      <c r="AF132" s="26">
        <v>0</v>
      </c>
      <c r="AG132" s="26">
        <v>0</v>
      </c>
      <c r="AH132" s="26">
        <v>0</v>
      </c>
      <c r="AI132" s="26">
        <v>0</v>
      </c>
      <c r="AJ132" s="26">
        <v>0</v>
      </c>
      <c r="AK132" s="26">
        <v>0</v>
      </c>
      <c r="AL132" s="26">
        <v>0</v>
      </c>
      <c r="AM132" s="26">
        <v>0</v>
      </c>
      <c r="AN132" s="26">
        <v>0</v>
      </c>
      <c r="AO132" s="26">
        <v>0</v>
      </c>
      <c r="AP132" s="26">
        <v>0</v>
      </c>
      <c r="AQ132" s="26">
        <v>0</v>
      </c>
      <c r="AR132" s="26">
        <v>0</v>
      </c>
      <c r="AS132" s="26">
        <v>0</v>
      </c>
      <c r="AT132" s="26">
        <v>0</v>
      </c>
      <c r="AU132" s="26">
        <v>0</v>
      </c>
      <c r="AV132" s="26">
        <v>0</v>
      </c>
      <c r="AW132" s="26">
        <v>0</v>
      </c>
      <c r="AX132" s="26">
        <v>0</v>
      </c>
      <c r="AY132" s="26">
        <v>0</v>
      </c>
      <c r="AZ132" s="26">
        <v>0</v>
      </c>
      <c r="BA132" s="26">
        <v>0</v>
      </c>
      <c r="BB132" s="26">
        <v>0</v>
      </c>
      <c r="BC132" s="26">
        <v>0</v>
      </c>
      <c r="BD132" s="26">
        <v>0</v>
      </c>
      <c r="BE132" s="26">
        <v>1</v>
      </c>
      <c r="BF132" s="11"/>
      <c r="BG132" s="11"/>
      <c r="BH132" s="11"/>
    </row>
    <row r="133" spans="2:60" ht="38.25" customHeight="1" x14ac:dyDescent="0.35">
      <c r="B133" s="22" t="b">
        <v>1</v>
      </c>
      <c r="C133" s="22" t="str">
        <f t="shared" si="3"/>
        <v>NV_Total RPS</v>
      </c>
      <c r="D133" s="29" t="s">
        <v>82</v>
      </c>
      <c r="E133" s="30" t="s">
        <v>193</v>
      </c>
      <c r="F133" s="25" t="s">
        <v>171</v>
      </c>
      <c r="G133" s="26">
        <v>0</v>
      </c>
      <c r="H133" s="26">
        <v>0</v>
      </c>
      <c r="I133" s="26">
        <v>0</v>
      </c>
      <c r="J133" s="26">
        <v>0.05</v>
      </c>
      <c r="K133" s="26">
        <v>0.05</v>
      </c>
      <c r="L133" s="26">
        <v>0.06</v>
      </c>
      <c r="M133" s="26">
        <v>0.06</v>
      </c>
      <c r="N133" s="26">
        <v>0.09</v>
      </c>
      <c r="O133" s="26">
        <v>0.09</v>
      </c>
      <c r="P133" s="26">
        <v>0.12</v>
      </c>
      <c r="Q133" s="26">
        <v>0.12</v>
      </c>
      <c r="R133" s="26">
        <v>0.15</v>
      </c>
      <c r="S133" s="26">
        <v>0.15</v>
      </c>
      <c r="T133" s="26">
        <v>0.18</v>
      </c>
      <c r="U133" s="26">
        <v>0.18</v>
      </c>
      <c r="V133" s="26">
        <v>0.2</v>
      </c>
      <c r="W133" s="26">
        <v>0.2</v>
      </c>
      <c r="X133" s="26">
        <v>0.2</v>
      </c>
      <c r="Y133" s="26">
        <v>0.2</v>
      </c>
      <c r="Z133" s="26">
        <v>0.2</v>
      </c>
      <c r="AA133" s="26">
        <v>0.22</v>
      </c>
      <c r="AB133" s="26">
        <v>0.24</v>
      </c>
      <c r="AC133" s="26">
        <v>0.28999999999999998</v>
      </c>
      <c r="AD133" s="26">
        <v>0.28999999999999998</v>
      </c>
      <c r="AE133" s="26">
        <v>0.34</v>
      </c>
      <c r="AF133" s="26">
        <v>0.34</v>
      </c>
      <c r="AG133" s="26">
        <v>0.34</v>
      </c>
      <c r="AH133" s="26">
        <v>0.42</v>
      </c>
      <c r="AI133" s="26">
        <v>0.42</v>
      </c>
      <c r="AJ133" s="26">
        <v>0.42</v>
      </c>
      <c r="AK133" s="26">
        <v>0.5</v>
      </c>
      <c r="AL133" s="26">
        <v>0.5</v>
      </c>
      <c r="AM133" s="26">
        <v>0.5</v>
      </c>
      <c r="AN133" s="26">
        <v>0.5</v>
      </c>
      <c r="AO133" s="26">
        <v>0.5</v>
      </c>
      <c r="AP133" s="26">
        <v>0.5</v>
      </c>
      <c r="AQ133" s="26">
        <v>0.5</v>
      </c>
      <c r="AR133" s="26">
        <v>0.5</v>
      </c>
      <c r="AS133" s="26">
        <v>0.5</v>
      </c>
      <c r="AT133" s="26">
        <v>0.5</v>
      </c>
      <c r="AU133" s="26">
        <v>0.5</v>
      </c>
      <c r="AV133" s="26">
        <v>0.5</v>
      </c>
      <c r="AW133" s="26">
        <v>0.5</v>
      </c>
      <c r="AX133" s="26">
        <v>0.5</v>
      </c>
      <c r="AY133" s="26">
        <v>0.5</v>
      </c>
      <c r="AZ133" s="26">
        <v>0.5</v>
      </c>
      <c r="BA133" s="26">
        <v>0.5</v>
      </c>
      <c r="BB133" s="26">
        <v>0.5</v>
      </c>
      <c r="BC133" s="26">
        <v>0.5</v>
      </c>
      <c r="BD133" s="26">
        <v>0.5</v>
      </c>
      <c r="BE133" s="26">
        <v>0.5</v>
      </c>
      <c r="BF133" s="11"/>
      <c r="BG133" s="11"/>
      <c r="BH133" s="11"/>
    </row>
    <row r="134" spans="2:60" ht="12.75" customHeight="1" x14ac:dyDescent="0.35">
      <c r="B134" s="22" t="b">
        <v>1</v>
      </c>
      <c r="C134" s="22" t="str">
        <f t="shared" si="3"/>
        <v>NV_Total CES</v>
      </c>
      <c r="D134" s="29" t="s">
        <v>82</v>
      </c>
      <c r="E134" s="30"/>
      <c r="F134" s="25" t="s">
        <v>174</v>
      </c>
      <c r="G134" s="26">
        <v>0</v>
      </c>
      <c r="H134" s="26">
        <v>0</v>
      </c>
      <c r="I134" s="26">
        <v>0</v>
      </c>
      <c r="J134" s="26">
        <v>0</v>
      </c>
      <c r="K134" s="26">
        <v>0</v>
      </c>
      <c r="L134" s="26">
        <v>0</v>
      </c>
      <c r="M134" s="26">
        <v>0</v>
      </c>
      <c r="N134" s="26">
        <v>0</v>
      </c>
      <c r="O134" s="26">
        <v>0</v>
      </c>
      <c r="P134" s="26">
        <v>0</v>
      </c>
      <c r="Q134" s="26">
        <v>0</v>
      </c>
      <c r="R134" s="26">
        <v>0</v>
      </c>
      <c r="S134" s="26">
        <v>0</v>
      </c>
      <c r="T134" s="26">
        <v>0</v>
      </c>
      <c r="U134" s="26">
        <v>0</v>
      </c>
      <c r="V134" s="26">
        <v>0</v>
      </c>
      <c r="W134" s="26">
        <v>0</v>
      </c>
      <c r="X134" s="26">
        <v>0</v>
      </c>
      <c r="Y134" s="26">
        <v>0</v>
      </c>
      <c r="Z134" s="26">
        <v>0</v>
      </c>
      <c r="AA134" s="26">
        <v>0</v>
      </c>
      <c r="AB134" s="26">
        <v>0</v>
      </c>
      <c r="AC134" s="26">
        <v>0</v>
      </c>
      <c r="AD134" s="26">
        <v>0</v>
      </c>
      <c r="AE134" s="26">
        <v>0</v>
      </c>
      <c r="AF134" s="26">
        <v>0</v>
      </c>
      <c r="AG134" s="26">
        <v>0</v>
      </c>
      <c r="AH134" s="26">
        <v>0</v>
      </c>
      <c r="AI134" s="26">
        <v>0</v>
      </c>
      <c r="AJ134" s="26">
        <v>0</v>
      </c>
      <c r="AK134" s="26">
        <v>0</v>
      </c>
      <c r="AL134" s="26">
        <v>0</v>
      </c>
      <c r="AM134" s="26">
        <v>0</v>
      </c>
      <c r="AN134" s="26">
        <v>0</v>
      </c>
      <c r="AO134" s="26">
        <v>0</v>
      </c>
      <c r="AP134" s="26">
        <v>0</v>
      </c>
      <c r="AQ134" s="26">
        <v>0</v>
      </c>
      <c r="AR134" s="26">
        <v>0</v>
      </c>
      <c r="AS134" s="26">
        <v>0</v>
      </c>
      <c r="AT134" s="26">
        <v>0</v>
      </c>
      <c r="AU134" s="26">
        <v>0</v>
      </c>
      <c r="AV134" s="26">
        <v>0</v>
      </c>
      <c r="AW134" s="26">
        <v>0</v>
      </c>
      <c r="AX134" s="26">
        <v>0</v>
      </c>
      <c r="AY134" s="26">
        <v>0</v>
      </c>
      <c r="AZ134" s="26">
        <v>0</v>
      </c>
      <c r="BA134" s="26">
        <v>0</v>
      </c>
      <c r="BB134" s="26">
        <v>0</v>
      </c>
      <c r="BC134" s="26">
        <v>0</v>
      </c>
      <c r="BD134" s="26">
        <v>0</v>
      </c>
      <c r="BE134" s="26">
        <v>1</v>
      </c>
      <c r="BF134" s="11"/>
      <c r="BG134" s="11"/>
      <c r="BH134" s="11"/>
    </row>
    <row r="135" spans="2:60" ht="153" customHeight="1" x14ac:dyDescent="0.35">
      <c r="B135" s="22" t="b">
        <v>1</v>
      </c>
      <c r="C135" s="22" t="str">
        <f t="shared" si="3"/>
        <v>NY_Total RPS</v>
      </c>
      <c r="D135" s="29" t="s">
        <v>85</v>
      </c>
      <c r="E135" s="30" t="s">
        <v>247</v>
      </c>
      <c r="F135" s="32" t="s">
        <v>171</v>
      </c>
      <c r="G135" s="26">
        <v>0</v>
      </c>
      <c r="H135" s="26">
        <v>0</v>
      </c>
      <c r="I135" s="26">
        <v>0</v>
      </c>
      <c r="J135" s="26">
        <v>0</v>
      </c>
      <c r="K135" s="26">
        <v>0</v>
      </c>
      <c r="L135" s="26">
        <v>0</v>
      </c>
      <c r="M135" s="26">
        <v>0.31319999999999998</v>
      </c>
      <c r="N135" s="26">
        <v>0.30919999999999997</v>
      </c>
      <c r="O135" s="26">
        <v>0.33139999999999997</v>
      </c>
      <c r="P135" s="26">
        <v>0.35049999999999998</v>
      </c>
      <c r="Q135" s="26">
        <v>0.3201</v>
      </c>
      <c r="R135" s="26">
        <v>0.3402</v>
      </c>
      <c r="S135" s="26">
        <v>0.35510000000000003</v>
      </c>
      <c r="T135" s="26">
        <v>0.36009999999999998</v>
      </c>
      <c r="U135" s="26">
        <v>0.37559999999999999</v>
      </c>
      <c r="V135" s="26">
        <v>0.3836</v>
      </c>
      <c r="W135" s="26">
        <v>0.3846</v>
      </c>
      <c r="X135" s="26">
        <v>0.39169999999999999</v>
      </c>
      <c r="Y135" s="26">
        <v>0.27400000000000002</v>
      </c>
      <c r="Z135" s="26">
        <v>0.28199999999999997</v>
      </c>
      <c r="AA135" s="26">
        <v>0.30199999999999999</v>
      </c>
      <c r="AB135" s="26">
        <v>0.32</v>
      </c>
      <c r="AC135" s="26">
        <v>0.36220000000000002</v>
      </c>
      <c r="AD135" s="26">
        <v>0.40439999999999998</v>
      </c>
      <c r="AE135" s="26">
        <v>0.44669999999999999</v>
      </c>
      <c r="AF135" s="26">
        <v>0.4889</v>
      </c>
      <c r="AG135" s="26">
        <v>0.53110000000000002</v>
      </c>
      <c r="AH135" s="26">
        <v>0.57330000000000003</v>
      </c>
      <c r="AI135" s="26">
        <v>0.61560000000000004</v>
      </c>
      <c r="AJ135" s="26">
        <v>0.65780000000000005</v>
      </c>
      <c r="AK135" s="26">
        <v>0.7</v>
      </c>
      <c r="AL135" s="26">
        <v>0.7</v>
      </c>
      <c r="AM135" s="26">
        <v>0.7</v>
      </c>
      <c r="AN135" s="26">
        <v>0.7</v>
      </c>
      <c r="AO135" s="26">
        <v>0.7</v>
      </c>
      <c r="AP135" s="26">
        <v>0.7</v>
      </c>
      <c r="AQ135" s="26">
        <v>0.7</v>
      </c>
      <c r="AR135" s="26">
        <v>0.7</v>
      </c>
      <c r="AS135" s="26">
        <v>0.7</v>
      </c>
      <c r="AT135" s="26">
        <v>0.7</v>
      </c>
      <c r="AU135" s="26">
        <v>0.7</v>
      </c>
      <c r="AV135" s="26">
        <v>0.7</v>
      </c>
      <c r="AW135" s="26">
        <v>0.7</v>
      </c>
      <c r="AX135" s="26">
        <v>0.7</v>
      </c>
      <c r="AY135" s="26">
        <v>0.7</v>
      </c>
      <c r="AZ135" s="26">
        <v>0.7</v>
      </c>
      <c r="BA135" s="26">
        <v>0.7</v>
      </c>
      <c r="BB135" s="26">
        <v>0.7</v>
      </c>
      <c r="BC135" s="26">
        <v>0.7</v>
      </c>
      <c r="BD135" s="26">
        <v>0.7</v>
      </c>
      <c r="BE135" s="26">
        <v>0.7</v>
      </c>
      <c r="BF135" s="11"/>
      <c r="BG135" s="11"/>
      <c r="BH135" s="11"/>
    </row>
    <row r="136" spans="2:60" x14ac:dyDescent="0.35">
      <c r="B136" s="22" t="b">
        <v>1</v>
      </c>
      <c r="C136" s="22" t="str">
        <f t="shared" si="3"/>
        <v>NY_Total CES</v>
      </c>
      <c r="D136" s="29" t="s">
        <v>85</v>
      </c>
      <c r="E136" s="30"/>
      <c r="F136" s="32" t="s">
        <v>174</v>
      </c>
      <c r="G136" s="26">
        <v>0</v>
      </c>
      <c r="H136" s="26">
        <v>0</v>
      </c>
      <c r="I136" s="26">
        <v>0</v>
      </c>
      <c r="J136" s="26">
        <v>0</v>
      </c>
      <c r="K136" s="26">
        <v>0</v>
      </c>
      <c r="L136" s="26">
        <v>0</v>
      </c>
      <c r="M136" s="26">
        <v>0</v>
      </c>
      <c r="N136" s="26">
        <v>0</v>
      </c>
      <c r="O136" s="26">
        <v>0</v>
      </c>
      <c r="P136" s="26">
        <v>0</v>
      </c>
      <c r="Q136" s="26">
        <v>0</v>
      </c>
      <c r="R136" s="26">
        <v>0</v>
      </c>
      <c r="S136" s="26">
        <v>0</v>
      </c>
      <c r="T136" s="26">
        <v>0</v>
      </c>
      <c r="U136" s="26">
        <v>0</v>
      </c>
      <c r="V136" s="26">
        <v>0</v>
      </c>
      <c r="W136" s="26">
        <v>0</v>
      </c>
      <c r="X136" s="26">
        <v>0</v>
      </c>
      <c r="Y136" s="26">
        <v>0</v>
      </c>
      <c r="Z136" s="26">
        <v>0</v>
      </c>
      <c r="AA136" s="26">
        <v>0</v>
      </c>
      <c r="AB136" s="26">
        <v>0</v>
      </c>
      <c r="AC136" s="26">
        <v>0</v>
      </c>
      <c r="AD136" s="26">
        <v>0</v>
      </c>
      <c r="AE136" s="26">
        <v>0</v>
      </c>
      <c r="AF136" s="26">
        <v>0</v>
      </c>
      <c r="AG136" s="26">
        <v>0</v>
      </c>
      <c r="AH136" s="26">
        <v>0</v>
      </c>
      <c r="AI136" s="26">
        <v>0</v>
      </c>
      <c r="AJ136" s="26">
        <v>0</v>
      </c>
      <c r="AK136" s="26">
        <v>0</v>
      </c>
      <c r="AL136" s="26">
        <v>0</v>
      </c>
      <c r="AM136" s="26">
        <v>0</v>
      </c>
      <c r="AN136" s="26">
        <v>0</v>
      </c>
      <c r="AO136" s="26">
        <v>0</v>
      </c>
      <c r="AP136" s="26">
        <v>0</v>
      </c>
      <c r="AQ136" s="26">
        <v>0</v>
      </c>
      <c r="AR136" s="26">
        <v>0</v>
      </c>
      <c r="AS136" s="26">
        <v>0</v>
      </c>
      <c r="AT136" s="26">
        <v>0</v>
      </c>
      <c r="AU136" s="26">
        <v>1</v>
      </c>
      <c r="AV136" s="26">
        <v>1</v>
      </c>
      <c r="AW136" s="26">
        <v>1</v>
      </c>
      <c r="AX136" s="26">
        <v>1</v>
      </c>
      <c r="AY136" s="26">
        <v>1</v>
      </c>
      <c r="AZ136" s="26">
        <v>1</v>
      </c>
      <c r="BA136" s="26">
        <v>1</v>
      </c>
      <c r="BB136" s="26">
        <v>1</v>
      </c>
      <c r="BC136" s="26">
        <v>1</v>
      </c>
      <c r="BD136" s="26">
        <v>1</v>
      </c>
      <c r="BE136" s="26">
        <v>1</v>
      </c>
      <c r="BF136" s="11"/>
      <c r="BG136" s="11"/>
      <c r="BH136" s="11"/>
    </row>
    <row r="137" spans="2:60" ht="38.25" customHeight="1" x14ac:dyDescent="0.35">
      <c r="B137" s="22" t="b">
        <v>1</v>
      </c>
      <c r="C137" s="22" t="str">
        <f t="shared" si="3"/>
        <v>OH_Total RPS</v>
      </c>
      <c r="D137" s="29" t="s">
        <v>88</v>
      </c>
      <c r="E137" s="30" t="s">
        <v>193</v>
      </c>
      <c r="F137" s="32" t="s">
        <v>171</v>
      </c>
      <c r="G137" s="26">
        <v>0</v>
      </c>
      <c r="H137" s="26">
        <v>0</v>
      </c>
      <c r="I137" s="26">
        <v>0</v>
      </c>
      <c r="J137" s="26">
        <v>0</v>
      </c>
      <c r="K137" s="26">
        <v>0</v>
      </c>
      <c r="L137" s="26">
        <v>0</v>
      </c>
      <c r="M137" s="26">
        <v>0</v>
      </c>
      <c r="N137" s="26">
        <v>0</v>
      </c>
      <c r="O137" s="26">
        <v>0</v>
      </c>
      <c r="P137" s="26">
        <v>2.5000000000000001E-3</v>
      </c>
      <c r="Q137" s="26">
        <v>5.0000000000000001E-3</v>
      </c>
      <c r="R137" s="26">
        <v>0.01</v>
      </c>
      <c r="S137" s="26">
        <v>1.4999999999999999E-2</v>
      </c>
      <c r="T137" s="26">
        <v>0.02</v>
      </c>
      <c r="U137" s="26">
        <v>2.5000000000000001E-2</v>
      </c>
      <c r="V137" s="26">
        <v>2.5000000000000001E-2</v>
      </c>
      <c r="W137" s="26">
        <v>2.5000000000000001E-2</v>
      </c>
      <c r="X137" s="26">
        <v>3.5000000000000003E-2</v>
      </c>
      <c r="Y137" s="26">
        <v>4.4999999999999998E-2</v>
      </c>
      <c r="Z137" s="26">
        <v>5.5E-2</v>
      </c>
      <c r="AA137" s="26">
        <v>5.5E-2</v>
      </c>
      <c r="AB137" s="26">
        <v>0.06</v>
      </c>
      <c r="AC137" s="26">
        <v>6.5000000000000002E-2</v>
      </c>
      <c r="AD137" s="26">
        <v>7.0000000000000007E-2</v>
      </c>
      <c r="AE137" s="26">
        <v>7.4999999999999997E-2</v>
      </c>
      <c r="AF137" s="26">
        <v>0.08</v>
      </c>
      <c r="AG137" s="26">
        <v>8.5000000000000006E-2</v>
      </c>
      <c r="AH137" s="26">
        <v>0</v>
      </c>
      <c r="AI137" s="26">
        <v>0</v>
      </c>
      <c r="AJ137" s="26">
        <v>0</v>
      </c>
      <c r="AK137" s="26">
        <v>0</v>
      </c>
      <c r="AL137" s="26">
        <v>0</v>
      </c>
      <c r="AM137" s="26">
        <v>0</v>
      </c>
      <c r="AN137" s="26">
        <v>0</v>
      </c>
      <c r="AO137" s="26">
        <v>0</v>
      </c>
      <c r="AP137" s="26">
        <v>0</v>
      </c>
      <c r="AQ137" s="26">
        <v>0</v>
      </c>
      <c r="AR137" s="26">
        <v>0</v>
      </c>
      <c r="AS137" s="26">
        <v>0</v>
      </c>
      <c r="AT137" s="26">
        <v>0</v>
      </c>
      <c r="AU137" s="26">
        <v>0</v>
      </c>
      <c r="AV137" s="26">
        <v>0</v>
      </c>
      <c r="AW137" s="26">
        <v>0</v>
      </c>
      <c r="AX137" s="26">
        <v>0</v>
      </c>
      <c r="AY137" s="26">
        <v>0</v>
      </c>
      <c r="AZ137" s="26">
        <v>0</v>
      </c>
      <c r="BA137" s="26">
        <v>0</v>
      </c>
      <c r="BB137" s="26">
        <v>0</v>
      </c>
      <c r="BC137" s="26">
        <v>0</v>
      </c>
      <c r="BD137" s="26">
        <v>0</v>
      </c>
      <c r="BE137" s="26">
        <v>0</v>
      </c>
      <c r="BF137" s="11"/>
      <c r="BG137" s="11"/>
      <c r="BH137" s="11"/>
    </row>
    <row r="138" spans="2:60" ht="12.75" customHeight="1" x14ac:dyDescent="0.35">
      <c r="B138" s="22" t="b">
        <v>1</v>
      </c>
      <c r="C138" s="22" t="str">
        <f t="shared" si="3"/>
        <v>OH_   Solar Carve-Out</v>
      </c>
      <c r="D138" s="29" t="s">
        <v>88</v>
      </c>
      <c r="E138" s="30"/>
      <c r="F138" s="25" t="s">
        <v>186</v>
      </c>
      <c r="G138" s="26">
        <v>0</v>
      </c>
      <c r="H138" s="26">
        <v>0</v>
      </c>
      <c r="I138" s="26">
        <v>0</v>
      </c>
      <c r="J138" s="26">
        <v>0</v>
      </c>
      <c r="K138" s="26">
        <v>0</v>
      </c>
      <c r="L138" s="26">
        <v>0</v>
      </c>
      <c r="M138" s="26">
        <v>0</v>
      </c>
      <c r="N138" s="26">
        <v>0</v>
      </c>
      <c r="O138" s="26">
        <v>0</v>
      </c>
      <c r="P138" s="26">
        <v>0</v>
      </c>
      <c r="Q138" s="26">
        <v>1E-4</v>
      </c>
      <c r="R138" s="26">
        <v>2.9999999999999997E-4</v>
      </c>
      <c r="S138" s="26">
        <v>5.9999999999999995E-4</v>
      </c>
      <c r="T138" s="26">
        <v>8.9999999999999998E-4</v>
      </c>
      <c r="U138" s="26">
        <v>1.1999999999999999E-3</v>
      </c>
      <c r="V138" s="26">
        <v>1.1999999999999999E-3</v>
      </c>
      <c r="W138" s="26">
        <v>1.1999999999999999E-3</v>
      </c>
      <c r="X138" s="26">
        <v>1.5E-3</v>
      </c>
      <c r="Y138" s="26">
        <v>1.8E-3</v>
      </c>
      <c r="Z138" s="26">
        <v>2.2000000000000001E-3</v>
      </c>
      <c r="AA138" s="26">
        <v>0</v>
      </c>
      <c r="AB138" s="26">
        <v>0</v>
      </c>
      <c r="AC138" s="26">
        <v>0</v>
      </c>
      <c r="AD138" s="26">
        <v>0</v>
      </c>
      <c r="AE138" s="26">
        <v>0</v>
      </c>
      <c r="AF138" s="26">
        <v>0</v>
      </c>
      <c r="AG138" s="26">
        <v>0</v>
      </c>
      <c r="AH138" s="26">
        <v>0</v>
      </c>
      <c r="AI138" s="26">
        <v>0</v>
      </c>
      <c r="AJ138" s="26">
        <v>0</v>
      </c>
      <c r="AK138" s="26">
        <v>0</v>
      </c>
      <c r="AL138" s="26">
        <v>0</v>
      </c>
      <c r="AM138" s="26">
        <v>0</v>
      </c>
      <c r="AN138" s="26">
        <v>0</v>
      </c>
      <c r="AO138" s="26">
        <v>0</v>
      </c>
      <c r="AP138" s="26">
        <v>0</v>
      </c>
      <c r="AQ138" s="26">
        <v>0</v>
      </c>
      <c r="AR138" s="26">
        <v>0</v>
      </c>
      <c r="AS138" s="26">
        <v>0</v>
      </c>
      <c r="AT138" s="26">
        <v>0</v>
      </c>
      <c r="AU138" s="26">
        <v>0</v>
      </c>
      <c r="AV138" s="26">
        <v>0</v>
      </c>
      <c r="AW138" s="26">
        <v>0</v>
      </c>
      <c r="AX138" s="26">
        <v>0</v>
      </c>
      <c r="AY138" s="26">
        <v>0</v>
      </c>
      <c r="AZ138" s="26">
        <v>0</v>
      </c>
      <c r="BA138" s="26">
        <v>0</v>
      </c>
      <c r="BB138" s="26">
        <v>0</v>
      </c>
      <c r="BC138" s="26">
        <v>0</v>
      </c>
      <c r="BD138" s="26">
        <v>0</v>
      </c>
      <c r="BE138" s="26">
        <v>0</v>
      </c>
      <c r="BF138" s="11"/>
      <c r="BG138" s="11"/>
      <c r="BH138" s="11"/>
    </row>
    <row r="139" spans="2:60" ht="89.25" customHeight="1" x14ac:dyDescent="0.35">
      <c r="B139" s="22" t="b">
        <v>1</v>
      </c>
      <c r="C139" s="22" t="str">
        <f t="shared" si="3"/>
        <v>OR_Total RPS</v>
      </c>
      <c r="D139" s="29" t="s">
        <v>91</v>
      </c>
      <c r="E139" s="30" t="s">
        <v>223</v>
      </c>
      <c r="F139" s="32" t="s">
        <v>171</v>
      </c>
      <c r="G139" s="26">
        <v>0</v>
      </c>
      <c r="H139" s="26">
        <v>0</v>
      </c>
      <c r="I139" s="26">
        <v>0</v>
      </c>
      <c r="J139" s="26">
        <v>0</v>
      </c>
      <c r="K139" s="26">
        <v>0</v>
      </c>
      <c r="L139" s="26">
        <v>0</v>
      </c>
      <c r="M139" s="26">
        <v>0</v>
      </c>
      <c r="N139" s="26">
        <v>0</v>
      </c>
      <c r="O139" s="26">
        <v>0</v>
      </c>
      <c r="P139" s="26">
        <v>0</v>
      </c>
      <c r="Q139" s="26">
        <v>0</v>
      </c>
      <c r="R139" s="26">
        <v>3.44E-2</v>
      </c>
      <c r="S139" s="26">
        <v>3.4500000000000003E-2</v>
      </c>
      <c r="T139" s="26">
        <v>3.4500000000000003E-2</v>
      </c>
      <c r="U139" s="26">
        <v>3.4200000000000001E-2</v>
      </c>
      <c r="V139" s="26">
        <v>0.1031</v>
      </c>
      <c r="W139" s="26">
        <v>0.1019</v>
      </c>
      <c r="X139" s="26">
        <v>0.1</v>
      </c>
      <c r="Y139" s="26">
        <v>9.8900000000000002E-2</v>
      </c>
      <c r="Z139" s="26">
        <v>9.7799999999999998E-2</v>
      </c>
      <c r="AA139" s="26">
        <v>0.13519999999999999</v>
      </c>
      <c r="AB139" s="26">
        <v>0.1333</v>
      </c>
      <c r="AC139" s="26">
        <v>0.1313</v>
      </c>
      <c r="AD139" s="26">
        <v>0.1313</v>
      </c>
      <c r="AE139" s="26">
        <v>0.1313</v>
      </c>
      <c r="AF139" s="26">
        <v>0.1774</v>
      </c>
      <c r="AG139" s="26">
        <v>0.1774</v>
      </c>
      <c r="AH139" s="26">
        <v>0.1774</v>
      </c>
      <c r="AI139" s="26">
        <v>0.1774</v>
      </c>
      <c r="AJ139" s="26">
        <v>0.1774</v>
      </c>
      <c r="AK139" s="26">
        <v>0.23</v>
      </c>
      <c r="AL139" s="26">
        <v>0.23</v>
      </c>
      <c r="AM139" s="26">
        <v>0.23</v>
      </c>
      <c r="AN139" s="26">
        <v>0.23</v>
      </c>
      <c r="AO139" s="26">
        <v>0.23</v>
      </c>
      <c r="AP139" s="26">
        <v>0.29580000000000001</v>
      </c>
      <c r="AQ139" s="26">
        <v>0.29580000000000001</v>
      </c>
      <c r="AR139" s="26">
        <v>0.29580000000000001</v>
      </c>
      <c r="AS139" s="26">
        <v>0.29580000000000001</v>
      </c>
      <c r="AT139" s="26">
        <v>0.29580000000000001</v>
      </c>
      <c r="AU139" s="26">
        <v>0.32869999999999999</v>
      </c>
      <c r="AV139" s="26">
        <v>0.32869999999999999</v>
      </c>
      <c r="AW139" s="26">
        <v>0.32869999999999999</v>
      </c>
      <c r="AX139" s="26">
        <v>0.32869999999999999</v>
      </c>
      <c r="AY139" s="26">
        <v>0.32869999999999999</v>
      </c>
      <c r="AZ139" s="26">
        <v>0.32869999999999999</v>
      </c>
      <c r="BA139" s="26">
        <v>0.32869999999999999</v>
      </c>
      <c r="BB139" s="26">
        <v>0.32869999999999999</v>
      </c>
      <c r="BC139" s="26">
        <v>0.32869999999999999</v>
      </c>
      <c r="BD139" s="26">
        <v>0.32869999999999999</v>
      </c>
      <c r="BE139" s="26">
        <v>0.32869999999999999</v>
      </c>
      <c r="BF139" s="11"/>
      <c r="BG139" s="11"/>
      <c r="BH139" s="11"/>
    </row>
    <row r="140" spans="2:60" x14ac:dyDescent="0.35">
      <c r="B140" s="22" t="b">
        <v>1</v>
      </c>
      <c r="C140" s="22" t="str">
        <f t="shared" si="3"/>
        <v>OR_   Large IOUs</v>
      </c>
      <c r="D140" s="29" t="s">
        <v>91</v>
      </c>
      <c r="E140" s="30"/>
      <c r="F140" s="32" t="s">
        <v>248</v>
      </c>
      <c r="G140" s="26">
        <v>0</v>
      </c>
      <c r="H140" s="26">
        <v>0</v>
      </c>
      <c r="I140" s="26">
        <v>0</v>
      </c>
      <c r="J140" s="26">
        <v>0</v>
      </c>
      <c r="K140" s="26">
        <v>0</v>
      </c>
      <c r="L140" s="26">
        <v>0</v>
      </c>
      <c r="M140" s="26">
        <v>0</v>
      </c>
      <c r="N140" s="26">
        <v>0</v>
      </c>
      <c r="O140" s="26">
        <v>0</v>
      </c>
      <c r="P140" s="26">
        <v>0</v>
      </c>
      <c r="Q140" s="26">
        <v>0</v>
      </c>
      <c r="R140" s="26">
        <v>0.05</v>
      </c>
      <c r="S140" s="26">
        <v>0.05</v>
      </c>
      <c r="T140" s="26">
        <v>0.05</v>
      </c>
      <c r="U140" s="26">
        <v>0.05</v>
      </c>
      <c r="V140" s="26">
        <v>0.15</v>
      </c>
      <c r="W140" s="26">
        <v>0.15</v>
      </c>
      <c r="X140" s="26">
        <v>0.15</v>
      </c>
      <c r="Y140" s="26">
        <v>0.15</v>
      </c>
      <c r="Z140" s="26">
        <v>0.15</v>
      </c>
      <c r="AA140" s="26">
        <v>0.2</v>
      </c>
      <c r="AB140" s="26">
        <v>0.2</v>
      </c>
      <c r="AC140" s="26">
        <v>0.2</v>
      </c>
      <c r="AD140" s="26">
        <v>0.2</v>
      </c>
      <c r="AE140" s="26">
        <v>0.2</v>
      </c>
      <c r="AF140" s="26">
        <v>0.27</v>
      </c>
      <c r="AG140" s="26">
        <v>0.27</v>
      </c>
      <c r="AH140" s="26">
        <v>0.27</v>
      </c>
      <c r="AI140" s="26">
        <v>0.27</v>
      </c>
      <c r="AJ140" s="26">
        <v>0.27</v>
      </c>
      <c r="AK140" s="26">
        <v>0.35</v>
      </c>
      <c r="AL140" s="26">
        <v>0.35</v>
      </c>
      <c r="AM140" s="26">
        <v>0.35</v>
      </c>
      <c r="AN140" s="26">
        <v>0.35</v>
      </c>
      <c r="AO140" s="26">
        <v>0.35</v>
      </c>
      <c r="AP140" s="26">
        <v>0.45</v>
      </c>
      <c r="AQ140" s="26">
        <v>0.45</v>
      </c>
      <c r="AR140" s="26">
        <v>0.45</v>
      </c>
      <c r="AS140" s="26">
        <v>0.45</v>
      </c>
      <c r="AT140" s="26">
        <v>0.45</v>
      </c>
      <c r="AU140" s="26">
        <v>0.5</v>
      </c>
      <c r="AV140" s="26">
        <v>0.5</v>
      </c>
      <c r="AW140" s="26">
        <v>0.5</v>
      </c>
      <c r="AX140" s="26">
        <v>0.5</v>
      </c>
      <c r="AY140" s="26">
        <v>0.5</v>
      </c>
      <c r="AZ140" s="26">
        <v>0.5</v>
      </c>
      <c r="BA140" s="26">
        <v>0.5</v>
      </c>
      <c r="BB140" s="26">
        <v>0.5</v>
      </c>
      <c r="BC140" s="26">
        <v>0.5</v>
      </c>
      <c r="BD140" s="26">
        <v>0.5</v>
      </c>
      <c r="BE140" s="26">
        <v>0.5</v>
      </c>
      <c r="BF140" s="11"/>
      <c r="BG140" s="11"/>
      <c r="BH140" s="11"/>
    </row>
    <row r="141" spans="2:60" x14ac:dyDescent="0.35">
      <c r="B141" s="22" t="b">
        <v>1</v>
      </c>
      <c r="C141" s="22" t="str">
        <f t="shared" si="3"/>
        <v>OR_   Large Consumer Owned Utilities</v>
      </c>
      <c r="D141" s="34" t="s">
        <v>91</v>
      </c>
      <c r="E141" s="35"/>
      <c r="F141" s="25" t="s">
        <v>249</v>
      </c>
      <c r="G141" s="26">
        <v>0</v>
      </c>
      <c r="H141" s="26">
        <v>0</v>
      </c>
      <c r="I141" s="26">
        <v>0</v>
      </c>
      <c r="J141" s="26">
        <v>0</v>
      </c>
      <c r="K141" s="26">
        <v>0</v>
      </c>
      <c r="L141" s="26">
        <v>0</v>
      </c>
      <c r="M141" s="26">
        <v>0</v>
      </c>
      <c r="N141" s="26">
        <v>0</v>
      </c>
      <c r="O141" s="26">
        <v>0</v>
      </c>
      <c r="P141" s="26">
        <v>0</v>
      </c>
      <c r="Q141" s="26">
        <v>0</v>
      </c>
      <c r="R141" s="26">
        <v>0.05</v>
      </c>
      <c r="S141" s="26">
        <v>0.05</v>
      </c>
      <c r="T141" s="26">
        <v>0.05</v>
      </c>
      <c r="U141" s="26">
        <v>0.05</v>
      </c>
      <c r="V141" s="26">
        <v>0.15</v>
      </c>
      <c r="W141" s="26">
        <v>0.15</v>
      </c>
      <c r="X141" s="26">
        <v>0.15</v>
      </c>
      <c r="Y141" s="26">
        <v>0.15</v>
      </c>
      <c r="Z141" s="26">
        <v>0.15</v>
      </c>
      <c r="AA141" s="26">
        <v>0.2</v>
      </c>
      <c r="AB141" s="26">
        <v>0.2</v>
      </c>
      <c r="AC141" s="26">
        <v>0.2</v>
      </c>
      <c r="AD141" s="26">
        <v>0.2</v>
      </c>
      <c r="AE141" s="26">
        <v>0.2</v>
      </c>
      <c r="AF141" s="26">
        <v>0.25</v>
      </c>
      <c r="AG141" s="26">
        <v>0.25</v>
      </c>
      <c r="AH141" s="26">
        <v>0.25</v>
      </c>
      <c r="AI141" s="26">
        <v>0.25</v>
      </c>
      <c r="AJ141" s="26">
        <v>0.25</v>
      </c>
      <c r="AK141" s="26">
        <v>0.25</v>
      </c>
      <c r="AL141" s="26">
        <v>0.25</v>
      </c>
      <c r="AM141" s="26">
        <v>0.25</v>
      </c>
      <c r="AN141" s="26">
        <v>0.25</v>
      </c>
      <c r="AO141" s="26">
        <v>0.25</v>
      </c>
      <c r="AP141" s="26">
        <v>0.25</v>
      </c>
      <c r="AQ141" s="26">
        <v>0.25</v>
      </c>
      <c r="AR141" s="26">
        <v>0.25</v>
      </c>
      <c r="AS141" s="26">
        <v>0.25</v>
      </c>
      <c r="AT141" s="26">
        <v>0.25</v>
      </c>
      <c r="AU141" s="26">
        <v>0.25</v>
      </c>
      <c r="AV141" s="26">
        <v>0.25</v>
      </c>
      <c r="AW141" s="26">
        <v>0.25</v>
      </c>
      <c r="AX141" s="26">
        <v>0.25</v>
      </c>
      <c r="AY141" s="26">
        <v>0.25</v>
      </c>
      <c r="AZ141" s="26">
        <v>0.25</v>
      </c>
      <c r="BA141" s="26">
        <v>0.25</v>
      </c>
      <c r="BB141" s="26">
        <v>0.25</v>
      </c>
      <c r="BC141" s="26">
        <v>0.25</v>
      </c>
      <c r="BD141" s="26">
        <v>0.25</v>
      </c>
      <c r="BE141" s="26">
        <v>0.25</v>
      </c>
      <c r="BF141" s="11"/>
      <c r="BG141" s="11"/>
      <c r="BH141" s="11"/>
    </row>
    <row r="142" spans="2:60" ht="12.75" customHeight="1" x14ac:dyDescent="0.35">
      <c r="B142" s="22" t="b">
        <v>1</v>
      </c>
      <c r="C142" s="22" t="str">
        <f t="shared" si="3"/>
        <v>OR_   Medium-to-Large Utilities</v>
      </c>
      <c r="D142" s="29" t="s">
        <v>91</v>
      </c>
      <c r="E142" s="30"/>
      <c r="F142" s="25" t="s">
        <v>250</v>
      </c>
      <c r="G142" s="26">
        <v>0</v>
      </c>
      <c r="H142" s="26">
        <v>0</v>
      </c>
      <c r="I142" s="26">
        <v>0</v>
      </c>
      <c r="J142" s="26">
        <v>0</v>
      </c>
      <c r="K142" s="26">
        <v>0</v>
      </c>
      <c r="L142" s="26">
        <v>0</v>
      </c>
      <c r="M142" s="26">
        <v>0</v>
      </c>
      <c r="N142" s="26">
        <v>0</v>
      </c>
      <c r="O142" s="26">
        <v>0</v>
      </c>
      <c r="P142" s="26">
        <v>0</v>
      </c>
      <c r="Q142" s="26">
        <v>0</v>
      </c>
      <c r="R142" s="26">
        <v>0</v>
      </c>
      <c r="S142" s="26">
        <v>0</v>
      </c>
      <c r="T142" s="26">
        <v>0</v>
      </c>
      <c r="U142" s="26">
        <v>0</v>
      </c>
      <c r="V142" s="26">
        <v>0</v>
      </c>
      <c r="W142" s="26">
        <v>0</v>
      </c>
      <c r="X142" s="26">
        <v>0</v>
      </c>
      <c r="Y142" s="26">
        <v>0</v>
      </c>
      <c r="Z142" s="26">
        <v>0</v>
      </c>
      <c r="AA142" s="26">
        <v>0.05</v>
      </c>
      <c r="AB142" s="26">
        <v>0.05</v>
      </c>
      <c r="AC142" s="26">
        <v>0.05</v>
      </c>
      <c r="AD142" s="26">
        <v>0.05</v>
      </c>
      <c r="AE142" s="26">
        <v>0.05</v>
      </c>
      <c r="AF142" s="26">
        <v>0.1</v>
      </c>
      <c r="AG142" s="26">
        <v>0.1</v>
      </c>
      <c r="AH142" s="26">
        <v>0.1</v>
      </c>
      <c r="AI142" s="26">
        <v>0.1</v>
      </c>
      <c r="AJ142" s="26">
        <v>0.1</v>
      </c>
      <c r="AK142" s="26">
        <v>0.2</v>
      </c>
      <c r="AL142" s="26">
        <v>0.2</v>
      </c>
      <c r="AM142" s="26">
        <v>0.2</v>
      </c>
      <c r="AN142" s="26">
        <v>0.2</v>
      </c>
      <c r="AO142" s="26">
        <v>0.2</v>
      </c>
      <c r="AP142" s="26">
        <v>0.25</v>
      </c>
      <c r="AQ142" s="26">
        <v>0.25</v>
      </c>
      <c r="AR142" s="26">
        <v>0.25</v>
      </c>
      <c r="AS142" s="26">
        <v>0.25</v>
      </c>
      <c r="AT142" s="26">
        <v>0.25</v>
      </c>
      <c r="AU142" s="26">
        <v>0.25</v>
      </c>
      <c r="AV142" s="26">
        <v>0.25</v>
      </c>
      <c r="AW142" s="26">
        <v>0.25</v>
      </c>
      <c r="AX142" s="26">
        <v>0.25</v>
      </c>
      <c r="AY142" s="26">
        <v>0.25</v>
      </c>
      <c r="AZ142" s="26">
        <v>0.25</v>
      </c>
      <c r="BA142" s="26">
        <v>0.25</v>
      </c>
      <c r="BB142" s="26">
        <v>0.25</v>
      </c>
      <c r="BC142" s="26">
        <v>0.25</v>
      </c>
      <c r="BD142" s="26">
        <v>0.25</v>
      </c>
      <c r="BE142" s="26">
        <v>0.25</v>
      </c>
      <c r="BF142" s="11"/>
      <c r="BG142" s="11"/>
      <c r="BH142" s="11"/>
    </row>
    <row r="143" spans="2:60" x14ac:dyDescent="0.35">
      <c r="B143" s="22" t="b">
        <v>1</v>
      </c>
      <c r="C143" s="22" t="str">
        <f t="shared" si="3"/>
        <v>OR_   Medium Utilities</v>
      </c>
      <c r="D143" s="29" t="s">
        <v>91</v>
      </c>
      <c r="E143" s="30"/>
      <c r="F143" s="32" t="s">
        <v>251</v>
      </c>
      <c r="G143" s="26">
        <v>0</v>
      </c>
      <c r="H143" s="26">
        <v>0</v>
      </c>
      <c r="I143" s="26">
        <v>0</v>
      </c>
      <c r="J143" s="26">
        <v>0</v>
      </c>
      <c r="K143" s="26">
        <v>0</v>
      </c>
      <c r="L143" s="26">
        <v>0</v>
      </c>
      <c r="M143" s="26">
        <v>0</v>
      </c>
      <c r="N143" s="26">
        <v>0</v>
      </c>
      <c r="O143" s="26">
        <v>0</v>
      </c>
      <c r="P143" s="26">
        <v>0</v>
      </c>
      <c r="Q143" s="26">
        <v>0</v>
      </c>
      <c r="R143" s="26">
        <v>0</v>
      </c>
      <c r="S143" s="26">
        <v>0</v>
      </c>
      <c r="T143" s="26">
        <v>0</v>
      </c>
      <c r="U143" s="26">
        <v>0</v>
      </c>
      <c r="V143" s="26">
        <v>0</v>
      </c>
      <c r="W143" s="26">
        <v>0</v>
      </c>
      <c r="X143" s="26">
        <v>0</v>
      </c>
      <c r="Y143" s="26">
        <v>0</v>
      </c>
      <c r="Z143" s="26">
        <v>0</v>
      </c>
      <c r="AA143" s="26">
        <v>0</v>
      </c>
      <c r="AB143" s="26">
        <v>0</v>
      </c>
      <c r="AC143" s="26">
        <v>0</v>
      </c>
      <c r="AD143" s="26">
        <v>0</v>
      </c>
      <c r="AE143" s="26">
        <v>0</v>
      </c>
      <c r="AF143" s="26">
        <v>0.1</v>
      </c>
      <c r="AG143" s="26">
        <v>0.1</v>
      </c>
      <c r="AH143" s="26">
        <v>0.1</v>
      </c>
      <c r="AI143" s="26">
        <v>0.1</v>
      </c>
      <c r="AJ143" s="26">
        <v>0.1</v>
      </c>
      <c r="AK143" s="26">
        <v>0.1</v>
      </c>
      <c r="AL143" s="26">
        <v>0.1</v>
      </c>
      <c r="AM143" s="26">
        <v>0.1</v>
      </c>
      <c r="AN143" s="26">
        <v>0.1</v>
      </c>
      <c r="AO143" s="26">
        <v>0.1</v>
      </c>
      <c r="AP143" s="26">
        <v>0.1</v>
      </c>
      <c r="AQ143" s="26">
        <v>0.1</v>
      </c>
      <c r="AR143" s="26">
        <v>0.1</v>
      </c>
      <c r="AS143" s="26">
        <v>0.1</v>
      </c>
      <c r="AT143" s="26">
        <v>0.1</v>
      </c>
      <c r="AU143" s="26">
        <v>0.1</v>
      </c>
      <c r="AV143" s="26">
        <v>0.1</v>
      </c>
      <c r="AW143" s="26">
        <v>0.1</v>
      </c>
      <c r="AX143" s="26">
        <v>0.1</v>
      </c>
      <c r="AY143" s="26">
        <v>0.1</v>
      </c>
      <c r="AZ143" s="26">
        <v>0.1</v>
      </c>
      <c r="BA143" s="26">
        <v>0.1</v>
      </c>
      <c r="BB143" s="26">
        <v>0.1</v>
      </c>
      <c r="BC143" s="26">
        <v>0.1</v>
      </c>
      <c r="BD143" s="26">
        <v>0.1</v>
      </c>
      <c r="BE143" s="26">
        <v>0.1</v>
      </c>
      <c r="BF143" s="11"/>
      <c r="BG143" s="11"/>
      <c r="BH143" s="11"/>
    </row>
    <row r="144" spans="2:60" x14ac:dyDescent="0.35">
      <c r="B144" s="22" t="b">
        <v>1</v>
      </c>
      <c r="C144" s="22" t="str">
        <f t="shared" si="3"/>
        <v>OR_   Small Utilities</v>
      </c>
      <c r="D144" s="29" t="s">
        <v>91</v>
      </c>
      <c r="E144" s="30"/>
      <c r="F144" s="32" t="s">
        <v>252</v>
      </c>
      <c r="G144" s="26">
        <v>0</v>
      </c>
      <c r="H144" s="26">
        <v>0</v>
      </c>
      <c r="I144" s="26">
        <v>0</v>
      </c>
      <c r="J144" s="26">
        <v>0</v>
      </c>
      <c r="K144" s="26">
        <v>0</v>
      </c>
      <c r="L144" s="26">
        <v>0</v>
      </c>
      <c r="M144" s="26">
        <v>0</v>
      </c>
      <c r="N144" s="26">
        <v>0</v>
      </c>
      <c r="O144" s="26">
        <v>0</v>
      </c>
      <c r="P144" s="26">
        <v>0</v>
      </c>
      <c r="Q144" s="26">
        <v>0</v>
      </c>
      <c r="R144" s="26">
        <v>0</v>
      </c>
      <c r="S144" s="26">
        <v>0</v>
      </c>
      <c r="T144" s="26">
        <v>0</v>
      </c>
      <c r="U144" s="26">
        <v>0</v>
      </c>
      <c r="V144" s="26">
        <v>0</v>
      </c>
      <c r="W144" s="26">
        <v>0</v>
      </c>
      <c r="X144" s="26">
        <v>0</v>
      </c>
      <c r="Y144" s="26">
        <v>0</v>
      </c>
      <c r="Z144" s="26">
        <v>0</v>
      </c>
      <c r="AA144" s="26">
        <v>0</v>
      </c>
      <c r="AB144" s="26">
        <v>0</v>
      </c>
      <c r="AC144" s="26">
        <v>0</v>
      </c>
      <c r="AD144" s="26">
        <v>0</v>
      </c>
      <c r="AE144" s="26">
        <v>0</v>
      </c>
      <c r="AF144" s="26">
        <v>0.05</v>
      </c>
      <c r="AG144" s="26">
        <v>0.05</v>
      </c>
      <c r="AH144" s="26">
        <v>0.05</v>
      </c>
      <c r="AI144" s="26">
        <v>0.05</v>
      </c>
      <c r="AJ144" s="26">
        <v>0.05</v>
      </c>
      <c r="AK144" s="26">
        <v>0.05</v>
      </c>
      <c r="AL144" s="26">
        <v>0.05</v>
      </c>
      <c r="AM144" s="26">
        <v>0.05</v>
      </c>
      <c r="AN144" s="26">
        <v>0.05</v>
      </c>
      <c r="AO144" s="26">
        <v>0.05</v>
      </c>
      <c r="AP144" s="26">
        <v>0.05</v>
      </c>
      <c r="AQ144" s="26">
        <v>0.05</v>
      </c>
      <c r="AR144" s="26">
        <v>0.05</v>
      </c>
      <c r="AS144" s="26">
        <v>0.05</v>
      </c>
      <c r="AT144" s="26">
        <v>0.05</v>
      </c>
      <c r="AU144" s="26">
        <v>0.05</v>
      </c>
      <c r="AV144" s="26">
        <v>0.05</v>
      </c>
      <c r="AW144" s="26">
        <v>0.05</v>
      </c>
      <c r="AX144" s="26">
        <v>0.05</v>
      </c>
      <c r="AY144" s="26">
        <v>0.05</v>
      </c>
      <c r="AZ144" s="26">
        <v>0.05</v>
      </c>
      <c r="BA144" s="26">
        <v>0.05</v>
      </c>
      <c r="BB144" s="26">
        <v>0.05</v>
      </c>
      <c r="BC144" s="26">
        <v>0.05</v>
      </c>
      <c r="BD144" s="26">
        <v>0.05</v>
      </c>
      <c r="BE144" s="26">
        <v>0.05</v>
      </c>
      <c r="BF144" s="11"/>
      <c r="BG144" s="11"/>
      <c r="BH144" s="11"/>
    </row>
    <row r="145" spans="2:60" x14ac:dyDescent="0.35">
      <c r="B145" s="22" t="b">
        <v>1</v>
      </c>
      <c r="C145" s="22" t="str">
        <f t="shared" si="3"/>
        <v>OR_Solar Carve-Out (IOUs only)</v>
      </c>
      <c r="D145" s="29" t="s">
        <v>91</v>
      </c>
      <c r="E145" s="30"/>
      <c r="F145" s="32" t="s">
        <v>220</v>
      </c>
      <c r="G145" s="26">
        <v>0</v>
      </c>
      <c r="H145" s="26">
        <v>0</v>
      </c>
      <c r="I145" s="26">
        <v>0</v>
      </c>
      <c r="J145" s="26">
        <v>0</v>
      </c>
      <c r="K145" s="26">
        <v>0</v>
      </c>
      <c r="L145" s="26">
        <v>0</v>
      </c>
      <c r="M145" s="26">
        <v>0</v>
      </c>
      <c r="N145" s="26">
        <v>0</v>
      </c>
      <c r="O145" s="26">
        <v>0</v>
      </c>
      <c r="P145" s="26">
        <v>0</v>
      </c>
      <c r="Q145" s="26">
        <v>0</v>
      </c>
      <c r="R145" s="26">
        <v>0</v>
      </c>
      <c r="S145" s="26">
        <v>0</v>
      </c>
      <c r="T145" s="26">
        <v>0</v>
      </c>
      <c r="U145" s="26">
        <v>0</v>
      </c>
      <c r="V145" s="26">
        <v>4.0000000000000002E-4</v>
      </c>
      <c r="W145" s="26">
        <v>4.0000000000000002E-4</v>
      </c>
      <c r="X145" s="26">
        <v>4.0000000000000002E-4</v>
      </c>
      <c r="Y145" s="26">
        <v>4.0000000000000002E-4</v>
      </c>
      <c r="Z145" s="26">
        <v>4.0000000000000002E-4</v>
      </c>
      <c r="AA145" s="26">
        <v>2.9999999999999997E-4</v>
      </c>
      <c r="AB145" s="26">
        <v>2.9999999999999997E-4</v>
      </c>
      <c r="AC145" s="26">
        <v>2.9999999999999997E-4</v>
      </c>
      <c r="AD145" s="26">
        <v>2.9999999999999997E-4</v>
      </c>
      <c r="AE145" s="26">
        <v>2.9999999999999997E-4</v>
      </c>
      <c r="AF145" s="26">
        <v>2.9999999999999997E-4</v>
      </c>
      <c r="AG145" s="26">
        <v>2.9999999999999997E-4</v>
      </c>
      <c r="AH145" s="26">
        <v>2.9999999999999997E-4</v>
      </c>
      <c r="AI145" s="26">
        <v>2.9999999999999997E-4</v>
      </c>
      <c r="AJ145" s="26">
        <v>2.9999999999999997E-4</v>
      </c>
      <c r="AK145" s="26">
        <v>2.9999999999999997E-4</v>
      </c>
      <c r="AL145" s="26">
        <v>2.9999999999999997E-4</v>
      </c>
      <c r="AM145" s="26">
        <v>2.9999999999999997E-4</v>
      </c>
      <c r="AN145" s="26">
        <v>2.9999999999999997E-4</v>
      </c>
      <c r="AO145" s="26">
        <v>2.9999999999999997E-4</v>
      </c>
      <c r="AP145" s="26">
        <v>2.9999999999999997E-4</v>
      </c>
      <c r="AQ145" s="26">
        <v>2.9999999999999997E-4</v>
      </c>
      <c r="AR145" s="26">
        <v>2.9999999999999997E-4</v>
      </c>
      <c r="AS145" s="26">
        <v>2.9999999999999997E-4</v>
      </c>
      <c r="AT145" s="26">
        <v>2.9999999999999997E-4</v>
      </c>
      <c r="AU145" s="26">
        <v>2.9999999999999997E-4</v>
      </c>
      <c r="AV145" s="26">
        <v>2.9999999999999997E-4</v>
      </c>
      <c r="AW145" s="26">
        <v>2.9999999999999997E-4</v>
      </c>
      <c r="AX145" s="26">
        <v>2.9999999999999997E-4</v>
      </c>
      <c r="AY145" s="26">
        <v>2.9999999999999997E-4</v>
      </c>
      <c r="AZ145" s="26">
        <v>2.9999999999999997E-4</v>
      </c>
      <c r="BA145" s="26">
        <v>2.9999999999999997E-4</v>
      </c>
      <c r="BB145" s="26">
        <v>2.9999999999999997E-4</v>
      </c>
      <c r="BC145" s="26">
        <v>2.9999999999999997E-4</v>
      </c>
      <c r="BD145" s="26">
        <v>2.9999999999999997E-4</v>
      </c>
      <c r="BE145" s="26">
        <v>2.9999999999999997E-4</v>
      </c>
      <c r="BF145" s="11"/>
      <c r="BG145" s="11"/>
      <c r="BH145" s="11"/>
    </row>
    <row r="146" spans="2:60" x14ac:dyDescent="0.35">
      <c r="B146" s="22" t="b">
        <v>1</v>
      </c>
      <c r="C146" s="22" t="str">
        <f t="shared" si="3"/>
        <v>OR_Total CES</v>
      </c>
      <c r="D146" s="29" t="s">
        <v>91</v>
      </c>
      <c r="E146" s="30"/>
      <c r="F146" s="25" t="s">
        <v>174</v>
      </c>
      <c r="G146" s="26">
        <v>0</v>
      </c>
      <c r="H146" s="26">
        <v>0</v>
      </c>
      <c r="I146" s="26">
        <v>0</v>
      </c>
      <c r="J146" s="26">
        <v>0</v>
      </c>
      <c r="K146" s="26">
        <v>0</v>
      </c>
      <c r="L146" s="26">
        <v>0</v>
      </c>
      <c r="M146" s="26">
        <v>0</v>
      </c>
      <c r="N146" s="26">
        <v>0</v>
      </c>
      <c r="O146" s="26">
        <v>0</v>
      </c>
      <c r="P146" s="26">
        <v>0</v>
      </c>
      <c r="Q146" s="26">
        <v>0</v>
      </c>
      <c r="R146" s="26">
        <v>0</v>
      </c>
      <c r="S146" s="26">
        <v>0</v>
      </c>
      <c r="T146" s="26">
        <v>0</v>
      </c>
      <c r="U146" s="26">
        <v>0</v>
      </c>
      <c r="V146" s="26">
        <v>0</v>
      </c>
      <c r="W146" s="26">
        <v>0</v>
      </c>
      <c r="X146" s="26">
        <v>0</v>
      </c>
      <c r="Y146" s="26">
        <v>0</v>
      </c>
      <c r="Z146" s="26">
        <v>0</v>
      </c>
      <c r="AA146" s="26">
        <v>0</v>
      </c>
      <c r="AB146" s="26">
        <v>0</v>
      </c>
      <c r="AC146" s="26">
        <v>0</v>
      </c>
      <c r="AD146" s="26">
        <v>0</v>
      </c>
      <c r="AE146" s="26">
        <v>0</v>
      </c>
      <c r="AF146" s="26">
        <v>0</v>
      </c>
      <c r="AG146" s="26">
        <v>0</v>
      </c>
      <c r="AH146" s="26">
        <v>0</v>
      </c>
      <c r="AI146" s="26">
        <v>0</v>
      </c>
      <c r="AJ146" s="26">
        <v>0</v>
      </c>
      <c r="AK146" s="26">
        <v>0.80020000000000002</v>
      </c>
      <c r="AL146" s="26">
        <v>0.80149999999999999</v>
      </c>
      <c r="AM146" s="26">
        <v>0.80300000000000005</v>
      </c>
      <c r="AN146" s="26">
        <v>0.8044</v>
      </c>
      <c r="AO146" s="26">
        <v>0.80610000000000004</v>
      </c>
      <c r="AP146" s="26">
        <v>0.90390000000000004</v>
      </c>
      <c r="AQ146" s="26">
        <v>0.90490000000000004</v>
      </c>
      <c r="AR146" s="26">
        <v>0.90580000000000005</v>
      </c>
      <c r="AS146" s="26">
        <v>0.90680000000000005</v>
      </c>
      <c r="AT146" s="26">
        <v>0.90769999999999995</v>
      </c>
      <c r="AU146" s="26">
        <v>1</v>
      </c>
      <c r="AV146" s="26">
        <v>1</v>
      </c>
      <c r="AW146" s="26">
        <v>1</v>
      </c>
      <c r="AX146" s="26">
        <v>1</v>
      </c>
      <c r="AY146" s="26">
        <v>1</v>
      </c>
      <c r="AZ146" s="26">
        <v>1</v>
      </c>
      <c r="BA146" s="26">
        <v>1</v>
      </c>
      <c r="BB146" s="26">
        <v>1</v>
      </c>
      <c r="BC146" s="26">
        <v>1</v>
      </c>
      <c r="BD146" s="26">
        <v>1</v>
      </c>
      <c r="BE146" s="26">
        <v>1</v>
      </c>
      <c r="BF146" s="11"/>
      <c r="BG146" s="11"/>
      <c r="BH146" s="11"/>
    </row>
    <row r="147" spans="2:60" ht="38.25" customHeight="1" x14ac:dyDescent="0.35">
      <c r="B147" s="22" t="b">
        <v>1</v>
      </c>
      <c r="C147" s="22" t="str">
        <f t="shared" si="3"/>
        <v>PA_Total RPS</v>
      </c>
      <c r="D147" s="29" t="s">
        <v>94</v>
      </c>
      <c r="E147" s="30" t="s">
        <v>193</v>
      </c>
      <c r="F147" s="32" t="s">
        <v>171</v>
      </c>
      <c r="G147" s="26">
        <v>0</v>
      </c>
      <c r="H147" s="26">
        <v>0</v>
      </c>
      <c r="I147" s="26">
        <v>0.02</v>
      </c>
      <c r="J147" s="26">
        <v>0</v>
      </c>
      <c r="K147" s="26">
        <v>0</v>
      </c>
      <c r="L147" s="26">
        <v>0</v>
      </c>
      <c r="M147" s="26">
        <v>0</v>
      </c>
      <c r="N147" s="26">
        <v>5.7000000000000002E-2</v>
      </c>
      <c r="O147" s="26">
        <v>5.7000000000000002E-2</v>
      </c>
      <c r="P147" s="26">
        <v>6.2E-2</v>
      </c>
      <c r="Q147" s="26">
        <v>6.7000000000000004E-2</v>
      </c>
      <c r="R147" s="26">
        <v>9.1999999999999998E-2</v>
      </c>
      <c r="S147" s="26">
        <v>9.7000000000000003E-2</v>
      </c>
      <c r="T147" s="26">
        <v>0.10199999999999999</v>
      </c>
      <c r="U147" s="26">
        <v>0.107</v>
      </c>
      <c r="V147" s="26">
        <v>0.112</v>
      </c>
      <c r="W147" s="26">
        <v>0.13700000000000001</v>
      </c>
      <c r="X147" s="26">
        <v>0.14199999999999999</v>
      </c>
      <c r="Y147" s="26">
        <v>0.14699999999999999</v>
      </c>
      <c r="Z147" s="26">
        <v>0.152</v>
      </c>
      <c r="AA147" s="26">
        <v>0.157</v>
      </c>
      <c r="AB147" s="26">
        <v>0.18</v>
      </c>
      <c r="AC147" s="26">
        <v>0.18</v>
      </c>
      <c r="AD147" s="26">
        <v>0.18</v>
      </c>
      <c r="AE147" s="26">
        <v>0.18</v>
      </c>
      <c r="AF147" s="26">
        <v>0.18</v>
      </c>
      <c r="AG147" s="26">
        <v>0.18</v>
      </c>
      <c r="AH147" s="26">
        <v>0.18</v>
      </c>
      <c r="AI147" s="26">
        <v>0.18</v>
      </c>
      <c r="AJ147" s="26">
        <v>0.18</v>
      </c>
      <c r="AK147" s="26">
        <v>0.18</v>
      </c>
      <c r="AL147" s="26">
        <v>0.18</v>
      </c>
      <c r="AM147" s="26">
        <v>0.18</v>
      </c>
      <c r="AN147" s="26">
        <v>0.18</v>
      </c>
      <c r="AO147" s="26">
        <v>0.18</v>
      </c>
      <c r="AP147" s="26">
        <v>0.18</v>
      </c>
      <c r="AQ147" s="26">
        <v>0.18</v>
      </c>
      <c r="AR147" s="26">
        <v>0.18</v>
      </c>
      <c r="AS147" s="26">
        <v>0.18</v>
      </c>
      <c r="AT147" s="26">
        <v>0.18</v>
      </c>
      <c r="AU147" s="26">
        <v>0.18</v>
      </c>
      <c r="AV147" s="26">
        <v>0.18</v>
      </c>
      <c r="AW147" s="26">
        <v>0.18</v>
      </c>
      <c r="AX147" s="26">
        <v>0.18</v>
      </c>
      <c r="AY147" s="26">
        <v>0.18</v>
      </c>
      <c r="AZ147" s="26">
        <v>0.18</v>
      </c>
      <c r="BA147" s="26">
        <v>0.18</v>
      </c>
      <c r="BB147" s="26">
        <v>0.18</v>
      </c>
      <c r="BC147" s="26">
        <v>0.18</v>
      </c>
      <c r="BD147" s="26">
        <v>0.18</v>
      </c>
      <c r="BE147" s="26">
        <v>0.18</v>
      </c>
      <c r="BF147" s="11"/>
      <c r="BG147" s="11"/>
      <c r="BH147" s="11"/>
    </row>
    <row r="148" spans="2:60" x14ac:dyDescent="0.35">
      <c r="B148" s="22" t="b">
        <v>1</v>
      </c>
      <c r="C148" s="22" t="str">
        <f t="shared" si="3"/>
        <v>PA_   Solar Carve-Out</v>
      </c>
      <c r="D148" s="29" t="s">
        <v>94</v>
      </c>
      <c r="E148" s="30"/>
      <c r="F148" s="32" t="s">
        <v>186</v>
      </c>
      <c r="G148" s="26">
        <v>0</v>
      </c>
      <c r="H148" s="26">
        <v>0</v>
      </c>
      <c r="I148" s="26">
        <v>0</v>
      </c>
      <c r="J148" s="26">
        <v>0</v>
      </c>
      <c r="K148" s="26">
        <v>0</v>
      </c>
      <c r="L148" s="26">
        <v>0</v>
      </c>
      <c r="M148" s="26">
        <v>0</v>
      </c>
      <c r="N148" s="26">
        <v>0</v>
      </c>
      <c r="O148" s="26">
        <v>0</v>
      </c>
      <c r="P148" s="26">
        <v>1E-4</v>
      </c>
      <c r="Q148" s="26">
        <v>1E-4</v>
      </c>
      <c r="R148" s="26">
        <v>2.0000000000000001E-4</v>
      </c>
      <c r="S148" s="26">
        <v>2.9999999999999997E-4</v>
      </c>
      <c r="T148" s="26">
        <v>5.0000000000000001E-4</v>
      </c>
      <c r="U148" s="26">
        <v>8.0000000000000004E-4</v>
      </c>
      <c r="V148" s="26">
        <v>1.4E-3</v>
      </c>
      <c r="W148" s="26">
        <v>2.5000000000000001E-3</v>
      </c>
      <c r="X148" s="26">
        <v>2.8999999999999998E-3</v>
      </c>
      <c r="Y148" s="26">
        <v>3.3999999999999998E-3</v>
      </c>
      <c r="Z148" s="26">
        <v>3.8999999999999998E-3</v>
      </c>
      <c r="AA148" s="26">
        <v>4.4000000000000003E-3</v>
      </c>
      <c r="AB148" s="26">
        <v>5.0000000000000001E-3</v>
      </c>
      <c r="AC148" s="26">
        <v>5.0000000000000001E-3</v>
      </c>
      <c r="AD148" s="26">
        <v>5.0000000000000001E-3</v>
      </c>
      <c r="AE148" s="26">
        <v>5.0000000000000001E-3</v>
      </c>
      <c r="AF148" s="26">
        <v>5.0000000000000001E-3</v>
      </c>
      <c r="AG148" s="26">
        <v>5.0000000000000001E-3</v>
      </c>
      <c r="AH148" s="26">
        <v>5.0000000000000001E-3</v>
      </c>
      <c r="AI148" s="26">
        <v>5.0000000000000001E-3</v>
      </c>
      <c r="AJ148" s="26">
        <v>5.0000000000000001E-3</v>
      </c>
      <c r="AK148" s="26">
        <v>5.0000000000000001E-3</v>
      </c>
      <c r="AL148" s="26">
        <v>5.0000000000000001E-3</v>
      </c>
      <c r="AM148" s="26">
        <v>5.0000000000000001E-3</v>
      </c>
      <c r="AN148" s="26">
        <v>5.0000000000000001E-3</v>
      </c>
      <c r="AO148" s="26">
        <v>5.0000000000000001E-3</v>
      </c>
      <c r="AP148" s="26">
        <v>5.0000000000000001E-3</v>
      </c>
      <c r="AQ148" s="26">
        <v>5.0000000000000001E-3</v>
      </c>
      <c r="AR148" s="26">
        <v>5.0000000000000001E-3</v>
      </c>
      <c r="AS148" s="26">
        <v>5.0000000000000001E-3</v>
      </c>
      <c r="AT148" s="26">
        <v>5.0000000000000001E-3</v>
      </c>
      <c r="AU148" s="26">
        <v>5.0000000000000001E-3</v>
      </c>
      <c r="AV148" s="26">
        <v>5.0000000000000001E-3</v>
      </c>
      <c r="AW148" s="26">
        <v>5.0000000000000001E-3</v>
      </c>
      <c r="AX148" s="26">
        <v>5.0000000000000001E-3</v>
      </c>
      <c r="AY148" s="26">
        <v>5.0000000000000001E-3</v>
      </c>
      <c r="AZ148" s="26">
        <v>5.0000000000000001E-3</v>
      </c>
      <c r="BA148" s="26">
        <v>5.0000000000000001E-3</v>
      </c>
      <c r="BB148" s="26">
        <v>5.0000000000000001E-3</v>
      </c>
      <c r="BC148" s="26">
        <v>5.0000000000000001E-3</v>
      </c>
      <c r="BD148" s="26">
        <v>5.0000000000000001E-3</v>
      </c>
      <c r="BE148" s="26">
        <v>5.0000000000000001E-3</v>
      </c>
      <c r="BF148" s="11"/>
      <c r="BG148" s="11"/>
      <c r="BH148" s="11"/>
    </row>
    <row r="149" spans="2:60" x14ac:dyDescent="0.35">
      <c r="B149" s="22" t="b">
        <v>1</v>
      </c>
      <c r="C149" s="22" t="str">
        <f t="shared" si="3"/>
        <v>PA_   Tier I Non-Solar</v>
      </c>
      <c r="D149" s="29" t="s">
        <v>94</v>
      </c>
      <c r="E149" s="30"/>
      <c r="F149" s="25" t="s">
        <v>187</v>
      </c>
      <c r="G149" s="26">
        <v>0</v>
      </c>
      <c r="H149" s="26">
        <v>0</v>
      </c>
      <c r="I149" s="26">
        <v>0.02</v>
      </c>
      <c r="J149" s="26">
        <v>0</v>
      </c>
      <c r="K149" s="26">
        <v>0</v>
      </c>
      <c r="L149" s="26">
        <v>0</v>
      </c>
      <c r="M149" s="26">
        <v>0</v>
      </c>
      <c r="N149" s="26">
        <v>1.4999999999999999E-2</v>
      </c>
      <c r="O149" s="26">
        <v>1.4999999999999999E-2</v>
      </c>
      <c r="P149" s="26">
        <v>1.9900000000000001E-2</v>
      </c>
      <c r="Q149" s="26">
        <v>2.4899999999999999E-2</v>
      </c>
      <c r="R149" s="26">
        <v>2.98E-2</v>
      </c>
      <c r="S149" s="26">
        <v>3.4700000000000002E-2</v>
      </c>
      <c r="T149" s="26">
        <v>3.95E-2</v>
      </c>
      <c r="U149" s="26">
        <v>4.4200000000000003E-2</v>
      </c>
      <c r="V149" s="26">
        <v>4.8599999999999997E-2</v>
      </c>
      <c r="W149" s="26">
        <v>5.2499999999999998E-2</v>
      </c>
      <c r="X149" s="26">
        <v>5.7099999999999998E-2</v>
      </c>
      <c r="Y149" s="26">
        <v>6.1600000000000002E-2</v>
      </c>
      <c r="Z149" s="26">
        <v>6.6100000000000006E-2</v>
      </c>
      <c r="AA149" s="26">
        <v>7.0599999999999996E-2</v>
      </c>
      <c r="AB149" s="26">
        <v>7.4999999999999997E-2</v>
      </c>
      <c r="AC149" s="26">
        <v>7.4999999999999997E-2</v>
      </c>
      <c r="AD149" s="26">
        <v>7.4999999999999997E-2</v>
      </c>
      <c r="AE149" s="26">
        <v>7.4999999999999997E-2</v>
      </c>
      <c r="AF149" s="26">
        <v>7.4999999999999997E-2</v>
      </c>
      <c r="AG149" s="26">
        <v>7.4999999999999997E-2</v>
      </c>
      <c r="AH149" s="26">
        <v>7.4999999999999997E-2</v>
      </c>
      <c r="AI149" s="26">
        <v>7.4999999999999997E-2</v>
      </c>
      <c r="AJ149" s="26">
        <v>7.4999999999999997E-2</v>
      </c>
      <c r="AK149" s="26">
        <v>7.4999999999999997E-2</v>
      </c>
      <c r="AL149" s="26">
        <v>7.4999999999999997E-2</v>
      </c>
      <c r="AM149" s="26">
        <v>7.4999999999999997E-2</v>
      </c>
      <c r="AN149" s="26">
        <v>7.4999999999999997E-2</v>
      </c>
      <c r="AO149" s="26">
        <v>7.4999999999999997E-2</v>
      </c>
      <c r="AP149" s="26">
        <v>7.4999999999999997E-2</v>
      </c>
      <c r="AQ149" s="26">
        <v>7.4999999999999997E-2</v>
      </c>
      <c r="AR149" s="26">
        <v>7.4999999999999997E-2</v>
      </c>
      <c r="AS149" s="26">
        <v>7.4999999999999997E-2</v>
      </c>
      <c r="AT149" s="26">
        <v>7.4999999999999997E-2</v>
      </c>
      <c r="AU149" s="26">
        <v>7.4999999999999997E-2</v>
      </c>
      <c r="AV149" s="26">
        <v>7.4999999999999997E-2</v>
      </c>
      <c r="AW149" s="26">
        <v>7.4999999999999997E-2</v>
      </c>
      <c r="AX149" s="26">
        <v>7.4999999999999997E-2</v>
      </c>
      <c r="AY149" s="26">
        <v>7.4999999999999997E-2</v>
      </c>
      <c r="AZ149" s="26">
        <v>7.4999999999999997E-2</v>
      </c>
      <c r="BA149" s="26">
        <v>7.4999999999999997E-2</v>
      </c>
      <c r="BB149" s="26">
        <v>7.4999999999999997E-2</v>
      </c>
      <c r="BC149" s="26">
        <v>7.4999999999999997E-2</v>
      </c>
      <c r="BD149" s="26">
        <v>7.4999999999999997E-2</v>
      </c>
      <c r="BE149" s="26">
        <v>7.4999999999999997E-2</v>
      </c>
      <c r="BF149" s="11"/>
      <c r="BG149" s="11"/>
      <c r="BH149" s="11"/>
    </row>
    <row r="150" spans="2:60" x14ac:dyDescent="0.35">
      <c r="B150" s="22" t="b">
        <v>1</v>
      </c>
      <c r="C150" s="22" t="str">
        <f t="shared" si="3"/>
        <v>PA_   Tier II</v>
      </c>
      <c r="D150" s="27" t="s">
        <v>94</v>
      </c>
      <c r="E150" s="28"/>
      <c r="F150" s="32" t="s">
        <v>188</v>
      </c>
      <c r="G150" s="26">
        <v>0</v>
      </c>
      <c r="H150" s="26">
        <v>0</v>
      </c>
      <c r="I150" s="26">
        <v>0</v>
      </c>
      <c r="J150" s="26">
        <v>0</v>
      </c>
      <c r="K150" s="26">
        <v>0</v>
      </c>
      <c r="L150" s="26">
        <v>0</v>
      </c>
      <c r="M150" s="26">
        <v>0</v>
      </c>
      <c r="N150" s="26">
        <v>4.2000000000000003E-2</v>
      </c>
      <c r="O150" s="26">
        <v>4.2000000000000003E-2</v>
      </c>
      <c r="P150" s="26">
        <v>4.2000000000000003E-2</v>
      </c>
      <c r="Q150" s="26">
        <v>4.2000000000000003E-2</v>
      </c>
      <c r="R150" s="26">
        <v>6.2E-2</v>
      </c>
      <c r="S150" s="26">
        <v>6.2E-2</v>
      </c>
      <c r="T150" s="26">
        <v>6.2E-2</v>
      </c>
      <c r="U150" s="26">
        <v>6.2E-2</v>
      </c>
      <c r="V150" s="26">
        <v>6.2E-2</v>
      </c>
      <c r="W150" s="26">
        <v>8.2000000000000003E-2</v>
      </c>
      <c r="X150" s="26">
        <v>8.2000000000000003E-2</v>
      </c>
      <c r="Y150" s="26">
        <v>8.2000000000000003E-2</v>
      </c>
      <c r="Z150" s="26">
        <v>8.2000000000000003E-2</v>
      </c>
      <c r="AA150" s="26">
        <v>8.2000000000000003E-2</v>
      </c>
      <c r="AB150" s="26">
        <v>0.1</v>
      </c>
      <c r="AC150" s="26">
        <v>0.1</v>
      </c>
      <c r="AD150" s="26">
        <v>0.1</v>
      </c>
      <c r="AE150" s="26">
        <v>0.1</v>
      </c>
      <c r="AF150" s="26">
        <v>0.1</v>
      </c>
      <c r="AG150" s="26">
        <v>0.1</v>
      </c>
      <c r="AH150" s="26">
        <v>0.1</v>
      </c>
      <c r="AI150" s="26">
        <v>0.1</v>
      </c>
      <c r="AJ150" s="26">
        <v>0.1</v>
      </c>
      <c r="AK150" s="26">
        <v>0.1</v>
      </c>
      <c r="AL150" s="26">
        <v>0.1</v>
      </c>
      <c r="AM150" s="26">
        <v>0.1</v>
      </c>
      <c r="AN150" s="26">
        <v>0.1</v>
      </c>
      <c r="AO150" s="26">
        <v>0.1</v>
      </c>
      <c r="AP150" s="26">
        <v>0.1</v>
      </c>
      <c r="AQ150" s="26">
        <v>0.1</v>
      </c>
      <c r="AR150" s="26">
        <v>0.1</v>
      </c>
      <c r="AS150" s="26">
        <v>0.1</v>
      </c>
      <c r="AT150" s="26">
        <v>0.1</v>
      </c>
      <c r="AU150" s="26">
        <v>0.1</v>
      </c>
      <c r="AV150" s="26">
        <v>0.1</v>
      </c>
      <c r="AW150" s="26">
        <v>0.1</v>
      </c>
      <c r="AX150" s="26">
        <v>0.1</v>
      </c>
      <c r="AY150" s="26">
        <v>0.1</v>
      </c>
      <c r="AZ150" s="26">
        <v>0.1</v>
      </c>
      <c r="BA150" s="26">
        <v>0.1</v>
      </c>
      <c r="BB150" s="26">
        <v>0.1</v>
      </c>
      <c r="BC150" s="26">
        <v>0.1</v>
      </c>
      <c r="BD150" s="26">
        <v>0.1</v>
      </c>
      <c r="BE150" s="26">
        <v>0.1</v>
      </c>
    </row>
    <row r="151" spans="2:60" ht="38.25" customHeight="1" x14ac:dyDescent="0.35">
      <c r="B151" s="22" t="b">
        <v>1</v>
      </c>
      <c r="C151" s="22" t="str">
        <f t="shared" si="3"/>
        <v>RI_Total RPS</v>
      </c>
      <c r="D151" s="23" t="s">
        <v>97</v>
      </c>
      <c r="E151" s="24" t="s">
        <v>193</v>
      </c>
      <c r="F151" s="25" t="s">
        <v>171</v>
      </c>
      <c r="G151" s="26">
        <v>0</v>
      </c>
      <c r="H151" s="26">
        <v>0</v>
      </c>
      <c r="I151" s="26">
        <v>0</v>
      </c>
      <c r="J151" s="26">
        <v>0</v>
      </c>
      <c r="K151" s="26">
        <v>0</v>
      </c>
      <c r="L151" s="26">
        <v>0</v>
      </c>
      <c r="M151" s="26">
        <v>0</v>
      </c>
      <c r="N151" s="26">
        <v>0.03</v>
      </c>
      <c r="O151" s="26">
        <v>3.5000000000000003E-2</v>
      </c>
      <c r="P151" s="26">
        <v>0.04</v>
      </c>
      <c r="Q151" s="26">
        <v>4.4999999999999998E-2</v>
      </c>
      <c r="R151" s="26">
        <v>5.5E-2</v>
      </c>
      <c r="S151" s="26">
        <v>6.5000000000000002E-2</v>
      </c>
      <c r="T151" s="26">
        <v>7.4999999999999997E-2</v>
      </c>
      <c r="U151" s="26">
        <v>8.5000000000000006E-2</v>
      </c>
      <c r="V151" s="26">
        <v>8.5000000000000006E-2</v>
      </c>
      <c r="W151" s="26">
        <v>0.1</v>
      </c>
      <c r="X151" s="26">
        <v>0.115</v>
      </c>
      <c r="Y151" s="26">
        <v>0.13</v>
      </c>
      <c r="Z151" s="26">
        <v>0.14499999999999999</v>
      </c>
      <c r="AA151" s="26">
        <v>0.16</v>
      </c>
      <c r="AB151" s="26">
        <v>0.17499999999999999</v>
      </c>
      <c r="AC151" s="26">
        <v>0.19</v>
      </c>
      <c r="AD151" s="26">
        <v>0.23</v>
      </c>
      <c r="AE151" s="26">
        <v>0.28000000000000003</v>
      </c>
      <c r="AF151" s="26">
        <v>0.34</v>
      </c>
      <c r="AG151" s="26">
        <v>0.41</v>
      </c>
      <c r="AH151" s="26">
        <v>0.48</v>
      </c>
      <c r="AI151" s="26">
        <v>0.55500000000000005</v>
      </c>
      <c r="AJ151" s="26">
        <v>0.63500000000000001</v>
      </c>
      <c r="AK151" s="26">
        <v>0.72</v>
      </c>
      <c r="AL151" s="26">
        <v>0.81</v>
      </c>
      <c r="AM151" s="26">
        <v>0.90500000000000003</v>
      </c>
      <c r="AN151" s="26">
        <v>1</v>
      </c>
      <c r="AO151" s="26">
        <v>1</v>
      </c>
      <c r="AP151" s="26">
        <v>1</v>
      </c>
      <c r="AQ151" s="26">
        <v>1</v>
      </c>
      <c r="AR151" s="26">
        <v>1</v>
      </c>
      <c r="AS151" s="26">
        <v>1</v>
      </c>
      <c r="AT151" s="26">
        <v>1</v>
      </c>
      <c r="AU151" s="26">
        <v>1</v>
      </c>
      <c r="AV151" s="26">
        <v>1</v>
      </c>
      <c r="AW151" s="26">
        <v>1</v>
      </c>
      <c r="AX151" s="26">
        <v>1</v>
      </c>
      <c r="AY151" s="26">
        <v>1</v>
      </c>
      <c r="AZ151" s="26">
        <v>1</v>
      </c>
      <c r="BA151" s="26">
        <v>1</v>
      </c>
      <c r="BB151" s="26">
        <v>1</v>
      </c>
      <c r="BC151" s="26">
        <v>1</v>
      </c>
      <c r="BD151" s="26">
        <v>1</v>
      </c>
      <c r="BE151" s="26">
        <v>1</v>
      </c>
    </row>
    <row r="152" spans="2:60" x14ac:dyDescent="0.35">
      <c r="B152" s="22" t="b">
        <v>1</v>
      </c>
      <c r="C152" s="22" t="str">
        <f t="shared" si="3"/>
        <v>RI_   New</v>
      </c>
      <c r="D152" s="29" t="s">
        <v>97</v>
      </c>
      <c r="E152" s="30"/>
      <c r="F152" s="25" t="s">
        <v>253</v>
      </c>
      <c r="G152" s="26">
        <v>0</v>
      </c>
      <c r="H152" s="26">
        <v>0</v>
      </c>
      <c r="I152" s="26">
        <v>0</v>
      </c>
      <c r="J152" s="26">
        <v>0</v>
      </c>
      <c r="K152" s="26">
        <v>0</v>
      </c>
      <c r="L152" s="26">
        <v>0</v>
      </c>
      <c r="M152" s="26">
        <v>0</v>
      </c>
      <c r="N152" s="26">
        <v>0.01</v>
      </c>
      <c r="O152" s="26">
        <v>1.4999999999999999E-2</v>
      </c>
      <c r="P152" s="26">
        <v>0.02</v>
      </c>
      <c r="Q152" s="26">
        <v>2.5000000000000001E-2</v>
      </c>
      <c r="R152" s="26">
        <v>3.5000000000000003E-2</v>
      </c>
      <c r="S152" s="26">
        <v>4.4999999999999998E-2</v>
      </c>
      <c r="T152" s="26">
        <v>5.5E-2</v>
      </c>
      <c r="U152" s="26">
        <v>6.5000000000000002E-2</v>
      </c>
      <c r="V152" s="26">
        <v>6.5000000000000002E-2</v>
      </c>
      <c r="W152" s="26">
        <v>0.08</v>
      </c>
      <c r="X152" s="26">
        <v>9.5000000000000001E-2</v>
      </c>
      <c r="Y152" s="26">
        <v>0.11</v>
      </c>
      <c r="Z152" s="26">
        <v>0.125</v>
      </c>
      <c r="AA152" s="26">
        <v>0.14000000000000001</v>
      </c>
      <c r="AB152" s="26">
        <v>0.155</v>
      </c>
      <c r="AC152" s="26">
        <v>0.17</v>
      </c>
      <c r="AD152" s="26">
        <v>0.21</v>
      </c>
      <c r="AE152" s="26">
        <v>0.26</v>
      </c>
      <c r="AF152" s="26">
        <v>0.32</v>
      </c>
      <c r="AG152" s="26">
        <v>0.39</v>
      </c>
      <c r="AH152" s="26">
        <v>0.46</v>
      </c>
      <c r="AI152" s="26">
        <v>0.53500000000000003</v>
      </c>
      <c r="AJ152" s="26">
        <v>0.61499999999999999</v>
      </c>
      <c r="AK152" s="26">
        <v>0.7</v>
      </c>
      <c r="AL152" s="26">
        <v>0.79</v>
      </c>
      <c r="AM152" s="26">
        <v>0.88500000000000001</v>
      </c>
      <c r="AN152" s="26">
        <v>0.98</v>
      </c>
      <c r="AO152" s="26">
        <v>0.98</v>
      </c>
      <c r="AP152" s="26">
        <v>0.98</v>
      </c>
      <c r="AQ152" s="26">
        <v>0.98</v>
      </c>
      <c r="AR152" s="26">
        <v>0.98</v>
      </c>
      <c r="AS152" s="26">
        <v>0.98</v>
      </c>
      <c r="AT152" s="26">
        <v>0.98</v>
      </c>
      <c r="AU152" s="26">
        <v>0.98</v>
      </c>
      <c r="AV152" s="26">
        <v>0.98</v>
      </c>
      <c r="AW152" s="26">
        <v>0.98</v>
      </c>
      <c r="AX152" s="26">
        <v>0.98</v>
      </c>
      <c r="AY152" s="26">
        <v>0.98</v>
      </c>
      <c r="AZ152" s="26">
        <v>0.98</v>
      </c>
      <c r="BA152" s="26">
        <v>0.98</v>
      </c>
      <c r="BB152" s="26">
        <v>0.98</v>
      </c>
      <c r="BC152" s="26">
        <v>0.98</v>
      </c>
      <c r="BD152" s="26">
        <v>0.98</v>
      </c>
      <c r="BE152" s="26">
        <v>0.98</v>
      </c>
    </row>
    <row r="153" spans="2:60" x14ac:dyDescent="0.35">
      <c r="B153" s="22" t="b">
        <v>1</v>
      </c>
      <c r="C153" s="22" t="str">
        <f t="shared" si="3"/>
        <v>RI_   Existing</v>
      </c>
      <c r="D153" s="49" t="s">
        <v>97</v>
      </c>
      <c r="E153" s="50"/>
      <c r="F153" s="25" t="s">
        <v>190</v>
      </c>
      <c r="G153" s="26">
        <v>0</v>
      </c>
      <c r="H153" s="26">
        <v>0</v>
      </c>
      <c r="I153" s="26">
        <v>0</v>
      </c>
      <c r="J153" s="26">
        <v>0</v>
      </c>
      <c r="K153" s="26">
        <v>0</v>
      </c>
      <c r="L153" s="26">
        <v>0</v>
      </c>
      <c r="M153" s="26">
        <v>0</v>
      </c>
      <c r="N153" s="26">
        <v>0.02</v>
      </c>
      <c r="O153" s="26">
        <v>0.02</v>
      </c>
      <c r="P153" s="26">
        <v>0.02</v>
      </c>
      <c r="Q153" s="26">
        <v>0.02</v>
      </c>
      <c r="R153" s="26">
        <v>0.02</v>
      </c>
      <c r="S153" s="26">
        <v>0.02</v>
      </c>
      <c r="T153" s="26">
        <v>0.02</v>
      </c>
      <c r="U153" s="26">
        <v>0.02</v>
      </c>
      <c r="V153" s="26">
        <v>0.02</v>
      </c>
      <c r="W153" s="26">
        <v>0.02</v>
      </c>
      <c r="X153" s="26">
        <v>0.02</v>
      </c>
      <c r="Y153" s="26">
        <v>0.02</v>
      </c>
      <c r="Z153" s="26">
        <v>0.02</v>
      </c>
      <c r="AA153" s="26">
        <v>0.02</v>
      </c>
      <c r="AB153" s="26">
        <v>0.02</v>
      </c>
      <c r="AC153" s="26">
        <v>0.02</v>
      </c>
      <c r="AD153" s="26">
        <v>0.02</v>
      </c>
      <c r="AE153" s="26">
        <v>0.02</v>
      </c>
      <c r="AF153" s="26">
        <v>0.02</v>
      </c>
      <c r="AG153" s="26">
        <v>0.02</v>
      </c>
      <c r="AH153" s="26">
        <v>0.02</v>
      </c>
      <c r="AI153" s="26">
        <v>0.02</v>
      </c>
      <c r="AJ153" s="26">
        <v>0.02</v>
      </c>
      <c r="AK153" s="26">
        <v>0.02</v>
      </c>
      <c r="AL153" s="26">
        <v>0.02</v>
      </c>
      <c r="AM153" s="26">
        <v>0.02</v>
      </c>
      <c r="AN153" s="26">
        <v>0.02</v>
      </c>
      <c r="AO153" s="26">
        <v>0.02</v>
      </c>
      <c r="AP153" s="26">
        <v>0.02</v>
      </c>
      <c r="AQ153" s="26">
        <v>0.02</v>
      </c>
      <c r="AR153" s="26">
        <v>0.02</v>
      </c>
      <c r="AS153" s="26">
        <v>0.02</v>
      </c>
      <c r="AT153" s="26">
        <v>0.02</v>
      </c>
      <c r="AU153" s="26">
        <v>0.02</v>
      </c>
      <c r="AV153" s="26">
        <v>0.02</v>
      </c>
      <c r="AW153" s="26">
        <v>0.02</v>
      </c>
      <c r="AX153" s="26">
        <v>0.02</v>
      </c>
      <c r="AY153" s="26">
        <v>0.02</v>
      </c>
      <c r="AZ153" s="26">
        <v>0.02</v>
      </c>
      <c r="BA153" s="26">
        <v>0.02</v>
      </c>
      <c r="BB153" s="26">
        <v>0.02</v>
      </c>
      <c r="BC153" s="26">
        <v>0.02</v>
      </c>
      <c r="BD153" s="26">
        <v>0.02</v>
      </c>
      <c r="BE153" s="26">
        <v>0.02</v>
      </c>
    </row>
    <row r="154" spans="2:60" x14ac:dyDescent="0.35">
      <c r="B154" s="22" t="b">
        <v>1</v>
      </c>
      <c r="C154" s="22" t="str">
        <f t="shared" ref="C154:C166" si="4">D154&amp;"_"&amp;F154</f>
        <v>TX_Total RPS</v>
      </c>
      <c r="D154" s="51" t="s">
        <v>100</v>
      </c>
      <c r="E154" s="52" t="s">
        <v>254</v>
      </c>
      <c r="F154" s="11" t="s">
        <v>171</v>
      </c>
      <c r="G154" s="53">
        <v>0</v>
      </c>
      <c r="H154" s="53">
        <v>0</v>
      </c>
      <c r="I154" s="53">
        <v>1.6E-2</v>
      </c>
      <c r="J154" s="53">
        <v>1.67E-2</v>
      </c>
      <c r="K154" s="53">
        <v>1.6400000000000001E-2</v>
      </c>
      <c r="L154" s="53">
        <v>1.6899999999999998E-2</v>
      </c>
      <c r="M154" s="53">
        <v>1.6799999999999999E-2</v>
      </c>
      <c r="N154" s="53">
        <v>2.2499999999999999E-2</v>
      </c>
      <c r="O154" s="53">
        <v>2.5899999999999999E-2</v>
      </c>
      <c r="P154" s="53">
        <v>3.7600000000000001E-2</v>
      </c>
      <c r="Q154" s="53">
        <v>3.4099999999999998E-2</v>
      </c>
      <c r="R154" s="53">
        <v>4.1799999999999997E-2</v>
      </c>
      <c r="S154" s="53">
        <v>4.4600000000000001E-2</v>
      </c>
      <c r="T154" s="53">
        <v>5.4199999999999998E-2</v>
      </c>
      <c r="U154" s="53">
        <v>5.33E-2</v>
      </c>
      <c r="V154" s="53">
        <v>5.9299999999999999E-2</v>
      </c>
      <c r="W154" s="53">
        <v>6.0199999999999997E-2</v>
      </c>
      <c r="X154" s="53">
        <v>5.9700000000000003E-2</v>
      </c>
      <c r="Y154" s="53">
        <v>5.7000000000000002E-2</v>
      </c>
      <c r="Z154" s="53">
        <v>5.67E-2</v>
      </c>
      <c r="AA154" s="54">
        <v>5.6099999999999997E-2</v>
      </c>
      <c r="AB154" s="54">
        <v>5.4800000000000001E-2</v>
      </c>
      <c r="AC154" s="54">
        <v>5.0299999999999997E-2</v>
      </c>
      <c r="AD154" s="54">
        <v>5.1499999999999997E-2</v>
      </c>
      <c r="AE154" s="54">
        <v>5.0299999999999997E-2</v>
      </c>
      <c r="AF154" s="54">
        <v>5.0099999999999999E-2</v>
      </c>
      <c r="AG154" s="54">
        <v>4.9700000000000001E-2</v>
      </c>
      <c r="AH154" s="54">
        <v>4.9299999999999997E-2</v>
      </c>
      <c r="AI154" s="54">
        <v>4.87E-2</v>
      </c>
      <c r="AJ154" s="54">
        <v>4.82E-2</v>
      </c>
      <c r="AK154" s="54">
        <v>4.8000000000000001E-2</v>
      </c>
      <c r="AL154" s="54">
        <v>4.7699999999999999E-2</v>
      </c>
      <c r="AM154" s="54">
        <v>4.7199999999999999E-2</v>
      </c>
      <c r="AN154" s="54">
        <v>4.6899999999999997E-2</v>
      </c>
      <c r="AO154" s="54">
        <v>4.6600000000000003E-2</v>
      </c>
      <c r="AP154" s="54">
        <v>4.6199999999999998E-2</v>
      </c>
      <c r="AQ154" s="54">
        <v>4.5900000000000003E-2</v>
      </c>
      <c r="AR154" s="54">
        <v>4.5499999999999999E-2</v>
      </c>
      <c r="AS154" s="54">
        <v>4.5100000000000001E-2</v>
      </c>
      <c r="AT154" s="54">
        <v>4.4699999999999997E-2</v>
      </c>
      <c r="AU154" s="54">
        <v>4.4299999999999999E-2</v>
      </c>
      <c r="AV154" s="54">
        <v>4.3900000000000002E-2</v>
      </c>
      <c r="AW154" s="54">
        <v>4.36E-2</v>
      </c>
      <c r="AX154" s="54">
        <v>4.3299999999999998E-2</v>
      </c>
      <c r="AY154" s="54">
        <v>4.2999999999999997E-2</v>
      </c>
      <c r="AZ154" s="54">
        <v>4.2599999999999999E-2</v>
      </c>
      <c r="BA154" s="54">
        <v>4.2200000000000001E-2</v>
      </c>
      <c r="BB154" s="54">
        <v>4.1700000000000001E-2</v>
      </c>
      <c r="BC154" s="54">
        <v>4.1300000000000003E-2</v>
      </c>
      <c r="BD154" s="54">
        <v>4.1000000000000002E-2</v>
      </c>
      <c r="BE154" s="54">
        <v>4.0500000000000001E-2</v>
      </c>
    </row>
    <row r="155" spans="2:60" x14ac:dyDescent="0.35">
      <c r="B155" s="22" t="b">
        <v>1</v>
      </c>
      <c r="C155" s="22" t="str">
        <f t="shared" si="4"/>
        <v>VA_Total RPS</v>
      </c>
      <c r="D155" s="52" t="s">
        <v>103</v>
      </c>
      <c r="E155" s="52" t="s">
        <v>255</v>
      </c>
      <c r="F155" s="55" t="s">
        <v>171</v>
      </c>
      <c r="G155" s="53">
        <v>0</v>
      </c>
      <c r="H155" s="53">
        <v>0</v>
      </c>
      <c r="I155" s="53">
        <v>0</v>
      </c>
      <c r="J155" s="53">
        <v>0</v>
      </c>
      <c r="K155" s="53">
        <v>0</v>
      </c>
      <c r="L155" s="53">
        <v>0</v>
      </c>
      <c r="M155" s="53">
        <v>0</v>
      </c>
      <c r="N155" s="53">
        <v>0</v>
      </c>
      <c r="O155" s="53">
        <v>0</v>
      </c>
      <c r="P155" s="53">
        <v>0</v>
      </c>
      <c r="Q155" s="53">
        <v>0</v>
      </c>
      <c r="R155" s="53">
        <v>0</v>
      </c>
      <c r="S155" s="53">
        <v>0</v>
      </c>
      <c r="T155" s="53">
        <v>0</v>
      </c>
      <c r="U155" s="53">
        <v>0</v>
      </c>
      <c r="V155" s="53">
        <v>0</v>
      </c>
      <c r="W155" s="53">
        <v>0</v>
      </c>
      <c r="X155" s="53">
        <v>0</v>
      </c>
      <c r="Y155" s="53">
        <v>0</v>
      </c>
      <c r="Z155" s="53">
        <v>0</v>
      </c>
      <c r="AA155" s="54">
        <v>0</v>
      </c>
      <c r="AB155" s="54">
        <v>8.6499999999999994E-2</v>
      </c>
      <c r="AC155" s="54">
        <v>0.1075</v>
      </c>
      <c r="AD155" s="54">
        <v>0.12590000000000001</v>
      </c>
      <c r="AE155" s="54">
        <v>0.1459</v>
      </c>
      <c r="AF155" s="54">
        <v>0.16869999999999999</v>
      </c>
      <c r="AG155" s="54">
        <v>0.19059999999999999</v>
      </c>
      <c r="AH155" s="54">
        <v>0.2127</v>
      </c>
      <c r="AI155" s="54">
        <v>0.2366</v>
      </c>
      <c r="AJ155" s="54">
        <v>0.25919999999999999</v>
      </c>
      <c r="AK155" s="54">
        <v>0.28189999999999998</v>
      </c>
      <c r="AL155" s="54">
        <v>0.31059999999999999</v>
      </c>
      <c r="AM155" s="54">
        <v>0.33950000000000002</v>
      </c>
      <c r="AN155" s="54">
        <v>0.36220000000000002</v>
      </c>
      <c r="AO155" s="54">
        <v>0.3851</v>
      </c>
      <c r="AP155" s="54">
        <v>0.4143</v>
      </c>
      <c r="AQ155" s="54">
        <v>0.45050000000000001</v>
      </c>
      <c r="AR155" s="54">
        <v>0.4758</v>
      </c>
      <c r="AS155" s="54">
        <v>0.50660000000000005</v>
      </c>
      <c r="AT155" s="54">
        <v>0.53749999999999998</v>
      </c>
      <c r="AU155" s="54">
        <v>0.56879999999999997</v>
      </c>
      <c r="AV155" s="54">
        <v>0.59909999999999997</v>
      </c>
      <c r="AW155" s="54">
        <v>0.62970000000000004</v>
      </c>
      <c r="AX155" s="54">
        <v>0.66059999999999997</v>
      </c>
      <c r="AY155" s="54">
        <v>0.6915</v>
      </c>
      <c r="AZ155" s="54">
        <v>0.72860000000000003</v>
      </c>
      <c r="BA155" s="54">
        <v>0.73640000000000005</v>
      </c>
      <c r="BB155" s="54">
        <v>0.74419999999999997</v>
      </c>
      <c r="BC155" s="54">
        <v>0.75209999999999999</v>
      </c>
      <c r="BD155" s="54">
        <v>0.7601</v>
      </c>
      <c r="BE155" s="54">
        <v>0.76839999999999997</v>
      </c>
    </row>
    <row r="156" spans="2:60" x14ac:dyDescent="0.35">
      <c r="B156" s="22" t="b">
        <v>1</v>
      </c>
      <c r="C156" s="22" t="str">
        <f t="shared" si="4"/>
        <v>VA_   Appalachian RPS (% of non-nuclear)</v>
      </c>
      <c r="D156" s="56" t="s">
        <v>103</v>
      </c>
      <c r="E156" s="56"/>
      <c r="F156" s="55" t="s">
        <v>256</v>
      </c>
      <c r="G156" s="53">
        <v>0</v>
      </c>
      <c r="H156" s="53">
        <v>0</v>
      </c>
      <c r="I156" s="53">
        <v>0</v>
      </c>
      <c r="J156" s="53">
        <v>0</v>
      </c>
      <c r="K156" s="53">
        <v>0</v>
      </c>
      <c r="L156" s="53">
        <v>0</v>
      </c>
      <c r="M156" s="53">
        <v>0</v>
      </c>
      <c r="N156" s="53">
        <v>0</v>
      </c>
      <c r="O156" s="53">
        <v>0</v>
      </c>
      <c r="P156" s="53">
        <v>0</v>
      </c>
      <c r="Q156" s="53">
        <v>0</v>
      </c>
      <c r="R156" s="53">
        <v>0</v>
      </c>
      <c r="S156" s="53">
        <v>0</v>
      </c>
      <c r="T156" s="53">
        <v>0</v>
      </c>
      <c r="U156" s="53">
        <v>0</v>
      </c>
      <c r="V156" s="53">
        <v>0</v>
      </c>
      <c r="W156" s="53">
        <v>0</v>
      </c>
      <c r="X156" s="53">
        <v>0</v>
      </c>
      <c r="Y156" s="53">
        <v>0</v>
      </c>
      <c r="Z156" s="53">
        <v>0</v>
      </c>
      <c r="AA156" s="54">
        <v>0</v>
      </c>
      <c r="AB156" s="54">
        <v>5.5199999999999999E-2</v>
      </c>
      <c r="AC156" s="54">
        <v>6.4500000000000002E-2</v>
      </c>
      <c r="AD156" s="54">
        <v>7.3700000000000002E-2</v>
      </c>
      <c r="AE156" s="54">
        <v>9.2100000000000001E-2</v>
      </c>
      <c r="AF156" s="54">
        <v>0.129</v>
      </c>
      <c r="AG156" s="54">
        <v>0.15670000000000001</v>
      </c>
      <c r="AH156" s="54">
        <v>0.18440000000000001</v>
      </c>
      <c r="AI156" s="54">
        <v>0.2215</v>
      </c>
      <c r="AJ156" s="54">
        <v>0.24940000000000001</v>
      </c>
      <c r="AK156" s="54">
        <v>0.27739999999999998</v>
      </c>
      <c r="AL156" s="54">
        <v>0.30530000000000002</v>
      </c>
      <c r="AM156" s="54">
        <v>0.33329999999999999</v>
      </c>
      <c r="AN156" s="54">
        <v>0.36130000000000001</v>
      </c>
      <c r="AO156" s="54">
        <v>0.38929999999999998</v>
      </c>
      <c r="AP156" s="54">
        <v>0.4173</v>
      </c>
      <c r="AQ156" s="54">
        <v>0.49180000000000001</v>
      </c>
      <c r="AR156" s="54">
        <v>0.49209999999999998</v>
      </c>
      <c r="AS156" s="54">
        <v>0.52949999999999997</v>
      </c>
      <c r="AT156" s="54">
        <v>0.56699999999999995</v>
      </c>
      <c r="AU156" s="54">
        <v>0.60450000000000004</v>
      </c>
      <c r="AV156" s="54">
        <v>0.63290000000000002</v>
      </c>
      <c r="AW156" s="54">
        <v>0.6613</v>
      </c>
      <c r="AX156" s="54">
        <v>0.68969999999999998</v>
      </c>
      <c r="AY156" s="54">
        <v>0.71819999999999995</v>
      </c>
      <c r="AZ156" s="54">
        <v>0.74660000000000004</v>
      </c>
      <c r="BA156" s="54">
        <v>0.78449999999999998</v>
      </c>
      <c r="BB156" s="54">
        <v>0.82240000000000002</v>
      </c>
      <c r="BC156" s="54">
        <v>0.86040000000000005</v>
      </c>
      <c r="BD156" s="54">
        <v>0.89849999999999997</v>
      </c>
      <c r="BE156" s="54">
        <v>0.93669999999999998</v>
      </c>
    </row>
    <row r="157" spans="2:60" x14ac:dyDescent="0.35">
      <c r="B157" s="22" t="b">
        <v>1</v>
      </c>
      <c r="C157" s="22" t="str">
        <f t="shared" si="4"/>
        <v>VA_   Dominion RPS (% of non-nuclear)</v>
      </c>
      <c r="D157" s="56" t="s">
        <v>103</v>
      </c>
      <c r="E157" s="56"/>
      <c r="F157" s="55" t="s">
        <v>257</v>
      </c>
      <c r="G157" s="53">
        <v>0</v>
      </c>
      <c r="H157" s="53">
        <v>0</v>
      </c>
      <c r="I157" s="53">
        <v>0</v>
      </c>
      <c r="J157" s="53">
        <v>0</v>
      </c>
      <c r="K157" s="53">
        <v>0</v>
      </c>
      <c r="L157" s="53">
        <v>0</v>
      </c>
      <c r="M157" s="53">
        <v>0</v>
      </c>
      <c r="N157" s="53">
        <v>0</v>
      </c>
      <c r="O157" s="53">
        <v>0</v>
      </c>
      <c r="P157" s="53">
        <v>0</v>
      </c>
      <c r="Q157" s="53">
        <v>0</v>
      </c>
      <c r="R157" s="53">
        <v>0</v>
      </c>
      <c r="S157" s="53">
        <v>0</v>
      </c>
      <c r="T157" s="53">
        <v>0</v>
      </c>
      <c r="U157" s="53">
        <v>0</v>
      </c>
      <c r="V157" s="53">
        <v>0</v>
      </c>
      <c r="W157" s="53">
        <v>0</v>
      </c>
      <c r="X157" s="53">
        <v>0</v>
      </c>
      <c r="Y157" s="53">
        <v>0</v>
      </c>
      <c r="Z157" s="53">
        <v>0</v>
      </c>
      <c r="AA157" s="54">
        <v>0</v>
      </c>
      <c r="AB157" s="54">
        <v>9.2100000000000001E-2</v>
      </c>
      <c r="AC157" s="54">
        <v>0.115</v>
      </c>
      <c r="AD157" s="54">
        <v>0.13500000000000001</v>
      </c>
      <c r="AE157" s="54">
        <v>0.15509999999999999</v>
      </c>
      <c r="AF157" s="54">
        <v>0.17560000000000001</v>
      </c>
      <c r="AG157" s="54">
        <v>0.19650000000000001</v>
      </c>
      <c r="AH157" s="54">
        <v>0.21759999999999999</v>
      </c>
      <c r="AI157" s="54">
        <v>0.2392</v>
      </c>
      <c r="AJ157" s="54">
        <v>0.26090000000000002</v>
      </c>
      <c r="AK157" s="54">
        <v>0.28270000000000001</v>
      </c>
      <c r="AL157" s="54">
        <v>0.3115</v>
      </c>
      <c r="AM157" s="54">
        <v>0.34050000000000002</v>
      </c>
      <c r="AN157" s="54">
        <v>0.3624</v>
      </c>
      <c r="AO157" s="54">
        <v>0.38429999999999997</v>
      </c>
      <c r="AP157" s="54">
        <v>0.4138</v>
      </c>
      <c r="AQ157" s="54">
        <v>0.44330000000000003</v>
      </c>
      <c r="AR157" s="54">
        <v>0.47299999999999998</v>
      </c>
      <c r="AS157" s="54">
        <v>0.50260000000000005</v>
      </c>
      <c r="AT157" s="54">
        <v>0.53239999999999998</v>
      </c>
      <c r="AU157" s="54">
        <v>0.56259999999999999</v>
      </c>
      <c r="AV157" s="54">
        <v>0.59330000000000005</v>
      </c>
      <c r="AW157" s="54">
        <v>0.62429999999999997</v>
      </c>
      <c r="AX157" s="54">
        <v>0.65559999999999996</v>
      </c>
      <c r="AY157" s="54">
        <v>0.68689999999999996</v>
      </c>
      <c r="AZ157" s="54">
        <v>0.72550000000000003</v>
      </c>
      <c r="BA157" s="54">
        <v>0.72799999999999998</v>
      </c>
      <c r="BB157" s="54">
        <v>0.73070000000000002</v>
      </c>
      <c r="BC157" s="54">
        <v>0.73340000000000005</v>
      </c>
      <c r="BD157" s="54">
        <v>0.73619999999999997</v>
      </c>
      <c r="BE157" s="54">
        <v>0.73929999999999996</v>
      </c>
    </row>
    <row r="158" spans="2:60" x14ac:dyDescent="0.35">
      <c r="B158" s="22" t="b">
        <v>1</v>
      </c>
      <c r="C158" s="22" t="str">
        <f t="shared" si="4"/>
        <v>VA_   DG Carve-Out (Dominion)</v>
      </c>
      <c r="D158" s="56" t="s">
        <v>103</v>
      </c>
      <c r="E158" s="56"/>
      <c r="F158" s="55" t="s">
        <v>258</v>
      </c>
      <c r="G158" s="53">
        <v>0</v>
      </c>
      <c r="H158" s="53">
        <v>0</v>
      </c>
      <c r="I158" s="53">
        <v>0</v>
      </c>
      <c r="J158" s="53">
        <v>0</v>
      </c>
      <c r="K158" s="53">
        <v>0</v>
      </c>
      <c r="L158" s="53">
        <v>0</v>
      </c>
      <c r="M158" s="53">
        <v>0</v>
      </c>
      <c r="N158" s="53">
        <v>0</v>
      </c>
      <c r="O158" s="53">
        <v>0</v>
      </c>
      <c r="P158" s="53">
        <v>0</v>
      </c>
      <c r="Q158" s="53">
        <v>0</v>
      </c>
      <c r="R158" s="53">
        <v>0</v>
      </c>
      <c r="S158" s="53">
        <v>0</v>
      </c>
      <c r="T158" s="53">
        <v>0</v>
      </c>
      <c r="U158" s="53">
        <v>0</v>
      </c>
      <c r="V158" s="53">
        <v>0</v>
      </c>
      <c r="W158" s="53">
        <v>0</v>
      </c>
      <c r="X158" s="53">
        <v>0</v>
      </c>
      <c r="Y158" s="53">
        <v>0</v>
      </c>
      <c r="Z158" s="53">
        <v>0</v>
      </c>
      <c r="AA158" s="54">
        <v>0</v>
      </c>
      <c r="AB158" s="54">
        <v>1.4E-3</v>
      </c>
      <c r="AC158" s="54">
        <v>1.6999999999999999E-3</v>
      </c>
      <c r="AD158" s="54">
        <v>2E-3</v>
      </c>
      <c r="AE158" s="54">
        <v>2.3E-3</v>
      </c>
      <c r="AF158" s="54">
        <v>2.5999999999999999E-3</v>
      </c>
      <c r="AG158" s="54">
        <v>2.8999999999999998E-3</v>
      </c>
      <c r="AH158" s="54">
        <v>3.2000000000000002E-3</v>
      </c>
      <c r="AI158" s="54">
        <v>3.5000000000000001E-3</v>
      </c>
      <c r="AJ158" s="54">
        <v>3.8E-3</v>
      </c>
      <c r="AK158" s="54">
        <v>4.1000000000000003E-3</v>
      </c>
      <c r="AL158" s="54">
        <v>4.4999999999999997E-3</v>
      </c>
      <c r="AM158" s="54">
        <v>4.8999999999999998E-3</v>
      </c>
      <c r="AN158" s="54">
        <v>5.1999999999999998E-3</v>
      </c>
      <c r="AO158" s="54">
        <v>5.4999999999999997E-3</v>
      </c>
      <c r="AP158" s="54">
        <v>5.8999999999999999E-3</v>
      </c>
      <c r="AQ158" s="54">
        <v>6.3E-3</v>
      </c>
      <c r="AR158" s="54">
        <v>6.7000000000000002E-3</v>
      </c>
      <c r="AS158" s="54">
        <v>7.1000000000000004E-3</v>
      </c>
      <c r="AT158" s="54">
        <v>7.4999999999999997E-3</v>
      </c>
      <c r="AU158" s="54">
        <v>7.9000000000000008E-3</v>
      </c>
      <c r="AV158" s="54">
        <v>8.3000000000000001E-3</v>
      </c>
      <c r="AW158" s="54">
        <v>8.6999999999999994E-3</v>
      </c>
      <c r="AX158" s="54">
        <v>9.1000000000000004E-3</v>
      </c>
      <c r="AY158" s="54">
        <v>9.4999999999999998E-3</v>
      </c>
      <c r="AZ158" s="54">
        <v>0.01</v>
      </c>
      <c r="BA158" s="54">
        <v>0.01</v>
      </c>
      <c r="BB158" s="54">
        <v>0.01</v>
      </c>
      <c r="BC158" s="54">
        <v>0.01</v>
      </c>
      <c r="BD158" s="54">
        <v>0.01</v>
      </c>
      <c r="BE158" s="54">
        <v>0.01</v>
      </c>
    </row>
    <row r="159" spans="2:60" x14ac:dyDescent="0.35">
      <c r="B159" s="22" t="b">
        <v>1</v>
      </c>
      <c r="C159" s="22" t="str">
        <f t="shared" si="4"/>
        <v>VA_Total CES</v>
      </c>
      <c r="D159" s="56" t="s">
        <v>103</v>
      </c>
      <c r="E159" s="56"/>
      <c r="F159" s="55" t="s">
        <v>174</v>
      </c>
      <c r="G159" s="53">
        <v>0</v>
      </c>
      <c r="H159" s="53">
        <v>0</v>
      </c>
      <c r="I159" s="53">
        <v>0</v>
      </c>
      <c r="J159" s="53">
        <v>0</v>
      </c>
      <c r="K159" s="53">
        <v>0</v>
      </c>
      <c r="L159" s="53">
        <v>0</v>
      </c>
      <c r="M159" s="53">
        <v>0</v>
      </c>
      <c r="N159" s="53">
        <v>0</v>
      </c>
      <c r="O159" s="53">
        <v>0</v>
      </c>
      <c r="P159" s="53">
        <v>0</v>
      </c>
      <c r="Q159" s="53">
        <v>0</v>
      </c>
      <c r="R159" s="53">
        <v>0</v>
      </c>
      <c r="S159" s="53">
        <v>0</v>
      </c>
      <c r="T159" s="53">
        <v>0</v>
      </c>
      <c r="U159" s="53">
        <v>0</v>
      </c>
      <c r="V159" s="53">
        <v>0</v>
      </c>
      <c r="W159" s="53">
        <v>0</v>
      </c>
      <c r="X159" s="53">
        <v>0</v>
      </c>
      <c r="Y159" s="53">
        <v>0</v>
      </c>
      <c r="Z159" s="53">
        <v>0</v>
      </c>
      <c r="AA159" s="54">
        <v>0</v>
      </c>
      <c r="AB159" s="54">
        <v>0.3886</v>
      </c>
      <c r="AC159" s="54">
        <v>0.39510000000000001</v>
      </c>
      <c r="AD159" s="54">
        <v>0.4148</v>
      </c>
      <c r="AE159" s="54">
        <v>0.435</v>
      </c>
      <c r="AF159" s="54">
        <v>0.45710000000000001</v>
      </c>
      <c r="AG159" s="54">
        <v>0.47710000000000002</v>
      </c>
      <c r="AH159" s="54">
        <v>0.49709999999999999</v>
      </c>
      <c r="AI159" s="54">
        <v>0.51790000000000003</v>
      </c>
      <c r="AJ159" s="54">
        <v>0.53769999999999996</v>
      </c>
      <c r="AK159" s="54">
        <v>0.55779999999999996</v>
      </c>
      <c r="AL159" s="54">
        <v>0.58409999999999995</v>
      </c>
      <c r="AM159" s="54">
        <v>0.61050000000000004</v>
      </c>
      <c r="AN159" s="54">
        <v>0.63149999999999995</v>
      </c>
      <c r="AO159" s="54">
        <v>0.65269999999999995</v>
      </c>
      <c r="AP159" s="54">
        <v>0.67969999999999997</v>
      </c>
      <c r="AQ159" s="54">
        <v>0.7137</v>
      </c>
      <c r="AR159" s="54">
        <v>0.73709999999999998</v>
      </c>
      <c r="AS159" s="54">
        <v>0.7661</v>
      </c>
      <c r="AT159" s="54">
        <v>0.79530000000000001</v>
      </c>
      <c r="AU159" s="54">
        <v>0.82450000000000001</v>
      </c>
      <c r="AV159" s="54">
        <v>0.85250000000000004</v>
      </c>
      <c r="AW159" s="54">
        <v>0.88070000000000004</v>
      </c>
      <c r="AX159" s="54">
        <v>0.90900000000000003</v>
      </c>
      <c r="AY159" s="54">
        <v>0.93759999999999999</v>
      </c>
      <c r="AZ159" s="54">
        <v>0.97250000000000003</v>
      </c>
      <c r="BA159" s="54">
        <v>0.97799999999999998</v>
      </c>
      <c r="BB159" s="54">
        <v>0.98350000000000004</v>
      </c>
      <c r="BC159" s="54">
        <v>0.98899999999999999</v>
      </c>
      <c r="BD159" s="54">
        <v>0.99450000000000005</v>
      </c>
      <c r="BE159" s="54">
        <v>1</v>
      </c>
    </row>
    <row r="160" spans="2:60" x14ac:dyDescent="0.35">
      <c r="B160" s="22" t="b">
        <v>1</v>
      </c>
      <c r="C160" s="22" t="str">
        <f t="shared" si="4"/>
        <v>VA_   Appalachian Power</v>
      </c>
      <c r="D160" s="56" t="s">
        <v>103</v>
      </c>
      <c r="E160" s="56"/>
      <c r="F160" s="55" t="s">
        <v>259</v>
      </c>
      <c r="G160" s="53">
        <v>0</v>
      </c>
      <c r="H160" s="53">
        <v>0</v>
      </c>
      <c r="I160" s="53">
        <v>0</v>
      </c>
      <c r="J160" s="53">
        <v>0</v>
      </c>
      <c r="K160" s="53">
        <v>0</v>
      </c>
      <c r="L160" s="53">
        <v>0</v>
      </c>
      <c r="M160" s="53">
        <v>0</v>
      </c>
      <c r="N160" s="53">
        <v>0</v>
      </c>
      <c r="O160" s="53">
        <v>0</v>
      </c>
      <c r="P160" s="53">
        <v>0</v>
      </c>
      <c r="Q160" s="53">
        <v>0</v>
      </c>
      <c r="R160" s="53">
        <v>0</v>
      </c>
      <c r="S160" s="53">
        <v>0</v>
      </c>
      <c r="T160" s="53">
        <v>0</v>
      </c>
      <c r="U160" s="53">
        <v>0</v>
      </c>
      <c r="V160" s="53">
        <v>0</v>
      </c>
      <c r="W160" s="53">
        <v>0</v>
      </c>
      <c r="X160" s="53">
        <v>0</v>
      </c>
      <c r="Y160" s="53">
        <v>0</v>
      </c>
      <c r="Z160" s="53">
        <v>0</v>
      </c>
      <c r="AA160" s="54">
        <v>0</v>
      </c>
      <c r="AB160" s="54">
        <v>0.13489999999999999</v>
      </c>
      <c r="AC160" s="54">
        <v>0.1431</v>
      </c>
      <c r="AD160" s="54">
        <v>0.1527</v>
      </c>
      <c r="AE160" s="54">
        <v>0.17119999999999999</v>
      </c>
      <c r="AF160" s="54">
        <v>0.20780000000000001</v>
      </c>
      <c r="AG160" s="54">
        <v>0.23499999999999999</v>
      </c>
      <c r="AH160" s="54">
        <v>0.26219999999999999</v>
      </c>
      <c r="AI160" s="54">
        <v>0.29849999999999999</v>
      </c>
      <c r="AJ160" s="54">
        <v>0.3256</v>
      </c>
      <c r="AK160" s="54">
        <v>0.3528</v>
      </c>
      <c r="AL160" s="54">
        <v>0.38009999999999999</v>
      </c>
      <c r="AM160" s="54">
        <v>0.40739999999999998</v>
      </c>
      <c r="AN160" s="54">
        <v>0.43490000000000001</v>
      </c>
      <c r="AO160" s="54">
        <v>0.46239999999999998</v>
      </c>
      <c r="AP160" s="54">
        <v>0.4899</v>
      </c>
      <c r="AQ160" s="54">
        <v>0.56379999999999997</v>
      </c>
      <c r="AR160" s="54">
        <v>0.56359999999999999</v>
      </c>
      <c r="AS160" s="54">
        <v>0.60050000000000003</v>
      </c>
      <c r="AT160" s="54">
        <v>0.63749999999999996</v>
      </c>
      <c r="AU160" s="54">
        <v>0.67449999999999999</v>
      </c>
      <c r="AV160" s="54">
        <v>0.70220000000000005</v>
      </c>
      <c r="AW160" s="54">
        <v>0.72989999999999999</v>
      </c>
      <c r="AX160" s="54">
        <v>0.75770000000000004</v>
      </c>
      <c r="AY160" s="54">
        <v>0.78549999999999998</v>
      </c>
      <c r="AZ160" s="54">
        <v>0.81330000000000002</v>
      </c>
      <c r="BA160" s="54">
        <v>0.85060000000000002</v>
      </c>
      <c r="BB160" s="54">
        <v>0.88790000000000002</v>
      </c>
      <c r="BC160" s="54">
        <v>0.92520000000000002</v>
      </c>
      <c r="BD160" s="54">
        <v>0.96260000000000001</v>
      </c>
      <c r="BE160" s="54">
        <v>1</v>
      </c>
    </row>
    <row r="161" spans="2:57" x14ac:dyDescent="0.35">
      <c r="B161" s="22" t="b">
        <v>1</v>
      </c>
      <c r="C161" s="22" t="str">
        <f t="shared" si="4"/>
        <v>VA_   Dominion Power</v>
      </c>
      <c r="D161" s="57" t="s">
        <v>103</v>
      </c>
      <c r="E161" s="57"/>
      <c r="F161" s="55" t="s">
        <v>260</v>
      </c>
      <c r="G161" s="53">
        <v>0</v>
      </c>
      <c r="H161" s="53">
        <v>0</v>
      </c>
      <c r="I161" s="53">
        <v>0</v>
      </c>
      <c r="J161" s="53">
        <v>0</v>
      </c>
      <c r="K161" s="53">
        <v>0</v>
      </c>
      <c r="L161" s="53">
        <v>0</v>
      </c>
      <c r="M161" s="53">
        <v>0</v>
      </c>
      <c r="N161" s="53">
        <v>0</v>
      </c>
      <c r="O161" s="53">
        <v>0</v>
      </c>
      <c r="P161" s="53">
        <v>0</v>
      </c>
      <c r="Q161" s="53">
        <v>0</v>
      </c>
      <c r="R161" s="53">
        <v>0</v>
      </c>
      <c r="S161" s="53">
        <v>0</v>
      </c>
      <c r="T161" s="53">
        <v>0</v>
      </c>
      <c r="U161" s="53">
        <v>0</v>
      </c>
      <c r="V161" s="53">
        <v>0</v>
      </c>
      <c r="W161" s="53">
        <v>0</v>
      </c>
      <c r="X161" s="53">
        <v>0</v>
      </c>
      <c r="Y161" s="53">
        <v>0</v>
      </c>
      <c r="Z161" s="53">
        <v>0</v>
      </c>
      <c r="AA161" s="54">
        <v>0</v>
      </c>
      <c r="AB161" s="54">
        <v>0.43430000000000002</v>
      </c>
      <c r="AC161" s="54">
        <v>0.43859999999999999</v>
      </c>
      <c r="AD161" s="54">
        <v>0.46010000000000001</v>
      </c>
      <c r="AE161" s="54">
        <v>0.48060000000000003</v>
      </c>
      <c r="AF161" s="54">
        <v>0.50019999999999998</v>
      </c>
      <c r="AG161" s="54">
        <v>0.51900000000000002</v>
      </c>
      <c r="AH161" s="54">
        <v>0.53769999999999996</v>
      </c>
      <c r="AI161" s="54">
        <v>0.55569999999999997</v>
      </c>
      <c r="AJ161" s="54">
        <v>0.57430000000000003</v>
      </c>
      <c r="AK161" s="54">
        <v>0.59319999999999995</v>
      </c>
      <c r="AL161" s="54">
        <v>0.61929999999999996</v>
      </c>
      <c r="AM161" s="54">
        <v>0.64559999999999995</v>
      </c>
      <c r="AN161" s="54">
        <v>0.66549999999999998</v>
      </c>
      <c r="AO161" s="54">
        <v>0.6855</v>
      </c>
      <c r="AP161" s="54">
        <v>0.71250000000000002</v>
      </c>
      <c r="AQ161" s="54">
        <v>0.73960000000000004</v>
      </c>
      <c r="AR161" s="54">
        <v>0.76700000000000002</v>
      </c>
      <c r="AS161" s="54">
        <v>0.79469999999999996</v>
      </c>
      <c r="AT161" s="54">
        <v>0.82250000000000001</v>
      </c>
      <c r="AU161" s="54">
        <v>0.85040000000000004</v>
      </c>
      <c r="AV161" s="54">
        <v>0.87849999999999995</v>
      </c>
      <c r="AW161" s="54">
        <v>0.90669999999999995</v>
      </c>
      <c r="AX161" s="54">
        <v>0.93520000000000003</v>
      </c>
      <c r="AY161" s="54">
        <v>0.96379999999999999</v>
      </c>
      <c r="AZ161" s="54">
        <v>1</v>
      </c>
      <c r="BA161" s="54">
        <v>1</v>
      </c>
      <c r="BB161" s="54">
        <v>1</v>
      </c>
      <c r="BC161" s="54">
        <v>1</v>
      </c>
      <c r="BD161" s="54">
        <v>1</v>
      </c>
      <c r="BE161" s="54">
        <v>1</v>
      </c>
    </row>
    <row r="162" spans="2:57" x14ac:dyDescent="0.35">
      <c r="B162" s="22" t="b">
        <v>1</v>
      </c>
      <c r="C162" s="22" t="str">
        <f t="shared" si="4"/>
        <v>VT_Total RPS</v>
      </c>
      <c r="D162" s="58" t="s">
        <v>107</v>
      </c>
      <c r="E162" s="56" t="s">
        <v>182</v>
      </c>
      <c r="F162" s="57" t="s">
        <v>171</v>
      </c>
      <c r="G162" s="53">
        <v>0</v>
      </c>
      <c r="H162" s="53">
        <v>0</v>
      </c>
      <c r="I162" s="53">
        <v>0</v>
      </c>
      <c r="J162" s="53">
        <v>0</v>
      </c>
      <c r="K162" s="53">
        <v>0</v>
      </c>
      <c r="L162" s="53">
        <v>0</v>
      </c>
      <c r="M162" s="53">
        <v>0</v>
      </c>
      <c r="N162" s="53">
        <v>0</v>
      </c>
      <c r="O162" s="53">
        <v>0</v>
      </c>
      <c r="P162" s="53">
        <v>0</v>
      </c>
      <c r="Q162" s="53">
        <v>0</v>
      </c>
      <c r="R162" s="53">
        <v>0</v>
      </c>
      <c r="S162" s="53">
        <v>0</v>
      </c>
      <c r="T162" s="53">
        <v>0</v>
      </c>
      <c r="U162" s="53">
        <v>0</v>
      </c>
      <c r="V162" s="53">
        <v>0</v>
      </c>
      <c r="W162" s="53">
        <v>0</v>
      </c>
      <c r="X162" s="53">
        <v>0.55000000000000004</v>
      </c>
      <c r="Y162" s="53">
        <v>0.55000000000000004</v>
      </c>
      <c r="Z162" s="53">
        <v>0.55000000000000004</v>
      </c>
      <c r="AA162" s="54">
        <v>0.59</v>
      </c>
      <c r="AB162" s="54">
        <v>0.59</v>
      </c>
      <c r="AC162" s="54">
        <v>0.59</v>
      </c>
      <c r="AD162" s="54">
        <v>0.63</v>
      </c>
      <c r="AE162" s="54">
        <v>0.63</v>
      </c>
      <c r="AF162" s="54">
        <v>0.63</v>
      </c>
      <c r="AG162" s="54">
        <v>0.67</v>
      </c>
      <c r="AH162" s="54">
        <v>0.6724</v>
      </c>
      <c r="AI162" s="54">
        <v>0.67469999999999997</v>
      </c>
      <c r="AJ162" s="54">
        <v>0.7147</v>
      </c>
      <c r="AK162" s="54">
        <v>0.99</v>
      </c>
      <c r="AL162" s="54">
        <v>0.99229999999999996</v>
      </c>
      <c r="AM162" s="54">
        <v>0.99470000000000003</v>
      </c>
      <c r="AN162" s="54">
        <v>0.997</v>
      </c>
      <c r="AO162" s="54">
        <v>1</v>
      </c>
      <c r="AP162" s="54">
        <v>1</v>
      </c>
      <c r="AQ162" s="54">
        <v>1</v>
      </c>
      <c r="AR162" s="54">
        <v>1</v>
      </c>
      <c r="AS162" s="54">
        <v>1</v>
      </c>
      <c r="AT162" s="54">
        <v>1</v>
      </c>
      <c r="AU162" s="54">
        <v>1</v>
      </c>
      <c r="AV162" s="54">
        <v>1</v>
      </c>
      <c r="AW162" s="54">
        <v>1</v>
      </c>
      <c r="AX162" s="54">
        <v>1</v>
      </c>
      <c r="AY162" s="54">
        <v>1</v>
      </c>
      <c r="AZ162" s="54">
        <v>1</v>
      </c>
      <c r="BA162" s="54">
        <v>1</v>
      </c>
      <c r="BB162" s="54">
        <v>1</v>
      </c>
      <c r="BC162" s="54">
        <v>1</v>
      </c>
      <c r="BD162" s="54">
        <v>1</v>
      </c>
      <c r="BE162" s="54">
        <v>1</v>
      </c>
    </row>
    <row r="163" spans="2:57" x14ac:dyDescent="0.35">
      <c r="B163" s="22" t="b">
        <v>1</v>
      </c>
      <c r="C163" s="22" t="str">
        <f t="shared" si="4"/>
        <v>VT_   DG Carve-Out (Wtd. Avg.)</v>
      </c>
      <c r="D163" s="58" t="s">
        <v>107</v>
      </c>
      <c r="E163" s="56"/>
      <c r="F163" s="52" t="s">
        <v>261</v>
      </c>
      <c r="H163" s="53">
        <v>0</v>
      </c>
      <c r="I163" s="53">
        <v>0</v>
      </c>
      <c r="J163" s="53">
        <v>0</v>
      </c>
      <c r="K163" s="53">
        <v>0</v>
      </c>
      <c r="L163" s="53">
        <v>0</v>
      </c>
      <c r="M163" s="53">
        <v>0</v>
      </c>
      <c r="N163" s="53">
        <v>0</v>
      </c>
      <c r="O163" s="53">
        <v>0</v>
      </c>
      <c r="P163" s="53">
        <v>0</v>
      </c>
      <c r="Q163" s="53">
        <v>0</v>
      </c>
      <c r="R163" s="53">
        <v>0</v>
      </c>
      <c r="S163" s="53">
        <v>0</v>
      </c>
      <c r="T163" s="53">
        <v>0</v>
      </c>
      <c r="U163" s="53">
        <v>0</v>
      </c>
      <c r="V163" s="53">
        <v>0</v>
      </c>
      <c r="W163" s="53">
        <v>0</v>
      </c>
      <c r="X163" s="53">
        <v>0.01</v>
      </c>
      <c r="Y163" s="53">
        <v>1.6E-2</v>
      </c>
      <c r="Z163" s="53">
        <v>2.1999999999999999E-2</v>
      </c>
      <c r="AA163" s="54">
        <v>2.8000000000000001E-2</v>
      </c>
      <c r="AB163" s="54">
        <v>3.4000000000000002E-2</v>
      </c>
      <c r="AC163" s="54">
        <v>0.04</v>
      </c>
      <c r="AD163" s="54">
        <v>4.5999999999999999E-2</v>
      </c>
      <c r="AE163" s="54">
        <v>5.1999999999999998E-2</v>
      </c>
      <c r="AF163" s="54">
        <v>5.8000000000000003E-2</v>
      </c>
      <c r="AG163" s="54">
        <v>7.7700000000000005E-2</v>
      </c>
      <c r="AH163" s="54">
        <v>9.74E-2</v>
      </c>
      <c r="AI163" s="54">
        <v>0.1171</v>
      </c>
      <c r="AJ163" s="54">
        <v>0.1368</v>
      </c>
      <c r="AK163" s="54">
        <v>0.1565</v>
      </c>
      <c r="AL163" s="54">
        <v>0.1762</v>
      </c>
      <c r="AM163" s="54">
        <v>0.1978</v>
      </c>
      <c r="AN163" s="54">
        <v>0.19869999999999999</v>
      </c>
      <c r="AO163" s="54">
        <v>0.1996</v>
      </c>
      <c r="AP163" s="54">
        <v>0.2</v>
      </c>
      <c r="AQ163" s="54">
        <v>0.2</v>
      </c>
      <c r="AR163" s="54">
        <v>0.2</v>
      </c>
      <c r="AS163" s="54">
        <v>0.2</v>
      </c>
      <c r="AT163" s="54">
        <v>0.2</v>
      </c>
      <c r="AU163" s="54">
        <v>0.2</v>
      </c>
      <c r="AV163" s="54">
        <v>0.2</v>
      </c>
      <c r="AW163" s="54">
        <v>0.2</v>
      </c>
      <c r="AX163" s="54">
        <v>0.2</v>
      </c>
      <c r="AY163" s="54">
        <v>0.2</v>
      </c>
      <c r="AZ163" s="54">
        <v>0.2</v>
      </c>
      <c r="BA163" s="54">
        <v>0.2</v>
      </c>
      <c r="BB163" s="54">
        <v>0.2</v>
      </c>
      <c r="BC163" s="54">
        <v>0.2</v>
      </c>
      <c r="BD163" s="54">
        <v>0.2</v>
      </c>
      <c r="BE163" s="54">
        <v>0.2</v>
      </c>
    </row>
    <row r="164" spans="2:57" x14ac:dyDescent="0.35">
      <c r="B164" s="22" t="b">
        <v>1</v>
      </c>
      <c r="C164" s="22" t="str">
        <f t="shared" si="4"/>
        <v>WA_Total RPS</v>
      </c>
      <c r="D164" s="59" t="s">
        <v>110</v>
      </c>
      <c r="E164" s="52" t="s">
        <v>182</v>
      </c>
      <c r="F164" s="60" t="s">
        <v>171</v>
      </c>
      <c r="G164" s="53">
        <v>0</v>
      </c>
      <c r="H164" s="53">
        <v>0</v>
      </c>
      <c r="I164" s="53">
        <v>0</v>
      </c>
      <c r="J164" s="53">
        <v>0</v>
      </c>
      <c r="K164" s="53">
        <v>0</v>
      </c>
      <c r="L164" s="53">
        <v>0</v>
      </c>
      <c r="M164" s="53">
        <v>0</v>
      </c>
      <c r="N164" s="53">
        <v>0</v>
      </c>
      <c r="O164" s="53">
        <v>0</v>
      </c>
      <c r="P164" s="53">
        <v>0</v>
      </c>
      <c r="Q164" s="53">
        <v>0</v>
      </c>
      <c r="R164" s="53">
        <v>0</v>
      </c>
      <c r="S164" s="53">
        <v>0.03</v>
      </c>
      <c r="T164" s="53">
        <v>0.03</v>
      </c>
      <c r="U164" s="53">
        <v>0.03</v>
      </c>
      <c r="V164" s="53">
        <v>0.03</v>
      </c>
      <c r="W164" s="53">
        <v>0.09</v>
      </c>
      <c r="X164" s="53">
        <v>0.09</v>
      </c>
      <c r="Y164" s="53">
        <v>0.09</v>
      </c>
      <c r="Z164" s="53">
        <v>0.09</v>
      </c>
      <c r="AA164" s="54">
        <v>0.15</v>
      </c>
      <c r="AB164" s="54">
        <v>0.15</v>
      </c>
      <c r="AC164" s="54">
        <v>0.15</v>
      </c>
      <c r="AD164" s="54">
        <v>0.15</v>
      </c>
      <c r="AE164" s="54">
        <v>0.15</v>
      </c>
      <c r="AF164" s="54">
        <v>0.15</v>
      </c>
      <c r="AG164" s="54">
        <v>0.15</v>
      </c>
      <c r="AH164" s="54">
        <v>0.15</v>
      </c>
      <c r="AI164" s="54">
        <v>0.15</v>
      </c>
      <c r="AJ164" s="54">
        <v>0.15</v>
      </c>
      <c r="AK164" s="54">
        <v>0.15</v>
      </c>
      <c r="AL164" s="54">
        <v>0.15</v>
      </c>
      <c r="AM164" s="54">
        <v>0.15</v>
      </c>
      <c r="AN164" s="54">
        <v>0.15</v>
      </c>
      <c r="AO164" s="54">
        <v>0.15</v>
      </c>
      <c r="AP164" s="54">
        <v>0.15</v>
      </c>
      <c r="AQ164" s="54">
        <v>0.15</v>
      </c>
      <c r="AR164" s="54">
        <v>0.15</v>
      </c>
      <c r="AS164" s="54">
        <v>0.15</v>
      </c>
      <c r="AT164" s="54">
        <v>0.15</v>
      </c>
      <c r="AU164" s="54">
        <v>0.15</v>
      </c>
      <c r="AV164" s="54">
        <v>0.15</v>
      </c>
      <c r="AW164" s="54">
        <v>0.15</v>
      </c>
      <c r="AX164" s="54">
        <v>0.15</v>
      </c>
      <c r="AY164" s="54">
        <v>0.15</v>
      </c>
      <c r="AZ164" s="54">
        <v>0.15</v>
      </c>
      <c r="BA164" s="54">
        <v>0.15</v>
      </c>
      <c r="BB164" s="54">
        <v>0.15</v>
      </c>
      <c r="BC164" s="54">
        <v>0.15</v>
      </c>
      <c r="BD164" s="54">
        <v>0.15</v>
      </c>
      <c r="BE164" s="54">
        <v>0.15</v>
      </c>
    </row>
    <row r="165" spans="2:57" x14ac:dyDescent="0.35">
      <c r="B165" s="22" t="b">
        <v>1</v>
      </c>
      <c r="C165" s="22" t="str">
        <f t="shared" si="4"/>
        <v>WA_Total CES</v>
      </c>
      <c r="D165" s="61" t="s">
        <v>110</v>
      </c>
      <c r="E165" s="57"/>
      <c r="F165" s="60" t="s">
        <v>174</v>
      </c>
      <c r="G165" s="53">
        <v>0</v>
      </c>
      <c r="H165" s="53">
        <v>0</v>
      </c>
      <c r="I165" s="53">
        <v>0</v>
      </c>
      <c r="J165" s="53">
        <v>0</v>
      </c>
      <c r="K165" s="53">
        <v>0</v>
      </c>
      <c r="L165" s="53">
        <v>0</v>
      </c>
      <c r="M165" s="53">
        <v>0</v>
      </c>
      <c r="N165" s="53">
        <v>0</v>
      </c>
      <c r="O165" s="53">
        <v>0</v>
      </c>
      <c r="P165" s="53">
        <v>0</v>
      </c>
      <c r="Q165" s="53">
        <v>0</v>
      </c>
      <c r="R165" s="53">
        <v>0</v>
      </c>
      <c r="S165" s="53">
        <v>0</v>
      </c>
      <c r="T165" s="53">
        <v>0</v>
      </c>
      <c r="U165" s="53">
        <v>0</v>
      </c>
      <c r="V165" s="53">
        <v>0</v>
      </c>
      <c r="W165" s="53">
        <v>0</v>
      </c>
      <c r="X165" s="53">
        <v>0</v>
      </c>
      <c r="Y165" s="53">
        <v>0</v>
      </c>
      <c r="Z165" s="53">
        <v>0</v>
      </c>
      <c r="AA165" s="54">
        <v>0</v>
      </c>
      <c r="AB165" s="54">
        <v>0</v>
      </c>
      <c r="AC165" s="54">
        <v>0</v>
      </c>
      <c r="AD165" s="54">
        <v>0</v>
      </c>
      <c r="AE165" s="54">
        <v>0</v>
      </c>
      <c r="AF165" s="54">
        <v>0</v>
      </c>
      <c r="AG165" s="54">
        <v>0</v>
      </c>
      <c r="AH165" s="54">
        <v>0</v>
      </c>
      <c r="AI165" s="54">
        <v>0</v>
      </c>
      <c r="AJ165" s="54">
        <v>0</v>
      </c>
      <c r="AK165" s="54">
        <v>1</v>
      </c>
      <c r="AL165" s="54">
        <v>1</v>
      </c>
      <c r="AM165" s="54">
        <v>1</v>
      </c>
      <c r="AN165" s="54">
        <v>1</v>
      </c>
      <c r="AO165" s="54">
        <v>1</v>
      </c>
      <c r="AP165" s="54">
        <v>1</v>
      </c>
      <c r="AQ165" s="54">
        <v>1</v>
      </c>
      <c r="AR165" s="54">
        <v>1</v>
      </c>
      <c r="AS165" s="54">
        <v>1</v>
      </c>
      <c r="AT165" s="54">
        <v>1</v>
      </c>
      <c r="AU165" s="54">
        <v>1</v>
      </c>
      <c r="AV165" s="54">
        <v>1</v>
      </c>
      <c r="AW165" s="54">
        <v>1</v>
      </c>
      <c r="AX165" s="54">
        <v>1</v>
      </c>
      <c r="AY165" s="54">
        <v>1</v>
      </c>
      <c r="AZ165" s="54">
        <v>1</v>
      </c>
      <c r="BA165" s="54">
        <v>1</v>
      </c>
      <c r="BB165" s="54">
        <v>1</v>
      </c>
      <c r="BC165" s="54">
        <v>1</v>
      </c>
      <c r="BD165" s="54">
        <v>1</v>
      </c>
      <c r="BE165" s="54">
        <v>1</v>
      </c>
    </row>
    <row r="166" spans="2:57" x14ac:dyDescent="0.35">
      <c r="B166" s="22" t="b">
        <v>1</v>
      </c>
      <c r="C166" s="22" t="str">
        <f t="shared" si="4"/>
        <v>WI_Total RPS</v>
      </c>
      <c r="D166" s="55" t="s">
        <v>114</v>
      </c>
      <c r="E166" s="55" t="s">
        <v>182</v>
      </c>
      <c r="F166" s="57" t="s">
        <v>171</v>
      </c>
      <c r="G166" s="53">
        <v>0</v>
      </c>
      <c r="H166" s="53">
        <v>0</v>
      </c>
      <c r="I166" s="53">
        <v>0</v>
      </c>
      <c r="J166" s="53">
        <v>0</v>
      </c>
      <c r="K166" s="53">
        <v>0</v>
      </c>
      <c r="L166" s="53">
        <v>0</v>
      </c>
      <c r="M166" s="53">
        <v>0.04</v>
      </c>
      <c r="N166" s="53">
        <v>0.04</v>
      </c>
      <c r="O166" s="53">
        <v>0.04</v>
      </c>
      <c r="P166" s="53">
        <v>0.04</v>
      </c>
      <c r="Q166" s="53">
        <v>0.06</v>
      </c>
      <c r="R166" s="53">
        <v>0.06</v>
      </c>
      <c r="S166" s="53">
        <v>0.06</v>
      </c>
      <c r="T166" s="53">
        <v>0.06</v>
      </c>
      <c r="U166" s="53">
        <v>0.06</v>
      </c>
      <c r="V166" s="53">
        <v>0.1</v>
      </c>
      <c r="W166" s="53">
        <v>0.1</v>
      </c>
      <c r="X166" s="53">
        <v>0.1</v>
      </c>
      <c r="Y166" s="53">
        <v>0.1</v>
      </c>
      <c r="Z166" s="53">
        <v>0.1</v>
      </c>
      <c r="AA166" s="54">
        <v>0.1</v>
      </c>
      <c r="AB166" s="54">
        <v>0.1</v>
      </c>
      <c r="AC166" s="54">
        <v>0.1</v>
      </c>
      <c r="AD166" s="54">
        <v>0.1</v>
      </c>
      <c r="AE166" s="54">
        <v>0.1</v>
      </c>
      <c r="AF166" s="54">
        <v>0.1</v>
      </c>
      <c r="AG166" s="54">
        <v>0.1</v>
      </c>
      <c r="AH166" s="54">
        <v>0.1</v>
      </c>
      <c r="AI166" s="54">
        <v>0.1</v>
      </c>
      <c r="AJ166" s="54">
        <v>0.1</v>
      </c>
      <c r="AK166" s="54">
        <v>0.1</v>
      </c>
      <c r="AL166" s="54">
        <v>0.1</v>
      </c>
      <c r="AM166" s="54">
        <v>0.1</v>
      </c>
      <c r="AN166" s="54">
        <v>0.1</v>
      </c>
      <c r="AO166" s="54">
        <v>0.1</v>
      </c>
      <c r="AP166" s="54">
        <v>0.1</v>
      </c>
      <c r="AQ166" s="54">
        <v>0.1</v>
      </c>
      <c r="AR166" s="54">
        <v>0.1</v>
      </c>
      <c r="AS166" s="54">
        <v>0.1</v>
      </c>
      <c r="AT166" s="54">
        <v>0.1</v>
      </c>
      <c r="AU166" s="54">
        <v>0.1</v>
      </c>
      <c r="AV166" s="54">
        <v>0.1</v>
      </c>
      <c r="AW166" s="54">
        <v>0.1</v>
      </c>
      <c r="AX166" s="54">
        <v>0.1</v>
      </c>
      <c r="AY166" s="54">
        <v>0.1</v>
      </c>
      <c r="AZ166" s="54">
        <v>0.1</v>
      </c>
      <c r="BA166" s="54">
        <v>0.1</v>
      </c>
      <c r="BB166" s="54">
        <v>0.1</v>
      </c>
      <c r="BC166" s="54">
        <v>0.1</v>
      </c>
      <c r="BD166" s="54">
        <v>0.1</v>
      </c>
      <c r="BE166" s="54">
        <v>0.1</v>
      </c>
    </row>
  </sheetData>
  <conditionalFormatting sqref="C1:C1048576">
    <cfRule type="containsText" dxfId="2" priority="1" operator="containsText" text="total ces">
      <formula>NOT(ISERROR(SEARCH("total ces",C1)))</formula>
    </cfRule>
    <cfRule type="containsText" dxfId="1" priority="2" operator="containsText" text="total rps">
      <formula>NOT(ISERROR(SEARCH("total rps",C1)))</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54"/>
  <sheetViews>
    <sheetView zoomScaleNormal="100" workbookViewId="0">
      <selection activeCell="L56" sqref="L56"/>
    </sheetView>
  </sheetViews>
  <sheetFormatPr defaultRowHeight="14.25" x14ac:dyDescent="0.45"/>
  <cols>
    <col min="1" max="1" width="11.3984375" customWidth="1"/>
    <col min="2" max="2" width="12" customWidth="1"/>
    <col min="5" max="5" width="9.1328125" customWidth="1"/>
    <col min="8" max="8" width="18.3984375" customWidth="1"/>
    <col min="10" max="10" width="9.1328125" customWidth="1"/>
  </cols>
  <sheetData>
    <row r="1" spans="1:9" x14ac:dyDescent="0.45">
      <c r="C1" s="1" t="s">
        <v>262</v>
      </c>
    </row>
    <row r="2" spans="1:9" x14ac:dyDescent="0.45">
      <c r="A2" s="1" t="s">
        <v>10</v>
      </c>
      <c r="B2" s="1" t="s">
        <v>263</v>
      </c>
      <c r="C2" s="1" t="s">
        <v>264</v>
      </c>
      <c r="D2" s="1" t="s">
        <v>11</v>
      </c>
      <c r="E2" s="1" t="s">
        <v>265</v>
      </c>
      <c r="F2" s="62" t="s">
        <v>266</v>
      </c>
      <c r="G2" s="62" t="s">
        <v>267</v>
      </c>
      <c r="H2" s="62" t="s">
        <v>268</v>
      </c>
      <c r="I2" s="62" t="s">
        <v>269</v>
      </c>
    </row>
    <row r="3" spans="1:9" x14ac:dyDescent="0.45">
      <c r="A3" s="3" t="s">
        <v>1</v>
      </c>
      <c r="B3" s="36" t="s">
        <v>2</v>
      </c>
      <c r="C3">
        <v>0</v>
      </c>
      <c r="D3" t="s">
        <v>270</v>
      </c>
      <c r="I3">
        <v>2023</v>
      </c>
    </row>
    <row r="4" spans="1:9" x14ac:dyDescent="0.45">
      <c r="A4" s="3" t="s">
        <v>3</v>
      </c>
      <c r="B4" s="36" t="s">
        <v>4</v>
      </c>
      <c r="C4">
        <v>0</v>
      </c>
      <c r="D4" t="s">
        <v>270</v>
      </c>
      <c r="I4">
        <v>2023</v>
      </c>
    </row>
    <row r="5" spans="1:9" x14ac:dyDescent="0.45">
      <c r="A5" s="3" t="s">
        <v>5</v>
      </c>
      <c r="B5" s="36" t="s">
        <v>6</v>
      </c>
      <c r="C5">
        <v>0</v>
      </c>
      <c r="I5">
        <v>2023</v>
      </c>
    </row>
    <row r="6" spans="1:9" x14ac:dyDescent="0.45">
      <c r="A6" s="3" t="s">
        <v>8</v>
      </c>
      <c r="B6" s="36" t="s">
        <v>9</v>
      </c>
      <c r="C6">
        <v>0</v>
      </c>
      <c r="D6" t="s">
        <v>270</v>
      </c>
      <c r="I6">
        <v>2023</v>
      </c>
    </row>
    <row r="7" spans="1:9" x14ac:dyDescent="0.45">
      <c r="A7" s="3" t="s">
        <v>12</v>
      </c>
      <c r="B7" s="36" t="s">
        <v>13</v>
      </c>
      <c r="C7">
        <v>0</v>
      </c>
      <c r="E7" s="40" t="s">
        <v>271</v>
      </c>
      <c r="I7">
        <v>2023</v>
      </c>
    </row>
    <row r="8" spans="1:9" x14ac:dyDescent="0.45">
      <c r="A8" s="3" t="s">
        <v>15</v>
      </c>
      <c r="B8" s="36" t="s">
        <v>16</v>
      </c>
      <c r="C8">
        <v>0</v>
      </c>
      <c r="I8">
        <v>2023</v>
      </c>
    </row>
    <row r="9" spans="1:9" x14ac:dyDescent="0.45">
      <c r="A9" s="3" t="s">
        <v>18</v>
      </c>
      <c r="B9" s="36" t="s">
        <v>19</v>
      </c>
      <c r="C9">
        <v>40</v>
      </c>
      <c r="D9" t="s">
        <v>272</v>
      </c>
      <c r="F9" t="s">
        <v>273</v>
      </c>
      <c r="G9" t="s">
        <v>274</v>
      </c>
      <c r="H9" t="s">
        <v>275</v>
      </c>
      <c r="I9">
        <v>2023</v>
      </c>
    </row>
    <row r="10" spans="1:9" x14ac:dyDescent="0.45">
      <c r="A10" s="3" t="s">
        <v>21</v>
      </c>
      <c r="B10" s="36" t="s">
        <v>22</v>
      </c>
      <c r="C10">
        <v>25</v>
      </c>
      <c r="D10" t="s">
        <v>276</v>
      </c>
      <c r="F10" t="s">
        <v>277</v>
      </c>
      <c r="G10" t="s">
        <v>278</v>
      </c>
      <c r="H10" t="s">
        <v>275</v>
      </c>
      <c r="I10">
        <v>2023</v>
      </c>
    </row>
    <row r="11" spans="1:9" x14ac:dyDescent="0.45">
      <c r="A11" s="3" t="s">
        <v>24</v>
      </c>
      <c r="B11" s="36" t="s">
        <v>25</v>
      </c>
      <c r="C11">
        <v>0</v>
      </c>
      <c r="D11" t="s">
        <v>270</v>
      </c>
      <c r="I11">
        <v>2023</v>
      </c>
    </row>
    <row r="12" spans="1:9" x14ac:dyDescent="0.45">
      <c r="A12" s="3" t="s">
        <v>27</v>
      </c>
      <c r="B12" s="36" t="s">
        <v>28</v>
      </c>
      <c r="C12">
        <v>0</v>
      </c>
      <c r="D12" t="s">
        <v>270</v>
      </c>
      <c r="I12">
        <v>2023</v>
      </c>
    </row>
    <row r="13" spans="1:9" x14ac:dyDescent="0.45">
      <c r="A13" s="3" t="s">
        <v>31</v>
      </c>
      <c r="B13" s="36" t="s">
        <v>29</v>
      </c>
      <c r="C13">
        <v>0</v>
      </c>
      <c r="I13">
        <v>2023</v>
      </c>
    </row>
    <row r="14" spans="1:9" x14ac:dyDescent="0.45">
      <c r="A14" s="3" t="s">
        <v>34</v>
      </c>
      <c r="B14" s="36" t="s">
        <v>35</v>
      </c>
      <c r="C14">
        <v>0</v>
      </c>
      <c r="D14" t="s">
        <v>270</v>
      </c>
      <c r="I14">
        <v>2023</v>
      </c>
    </row>
    <row r="15" spans="1:9" x14ac:dyDescent="0.45">
      <c r="A15" s="3" t="s">
        <v>38</v>
      </c>
      <c r="B15" s="36" t="s">
        <v>36</v>
      </c>
      <c r="C15">
        <v>0</v>
      </c>
      <c r="E15" s="41" t="s">
        <v>279</v>
      </c>
      <c r="I15">
        <v>2023</v>
      </c>
    </row>
    <row r="16" spans="1:9" x14ac:dyDescent="0.45">
      <c r="A16" s="3" t="s">
        <v>41</v>
      </c>
      <c r="B16" s="36" t="s">
        <v>42</v>
      </c>
      <c r="C16">
        <v>0</v>
      </c>
      <c r="D16" t="s">
        <v>270</v>
      </c>
      <c r="I16">
        <v>2023</v>
      </c>
    </row>
    <row r="17" spans="1:9" x14ac:dyDescent="0.45">
      <c r="A17" s="3" t="s">
        <v>45</v>
      </c>
      <c r="B17" s="36" t="s">
        <v>32</v>
      </c>
      <c r="C17">
        <v>0</v>
      </c>
      <c r="I17">
        <v>2023</v>
      </c>
    </row>
    <row r="18" spans="1:9" x14ac:dyDescent="0.45">
      <c r="A18" s="3" t="s">
        <v>48</v>
      </c>
      <c r="B18" s="36" t="s">
        <v>39</v>
      </c>
      <c r="C18">
        <v>0</v>
      </c>
      <c r="I18">
        <v>2023</v>
      </c>
    </row>
    <row r="19" spans="1:9" x14ac:dyDescent="0.45">
      <c r="A19" s="3" t="s">
        <v>51</v>
      </c>
      <c r="B19" s="36" t="s">
        <v>52</v>
      </c>
      <c r="C19">
        <v>0</v>
      </c>
      <c r="D19" t="s">
        <v>270</v>
      </c>
      <c r="I19">
        <v>2023</v>
      </c>
    </row>
    <row r="20" spans="1:9" x14ac:dyDescent="0.45">
      <c r="A20" s="3" t="s">
        <v>55</v>
      </c>
      <c r="B20" s="36" t="s">
        <v>56</v>
      </c>
      <c r="C20">
        <v>0</v>
      </c>
      <c r="D20" t="s">
        <v>270</v>
      </c>
      <c r="I20">
        <v>2023</v>
      </c>
    </row>
    <row r="21" spans="1:9" x14ac:dyDescent="0.45">
      <c r="A21" s="3" t="s">
        <v>59</v>
      </c>
      <c r="B21" s="36" t="s">
        <v>49</v>
      </c>
      <c r="C21">
        <v>50</v>
      </c>
      <c r="D21" t="s">
        <v>280</v>
      </c>
      <c r="F21" t="s">
        <v>281</v>
      </c>
      <c r="G21" t="s">
        <v>282</v>
      </c>
      <c r="H21" t="s">
        <v>275</v>
      </c>
      <c r="I21">
        <v>2023</v>
      </c>
    </row>
    <row r="22" spans="1:9" x14ac:dyDescent="0.45">
      <c r="A22" s="3" t="s">
        <v>62</v>
      </c>
      <c r="B22" s="36" t="s">
        <v>46</v>
      </c>
      <c r="C22">
        <v>25</v>
      </c>
      <c r="D22" t="s">
        <v>283</v>
      </c>
      <c r="F22" t="s">
        <v>284</v>
      </c>
      <c r="G22" t="s">
        <v>274</v>
      </c>
      <c r="H22" t="s">
        <v>275</v>
      </c>
      <c r="I22">
        <v>2025</v>
      </c>
    </row>
    <row r="23" spans="1:9" x14ac:dyDescent="0.45">
      <c r="A23" s="3" t="s">
        <v>65</v>
      </c>
      <c r="B23" s="36" t="s">
        <v>43</v>
      </c>
      <c r="C23">
        <v>40</v>
      </c>
      <c r="D23" t="s">
        <v>285</v>
      </c>
      <c r="F23" t="s">
        <v>286</v>
      </c>
      <c r="G23" t="s">
        <v>287</v>
      </c>
      <c r="H23" t="s">
        <v>275</v>
      </c>
      <c r="I23">
        <v>2023</v>
      </c>
    </row>
    <row r="24" spans="1:9" x14ac:dyDescent="0.45">
      <c r="A24" s="3" t="s">
        <v>68</v>
      </c>
      <c r="B24" s="36" t="s">
        <v>53</v>
      </c>
      <c r="C24">
        <v>0</v>
      </c>
      <c r="I24">
        <v>2023</v>
      </c>
    </row>
    <row r="25" spans="1:9" x14ac:dyDescent="0.45">
      <c r="A25" s="3" t="s">
        <v>71</v>
      </c>
      <c r="B25" s="36" t="s">
        <v>57</v>
      </c>
      <c r="C25">
        <v>0</v>
      </c>
      <c r="I25">
        <v>2023</v>
      </c>
    </row>
    <row r="26" spans="1:9" x14ac:dyDescent="0.45">
      <c r="A26" s="3" t="s">
        <v>74</v>
      </c>
      <c r="B26" s="36" t="s">
        <v>75</v>
      </c>
      <c r="C26">
        <v>0</v>
      </c>
      <c r="D26" t="s">
        <v>270</v>
      </c>
      <c r="I26">
        <v>2023</v>
      </c>
    </row>
    <row r="27" spans="1:9" x14ac:dyDescent="0.45">
      <c r="A27" s="3" t="s">
        <v>78</v>
      </c>
      <c r="B27" s="36" t="s">
        <v>60</v>
      </c>
      <c r="C27">
        <v>0</v>
      </c>
      <c r="I27">
        <v>2023</v>
      </c>
    </row>
    <row r="28" spans="1:9" x14ac:dyDescent="0.45">
      <c r="A28" s="3" t="s">
        <v>81</v>
      </c>
      <c r="B28" s="36" t="s">
        <v>63</v>
      </c>
      <c r="C28">
        <v>10</v>
      </c>
      <c r="D28" t="s">
        <v>288</v>
      </c>
      <c r="F28" t="s">
        <v>289</v>
      </c>
      <c r="G28" t="s">
        <v>278</v>
      </c>
      <c r="H28" t="s">
        <v>275</v>
      </c>
      <c r="I28">
        <v>2023</v>
      </c>
    </row>
    <row r="29" spans="1:9" x14ac:dyDescent="0.45">
      <c r="A29" s="3" t="s">
        <v>84</v>
      </c>
      <c r="B29" s="36" t="s">
        <v>69</v>
      </c>
      <c r="C29">
        <v>0</v>
      </c>
      <c r="I29">
        <v>2023</v>
      </c>
    </row>
    <row r="30" spans="1:9" x14ac:dyDescent="0.45">
      <c r="A30" s="3" t="s">
        <v>87</v>
      </c>
      <c r="B30" s="36" t="s">
        <v>82</v>
      </c>
      <c r="C30">
        <v>0</v>
      </c>
      <c r="I30">
        <v>2023</v>
      </c>
    </row>
    <row r="31" spans="1:9" x14ac:dyDescent="0.45">
      <c r="A31" s="3" t="s">
        <v>90</v>
      </c>
      <c r="B31" s="36" t="s">
        <v>72</v>
      </c>
      <c r="C31">
        <v>63.29</v>
      </c>
      <c r="D31" t="s">
        <v>290</v>
      </c>
      <c r="F31" t="s">
        <v>291</v>
      </c>
      <c r="G31" t="s">
        <v>282</v>
      </c>
      <c r="H31" t="s">
        <v>275</v>
      </c>
      <c r="I31">
        <v>2025</v>
      </c>
    </row>
    <row r="32" spans="1:9" x14ac:dyDescent="0.45">
      <c r="A32" s="3" t="s">
        <v>93</v>
      </c>
      <c r="B32" s="36" t="s">
        <v>76</v>
      </c>
      <c r="C32">
        <v>50</v>
      </c>
      <c r="D32" t="s">
        <v>292</v>
      </c>
      <c r="F32" t="s">
        <v>293</v>
      </c>
      <c r="G32" t="s">
        <v>282</v>
      </c>
      <c r="H32" t="s">
        <v>275</v>
      </c>
      <c r="I32">
        <v>2023</v>
      </c>
    </row>
    <row r="33" spans="1:9" x14ac:dyDescent="0.45">
      <c r="A33" s="3" t="s">
        <v>96</v>
      </c>
      <c r="B33" s="36" t="s">
        <v>79</v>
      </c>
      <c r="C33">
        <v>0</v>
      </c>
      <c r="I33">
        <v>2023</v>
      </c>
    </row>
    <row r="34" spans="1:9" x14ac:dyDescent="0.45">
      <c r="A34" s="3" t="s">
        <v>99</v>
      </c>
      <c r="B34" s="36" t="s">
        <v>85</v>
      </c>
      <c r="C34">
        <v>0</v>
      </c>
      <c r="D34" t="s">
        <v>294</v>
      </c>
      <c r="I34">
        <v>2023</v>
      </c>
    </row>
    <row r="35" spans="1:9" x14ac:dyDescent="0.45">
      <c r="A35" s="3" t="s">
        <v>102</v>
      </c>
      <c r="B35" s="36" t="s">
        <v>66</v>
      </c>
      <c r="C35">
        <v>0</v>
      </c>
      <c r="D35" t="s">
        <v>295</v>
      </c>
      <c r="E35" s="42" t="s">
        <v>296</v>
      </c>
      <c r="I35">
        <v>2023</v>
      </c>
    </row>
    <row r="36" spans="1:9" x14ac:dyDescent="0.45">
      <c r="A36" s="3" t="s">
        <v>105</v>
      </c>
      <c r="B36" s="36" t="s">
        <v>106</v>
      </c>
      <c r="C36">
        <v>0</v>
      </c>
      <c r="D36" t="s">
        <v>270</v>
      </c>
      <c r="I36">
        <v>2023</v>
      </c>
    </row>
    <row r="37" spans="1:9" x14ac:dyDescent="0.45">
      <c r="A37" s="3" t="s">
        <v>109</v>
      </c>
      <c r="B37" s="36" t="s">
        <v>88</v>
      </c>
      <c r="C37">
        <v>66.010000000000005</v>
      </c>
      <c r="D37" t="s">
        <v>297</v>
      </c>
      <c r="F37" t="s">
        <v>298</v>
      </c>
      <c r="G37" t="s">
        <v>287</v>
      </c>
      <c r="H37" t="s">
        <v>275</v>
      </c>
      <c r="I37">
        <v>2025</v>
      </c>
    </row>
    <row r="38" spans="1:9" x14ac:dyDescent="0.45">
      <c r="A38" s="3" t="s">
        <v>112</v>
      </c>
      <c r="B38" s="36" t="s">
        <v>113</v>
      </c>
      <c r="C38">
        <v>0</v>
      </c>
      <c r="D38" t="s">
        <v>270</v>
      </c>
      <c r="I38">
        <v>2023</v>
      </c>
    </row>
    <row r="39" spans="1:9" x14ac:dyDescent="0.45">
      <c r="A39" s="3" t="s">
        <v>116</v>
      </c>
      <c r="B39" s="36" t="s">
        <v>91</v>
      </c>
      <c r="C39">
        <v>110</v>
      </c>
      <c r="D39" t="s">
        <v>299</v>
      </c>
      <c r="E39" s="40" t="s">
        <v>300</v>
      </c>
      <c r="F39" t="s">
        <v>301</v>
      </c>
      <c r="G39" t="s">
        <v>278</v>
      </c>
      <c r="H39" t="s">
        <v>275</v>
      </c>
      <c r="I39">
        <v>2023</v>
      </c>
    </row>
    <row r="40" spans="1:9" x14ac:dyDescent="0.45">
      <c r="A40" s="3" t="s">
        <v>117</v>
      </c>
      <c r="B40" s="36" t="s">
        <v>94</v>
      </c>
      <c r="C40">
        <v>0</v>
      </c>
      <c r="I40">
        <v>2023</v>
      </c>
    </row>
    <row r="41" spans="1:9" x14ac:dyDescent="0.45">
      <c r="A41" s="3" t="s">
        <v>120</v>
      </c>
      <c r="B41" s="36" t="s">
        <v>97</v>
      </c>
      <c r="C41" s="43">
        <v>80.59</v>
      </c>
      <c r="D41" t="s">
        <v>302</v>
      </c>
      <c r="F41" t="s">
        <v>303</v>
      </c>
      <c r="G41" t="s">
        <v>274</v>
      </c>
      <c r="H41" t="s">
        <v>275</v>
      </c>
      <c r="I41">
        <v>2023</v>
      </c>
    </row>
    <row r="42" spans="1:9" x14ac:dyDescent="0.45">
      <c r="A42" s="3" t="s">
        <v>122</v>
      </c>
      <c r="B42" s="36" t="s">
        <v>123</v>
      </c>
      <c r="C42">
        <v>0</v>
      </c>
      <c r="D42" t="s">
        <v>270</v>
      </c>
      <c r="I42">
        <v>2023</v>
      </c>
    </row>
    <row r="43" spans="1:9" x14ac:dyDescent="0.45">
      <c r="A43" s="3" t="s">
        <v>125</v>
      </c>
      <c r="B43" s="36" t="s">
        <v>126</v>
      </c>
      <c r="C43">
        <v>0</v>
      </c>
      <c r="D43" t="s">
        <v>270</v>
      </c>
      <c r="I43">
        <v>2023</v>
      </c>
    </row>
    <row r="44" spans="1:9" x14ac:dyDescent="0.45">
      <c r="A44" s="3" t="s">
        <v>128</v>
      </c>
      <c r="B44" s="36" t="s">
        <v>129</v>
      </c>
      <c r="C44">
        <v>0</v>
      </c>
      <c r="D44" t="s">
        <v>270</v>
      </c>
      <c r="I44">
        <v>2023</v>
      </c>
    </row>
    <row r="45" spans="1:9" x14ac:dyDescent="0.45">
      <c r="A45" s="3" t="s">
        <v>130</v>
      </c>
      <c r="B45" s="36" t="s">
        <v>100</v>
      </c>
      <c r="C45">
        <v>0</v>
      </c>
      <c r="E45" t="s">
        <v>304</v>
      </c>
      <c r="I45">
        <v>2023</v>
      </c>
    </row>
    <row r="46" spans="1:9" x14ac:dyDescent="0.45">
      <c r="A46" s="3" t="s">
        <v>132</v>
      </c>
      <c r="B46" s="36" t="s">
        <v>133</v>
      </c>
      <c r="C46">
        <v>0</v>
      </c>
      <c r="D46" t="s">
        <v>270</v>
      </c>
      <c r="I46">
        <v>2023</v>
      </c>
    </row>
    <row r="47" spans="1:9" x14ac:dyDescent="0.45">
      <c r="A47" s="3" t="s">
        <v>134</v>
      </c>
      <c r="B47" s="36" t="s">
        <v>107</v>
      </c>
      <c r="C47">
        <v>12.28</v>
      </c>
      <c r="D47" t="s">
        <v>305</v>
      </c>
      <c r="F47" t="s">
        <v>306</v>
      </c>
      <c r="G47" t="s">
        <v>278</v>
      </c>
      <c r="H47" t="s">
        <v>275</v>
      </c>
      <c r="I47">
        <v>2023</v>
      </c>
    </row>
    <row r="48" spans="1:9" x14ac:dyDescent="0.45">
      <c r="A48" s="3" t="s">
        <v>136</v>
      </c>
      <c r="B48" s="36" t="s">
        <v>103</v>
      </c>
      <c r="C48">
        <v>0</v>
      </c>
      <c r="I48">
        <v>2023</v>
      </c>
    </row>
    <row r="49" spans="1:9" x14ac:dyDescent="0.45">
      <c r="A49" s="3" t="s">
        <v>138</v>
      </c>
      <c r="B49" s="36" t="s">
        <v>110</v>
      </c>
      <c r="C49">
        <v>50</v>
      </c>
      <c r="D49" t="s">
        <v>307</v>
      </c>
      <c r="F49" t="s">
        <v>308</v>
      </c>
      <c r="G49" t="s">
        <v>274</v>
      </c>
      <c r="H49" t="s">
        <v>275</v>
      </c>
      <c r="I49">
        <v>2023</v>
      </c>
    </row>
    <row r="50" spans="1:9" x14ac:dyDescent="0.45">
      <c r="A50" s="3" t="s">
        <v>140</v>
      </c>
      <c r="B50" s="36" t="s">
        <v>141</v>
      </c>
      <c r="C50">
        <v>0</v>
      </c>
      <c r="D50" t="s">
        <v>270</v>
      </c>
      <c r="I50">
        <v>2023</v>
      </c>
    </row>
    <row r="51" spans="1:9" x14ac:dyDescent="0.45">
      <c r="A51" s="3" t="s">
        <v>143</v>
      </c>
      <c r="B51" s="36" t="s">
        <v>114</v>
      </c>
      <c r="C51">
        <v>0</v>
      </c>
      <c r="E51" t="s">
        <v>309</v>
      </c>
      <c r="I51">
        <v>2023</v>
      </c>
    </row>
    <row r="52" spans="1:9" x14ac:dyDescent="0.45">
      <c r="A52" s="3" t="s">
        <v>145</v>
      </c>
      <c r="B52" s="36" t="s">
        <v>146</v>
      </c>
      <c r="C52">
        <v>0</v>
      </c>
      <c r="D52" t="s">
        <v>270</v>
      </c>
      <c r="I52">
        <v>2023</v>
      </c>
    </row>
    <row r="54" spans="1:9" x14ac:dyDescent="0.45">
      <c r="B54" s="42"/>
    </row>
  </sheetData>
  <autoFilter ref="A2:G52" xr:uid="{00000000-0009-0000-0000-000002000000}"/>
  <conditionalFormatting sqref="A1:A1048576">
    <cfRule type="duplicateValues" dxfId="0" priority="1"/>
  </conditionalFormatting>
  <hyperlinks>
    <hyperlink ref="E15" r:id="rId1" display="https://www.icc.illinois.gov/electricity/RenewablePortfolioStandards.aspx" xr:uid="{00000000-0004-0000-0200-000000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tint="-0.499984740745262"/>
  </sheetPr>
  <dimension ref="A1:B3"/>
  <sheetViews>
    <sheetView tabSelected="1" workbookViewId="0">
      <selection activeCell="B2" sqref="B2"/>
    </sheetView>
  </sheetViews>
  <sheetFormatPr defaultRowHeight="14.25" x14ac:dyDescent="0.45"/>
  <sheetData>
    <row r="1" spans="1:2" x14ac:dyDescent="0.45">
      <c r="A1" t="s">
        <v>310</v>
      </c>
      <c r="B1" s="37"/>
    </row>
    <row r="2" spans="1:2" x14ac:dyDescent="0.45">
      <c r="A2" t="s">
        <v>264</v>
      </c>
      <c r="B2" s="38">
        <f>IF(ROUND(SUMIFS('ACP by State'!$C:$C,'ACP by State'!$B:$B,About!$B$2)*VLOOKUP(SUMIFS('ACP by State'!$I:$I,'ACP by State'!$B:$B,About!$B$2),About!$D$55:$E$62,2,FALSE),0)=0,
180*About!E62,
ROUND(SUMIFS('ACP by State'!$C:$C,'ACP by State'!$B:$B,About!$B$2)*VLOOKUP(SUMIFS('ACP by State'!$I:$I,'ACP by State'!$B:$B,About!$B$2),About!$D$55:$E$62,2,FALSE),0))</f>
        <v>128.34447204600002</v>
      </c>
    </row>
    <row r="3" spans="1:2" x14ac:dyDescent="0.45">
      <c r="B3" s="38"/>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4" tint="-0.499984740745262"/>
  </sheetPr>
  <dimension ref="A1:B2"/>
  <sheetViews>
    <sheetView workbookViewId="0">
      <selection activeCell="B2" sqref="B2"/>
    </sheetView>
  </sheetViews>
  <sheetFormatPr defaultRowHeight="14.25" x14ac:dyDescent="0.45"/>
  <sheetData>
    <row r="1" spans="1:2" x14ac:dyDescent="0.45">
      <c r="A1" t="s">
        <v>310</v>
      </c>
    </row>
    <row r="2" spans="1:2" x14ac:dyDescent="0.45">
      <c r="A2" t="s">
        <v>264</v>
      </c>
      <c r="B2">
        <f>180*About!E62</f>
        <v>128.34447204600002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About</vt:lpstr>
      <vt:lpstr>RPS Targets (%)</vt:lpstr>
      <vt:lpstr>ACP by State</vt:lpstr>
      <vt:lpstr>RACP-BRACP</vt:lpstr>
      <vt:lpstr>RACP-RACP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Robbie Orvis</dc:creator>
  <cp:lastModifiedBy>Olivia Ashmoore</cp:lastModifiedBy>
  <dcterms:created xsi:type="dcterms:W3CDTF">2023-10-23T15:32:18Z</dcterms:created>
  <dcterms:modified xsi:type="dcterms:W3CDTF">2026-08-19T21:42:17Z</dcterms:modified>
</cp:coreProperties>
</file>