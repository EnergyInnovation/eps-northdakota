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elec\SYTaDC\"/>
    </mc:Choice>
  </mc:AlternateContent>
  <xr:revisionPtr revIDLastSave="0" documentId="8_{E55D22AC-4C49-4B9C-A2E5-335155777C9C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<sst xmlns="http://schemas.openxmlformats.org/spreadsheetml/2006/main" count="264" uniqueCount="144">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</sst>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84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ND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North Dakota</v>
      </c>
    </row>
    <row r="44" spans="1:42" x14ac:dyDescent="0.25">
      <c r="A44" t="s">
        <v>143</v>
      </c>
      <c r="B44" s="15">
        <f>SUMIFS('HIFLD Outputs'!$F$2:$F$49,'HIFLD Outputs'!$B$2:$B$49,'Data National'!$A$43)*B34</f>
        <v>4082605.630962268</v>
      </c>
      <c r="C44" s="15">
        <f>SUMIFS('HIFLD Outputs'!$F$2:$F$49,'HIFLD Outputs'!$B$2:$B$49,'Data National'!$A$43)*C34</f>
        <v>4085707.914876373</v>
      </c>
      <c r="D44" s="15">
        <f>SUMIFS('HIFLD Outputs'!$F$2:$F$49,'HIFLD Outputs'!$B$2:$B$49,'Data National'!$A$43)*D34</f>
        <v>4088810.1987904781</v>
      </c>
      <c r="E44" s="15">
        <f>SUMIFS('HIFLD Outputs'!$F$2:$F$49,'HIFLD Outputs'!$B$2:$B$49,'Data National'!$A$43)*E34</f>
        <v>4091912.4827045831</v>
      </c>
      <c r="F44" s="15">
        <f>SUMIFS('HIFLD Outputs'!$F$2:$F$49,'HIFLD Outputs'!$B$2:$B$49,'Data National'!$A$43)*F34</f>
        <v>4095014.7666186881</v>
      </c>
      <c r="G44" s="15">
        <f>SUMIFS('HIFLD Outputs'!$F$2:$F$49,'HIFLD Outputs'!$B$2:$B$49,'Data National'!$A$43)*G34</f>
        <v>4098117.0505327936</v>
      </c>
      <c r="H44" s="15">
        <f>SUMIFS('HIFLD Outputs'!$F$2:$F$49,'HIFLD Outputs'!$B$2:$B$49,'Data National'!$A$43)*H34</f>
        <v>4101219.3344468987</v>
      </c>
      <c r="I44" s="15">
        <f>SUMIFS('HIFLD Outputs'!$F$2:$F$49,'HIFLD Outputs'!$B$2:$B$49,'Data National'!$A$43)*I34</f>
        <v>4104321.6183610037</v>
      </c>
      <c r="J44" s="15">
        <f>SUMIFS('HIFLD Outputs'!$F$2:$F$49,'HIFLD Outputs'!$B$2:$B$49,'Data National'!$A$43)*J34</f>
        <v>4107423.9022751087</v>
      </c>
      <c r="K44" s="15">
        <f>SUMIFS('HIFLD Outputs'!$F$2:$F$49,'HIFLD Outputs'!$B$2:$B$49,'Data National'!$A$43)*K34</f>
        <v>4110526.1861892142</v>
      </c>
      <c r="L44" s="15">
        <f>SUMIFS('HIFLD Outputs'!$F$2:$F$49,'HIFLD Outputs'!$B$2:$B$49,'Data National'!$A$43)*L34</f>
        <v>4113628.4701033193</v>
      </c>
      <c r="M44" s="15">
        <f>SUMIFS('HIFLD Outputs'!$F$2:$F$49,'HIFLD Outputs'!$B$2:$B$49,'Data National'!$A$43)*M34</f>
        <v>4116730.7540174243</v>
      </c>
      <c r="N44" s="15">
        <f>SUMIFS('HIFLD Outputs'!$F$2:$F$49,'HIFLD Outputs'!$B$2:$B$49,'Data National'!$A$43)*N34</f>
        <v>4119833.0379315293</v>
      </c>
      <c r="O44" s="15">
        <f>SUMIFS('HIFLD Outputs'!$F$2:$F$49,'HIFLD Outputs'!$B$2:$B$49,'Data National'!$A$43)*O34</f>
        <v>4122935.3218456344</v>
      </c>
      <c r="P44" s="15">
        <f>SUMIFS('HIFLD Outputs'!$F$2:$F$49,'HIFLD Outputs'!$B$2:$B$49,'Data National'!$A$43)*P34</f>
        <v>4126037.6057597399</v>
      </c>
      <c r="Q44" s="15">
        <f>SUMIFS('HIFLD Outputs'!$F$2:$F$49,'HIFLD Outputs'!$B$2:$B$49,'Data National'!$A$43)*Q34</f>
        <v>4129139.8896738449</v>
      </c>
      <c r="R44" s="15">
        <f>SUMIFS('HIFLD Outputs'!$F$2:$F$49,'HIFLD Outputs'!$B$2:$B$49,'Data National'!$A$43)*R34</f>
        <v>4132242.1735879499</v>
      </c>
      <c r="S44" s="15">
        <f>SUMIFS('HIFLD Outputs'!$F$2:$F$49,'HIFLD Outputs'!$B$2:$B$49,'Data National'!$A$43)*S34</f>
        <v>4135344.457502055</v>
      </c>
      <c r="T44" s="15">
        <f>SUMIFS('HIFLD Outputs'!$F$2:$F$49,'HIFLD Outputs'!$B$2:$B$49,'Data National'!$A$43)*T34</f>
        <v>4138446.7414161605</v>
      </c>
      <c r="U44" s="15">
        <f>SUMIFS('HIFLD Outputs'!$F$2:$F$49,'HIFLD Outputs'!$B$2:$B$49,'Data National'!$A$43)*U34</f>
        <v>4141549.0253302655</v>
      </c>
      <c r="V44" s="15">
        <f>SUMIFS('HIFLD Outputs'!$F$2:$F$49,'HIFLD Outputs'!$B$2:$B$49,'Data National'!$A$43)*V34</f>
        <v>4144651.3092443706</v>
      </c>
      <c r="W44" s="15">
        <f>SUMIFS('HIFLD Outputs'!$F$2:$F$49,'HIFLD Outputs'!$B$2:$B$49,'Data National'!$A$43)*W34</f>
        <v>4147753.5931584756</v>
      </c>
      <c r="X44" s="15">
        <f>SUMIFS('HIFLD Outputs'!$F$2:$F$49,'HIFLD Outputs'!$B$2:$B$49,'Data National'!$A$43)*X34</f>
        <v>4150855.8770725811</v>
      </c>
      <c r="Y44" s="15">
        <f>SUMIFS('HIFLD Outputs'!$F$2:$F$49,'HIFLD Outputs'!$B$2:$B$49,'Data National'!$A$43)*Y34</f>
        <v>4153958.1609866861</v>
      </c>
      <c r="Z44" s="15">
        <f>SUMIFS('HIFLD Outputs'!$F$2:$F$49,'HIFLD Outputs'!$B$2:$B$49,'Data National'!$A$43)*Z34</f>
        <v>4157060.4449007912</v>
      </c>
      <c r="AA44" s="15">
        <f>SUMIFS('HIFLD Outputs'!$F$2:$F$49,'HIFLD Outputs'!$B$2:$B$49,'Data National'!$A$43)*AA34</f>
        <v>4160162.7288148962</v>
      </c>
      <c r="AB44" s="15">
        <f>SUMIFS('HIFLD Outputs'!$F$2:$F$49,'HIFLD Outputs'!$B$2:$B$49,'Data National'!$A$43)*AB34</f>
        <v>4163265.0127290012</v>
      </c>
      <c r="AC44" s="15">
        <f>SUMIFS('HIFLD Outputs'!$F$2:$F$49,'HIFLD Outputs'!$B$2:$B$49,'Data National'!$A$43)*AC34</f>
        <v>4166367.2966431067</v>
      </c>
      <c r="AD44" s="15">
        <f>SUMIFS('HIFLD Outputs'!$F$2:$F$49,'HIFLD Outputs'!$B$2:$B$49,'Data National'!$A$43)*AD34</f>
        <v>4169469.5805572118</v>
      </c>
      <c r="AE44" s="15">
        <f>SUMIFS('HIFLD Outputs'!$F$2:$F$49,'HIFLD Outputs'!$B$2:$B$49,'Data National'!$A$43)*AE34</f>
        <v>4172571.8644713168</v>
      </c>
      <c r="AF44" s="15">
        <f>SUMIFS('HIFLD Outputs'!$F$2:$F$49,'HIFLD Outputs'!$B$2:$B$49,'Data National'!$A$43)*AF34</f>
        <v>4175674.1483854218</v>
      </c>
      <c r="AG44" s="15">
        <f>SUMIFS('HIFLD Outputs'!$F$2:$F$49,'HIFLD Outputs'!$B$2:$B$49,'Data National'!$A$43)*AG34</f>
        <v>4178776.4322995273</v>
      </c>
      <c r="AH44" s="15">
        <f>SUMIFS('HIFLD Outputs'!$F$2:$F$49,'HIFLD Outputs'!$B$2:$B$49,'Data National'!$A$43)*AH34</f>
        <v>4181878.7162136324</v>
      </c>
      <c r="AI44" s="15">
        <f>SUMIFS('HIFLD Outputs'!$F$2:$F$49,'HIFLD Outputs'!$B$2:$B$49,'Data National'!$A$43)*AI34</f>
        <v>4184981.0001277374</v>
      </c>
      <c r="AJ44" s="15">
        <f>SUMIFS('HIFLD Outputs'!$F$2:$F$49,'HIFLD Outputs'!$B$2:$B$49,'Data National'!$A$43)*AJ34</f>
        <v>4188083.2840418424</v>
      </c>
      <c r="AK44" s="15">
        <f>SUMIFS('HIFLD Outputs'!$F$2:$F$49,'HIFLD Outputs'!$B$2:$B$49,'Data National'!$A$43)*AK34</f>
        <v>4191185.5679559475</v>
      </c>
      <c r="AL44" s="15">
        <f>SUMIFS('HIFLD Outputs'!$F$2:$F$49,'HIFLD Outputs'!$B$2:$B$49,'Data National'!$A$43)*AL34</f>
        <v>4194287.851870053</v>
      </c>
      <c r="AM44" s="15">
        <f>SUMIFS('HIFLD Outputs'!$F$2:$F$49,'HIFLD Outputs'!$B$2:$B$49,'Data National'!$A$43)*AM34</f>
        <v>4197390.1357841576</v>
      </c>
      <c r="AN44" s="15">
        <f>SUMIFS('HIFLD Outputs'!$F$2:$F$49,'HIFLD Outputs'!$B$2:$B$49,'Data National'!$A$43)*AN34</f>
        <v>4200492.4196982635</v>
      </c>
      <c r="AO44" s="15">
        <f>SUMIFS('HIFLD Outputs'!$F$2:$F$49,'HIFLD Outputs'!$B$2:$B$49,'Data National'!$A$43)*AO34</f>
        <v>4203594.7036123686</v>
      </c>
      <c r="AP44" s="15">
        <f>SUMIFS('HIFLD Outputs'!$F$2:$F$49,'HIFLD Outputs'!$B$2:$B$49,'Data National'!$A$43)*AP34</f>
        <v>4206696.9875264736</v>
      </c>
    </row>
    <row r="45" spans="1:42" x14ac:dyDescent="0.25">
      <c r="A45" s="16" t="s">
        <v>15</v>
      </c>
      <c r="B45" s="17">
        <f>B37*SUMIFS('HIFLD Outputs'!$F$2:$F$49,'HIFLD Outputs'!$B$2:$B$49,$A$43)</f>
        <v>328130645.35564828</v>
      </c>
    </row>
    <row r="46" spans="1:42" x14ac:dyDescent="0.25">
      <c r="A46" s="16" t="s">
        <v>14</v>
      </c>
      <c r="B46" s="17">
        <f>B38*SUMIFS('HIFLD Outputs'!$F$2:$F$49,'HIFLD Outputs'!$B$2:$B$49,$A$43)</f>
        <v>515916255.64954334</v>
      </c>
    </row>
    <row r="47" spans="1:42" x14ac:dyDescent="0.25">
      <c r="A47" s="16" t="s">
        <v>16</v>
      </c>
      <c r="B47" s="17">
        <f>B39*SUMIFS('HIFLD Outputs'!$F$2:$F$49,'HIFLD Outputs'!$B$2:$B$49,$A$43)</f>
        <v>464522299.14805627</v>
      </c>
    </row>
    <row r="48" spans="1:42" x14ac:dyDescent="0.25">
      <c r="A48" s="16" t="s">
        <v>17</v>
      </c>
      <c r="B48" s="17">
        <f>B40*SUMIFS('HIFLD Outputs'!$F$2:$F$49,'HIFLD Outputs'!$B$2:$B$49,$A$43)</f>
        <v>620680859.28719008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328130645.35564828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515916255.64954334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464522299.14805627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620680859.28719008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2026-06-12T20:49:40Z</dcterms:modified>
</cp:coreProperties>
</file>