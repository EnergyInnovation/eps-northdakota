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ND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1307</v>
      </c>
      <c r="C4" t="inlineStr">
        <is>
          <t>Basin Electric Power Coop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ND</t>
        </is>
      </c>
      <c r="H4" t="inlineStr">
        <is>
          <t>Cooperative</t>
        </is>
      </c>
      <c r="I4" t="inlineStr">
        <is>
          <t>SWPP</t>
        </is>
      </c>
      <c r="J4" t="inlineStr">
        <is>
          <t>.</t>
        </is>
      </c>
      <c r="K4" t="inlineStr">
        <is>
          <t>.</t>
        </is>
      </c>
      <c r="L4" t="inlineStr">
        <is>
          <t>.</t>
        </is>
      </c>
      <c r="M4" t="inlineStr">
        <is>
          <t>.</t>
        </is>
      </c>
      <c r="N4" t="inlineStr">
        <is>
          <t>.</t>
        </is>
      </c>
      <c r="O4" t="inlineStr">
        <is>
          <t>.</t>
        </is>
      </c>
      <c r="P4" t="n">
        <v>56625.2</v>
      </c>
      <c r="Q4" t="n">
        <v>1170657</v>
      </c>
      <c r="R4" t="n">
        <v>1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56625.2</v>
      </c>
      <c r="W4" t="n">
        <v>1170657</v>
      </c>
      <c r="X4" t="n">
        <v>1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2394</v>
      </c>
      <c r="C5" t="inlineStr">
        <is>
          <t>Burke-Divide Electric Coop Inc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ND</t>
        </is>
      </c>
      <c r="H5" t="inlineStr">
        <is>
          <t>Cooperative</t>
        </is>
      </c>
      <c r="I5" t="inlineStr">
        <is>
          <t>SWPP</t>
        </is>
      </c>
      <c r="J5" t="n">
        <v>3130</v>
      </c>
      <c r="K5" t="n">
        <v>39715</v>
      </c>
      <c r="L5" t="n">
        <v>1789</v>
      </c>
      <c r="M5" t="n">
        <v>1544</v>
      </c>
      <c r="N5" t="n">
        <v>14244</v>
      </c>
      <c r="O5" t="n">
        <v>349</v>
      </c>
      <c r="P5" t="n">
        <v>19542</v>
      </c>
      <c r="Q5" t="n">
        <v>159041</v>
      </c>
      <c r="R5" t="n">
        <v>1357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24216</v>
      </c>
      <c r="W5" t="n">
        <v>213000</v>
      </c>
      <c r="X5" t="n">
        <v>3495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2985</v>
      </c>
      <c r="C6" t="inlineStr">
        <is>
          <t>Capital Electric Coop, Inc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ND</t>
        </is>
      </c>
      <c r="H6" t="inlineStr">
        <is>
          <t>Cooperative</t>
        </is>
      </c>
      <c r="I6" t="inlineStr">
        <is>
          <t>SWPP</t>
        </is>
      </c>
      <c r="J6" t="n">
        <v>29185.8</v>
      </c>
      <c r="K6" t="n">
        <v>237167</v>
      </c>
      <c r="L6" t="n">
        <v>19530</v>
      </c>
      <c r="M6" t="n">
        <v>15458.3</v>
      </c>
      <c r="N6" t="n">
        <v>147812</v>
      </c>
      <c r="O6" t="n">
        <v>2935</v>
      </c>
      <c r="P6" t="n">
        <v>139.8</v>
      </c>
      <c r="Q6" t="n">
        <v>1096</v>
      </c>
      <c r="R6" t="n">
        <v>61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44783.9</v>
      </c>
      <c r="W6" t="n">
        <v>386075</v>
      </c>
      <c r="X6" t="n">
        <v>22526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4717</v>
      </c>
      <c r="C7" t="inlineStr">
        <is>
          <t>Dakota Valley Elec Coop Inc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ND</t>
        </is>
      </c>
      <c r="H7" t="inlineStr">
        <is>
          <t>Cooperative</t>
        </is>
      </c>
      <c r="I7" t="inlineStr">
        <is>
          <t>MISO</t>
        </is>
      </c>
      <c r="J7" t="n">
        <v>14650.3</v>
      </c>
      <c r="K7" t="n">
        <v>121970</v>
      </c>
      <c r="L7" t="n">
        <v>5721</v>
      </c>
      <c r="M7" t="n">
        <v>1203.2</v>
      </c>
      <c r="N7" t="n">
        <v>9139</v>
      </c>
      <c r="O7" t="n">
        <v>480</v>
      </c>
      <c r="P7" t="n">
        <v>42500.5</v>
      </c>
      <c r="Q7" t="n">
        <v>546465</v>
      </c>
      <c r="R7" t="n">
        <v>731</v>
      </c>
      <c r="S7" t="n">
        <v>0</v>
      </c>
      <c r="T7" t="n">
        <v>0</v>
      </c>
      <c r="U7" t="n">
        <v>0</v>
      </c>
      <c r="V7" t="n">
        <v>58354</v>
      </c>
      <c r="W7" t="n">
        <v>677574</v>
      </c>
      <c r="X7" t="n">
        <v>6932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11272</v>
      </c>
      <c r="C8" t="inlineStr">
        <is>
          <t>Lower Yellowstone R E A,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ND</t>
        </is>
      </c>
      <c r="H8" t="inlineStr">
        <is>
          <t>Cooperative</t>
        </is>
      </c>
      <c r="I8" t="inlineStr">
        <is>
          <t>SWPP</t>
        </is>
      </c>
      <c r="J8" t="n">
        <v>1139.6</v>
      </c>
      <c r="K8" t="n">
        <v>12734</v>
      </c>
      <c r="L8" t="n">
        <v>799</v>
      </c>
      <c r="M8" t="n">
        <v>307.3</v>
      </c>
      <c r="N8" t="n">
        <v>2985</v>
      </c>
      <c r="O8" t="n">
        <v>165</v>
      </c>
      <c r="P8" t="n">
        <v>13464.8</v>
      </c>
      <c r="Q8" t="n">
        <v>138625</v>
      </c>
      <c r="R8" t="n">
        <v>194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14911.7</v>
      </c>
      <c r="W8" t="n">
        <v>154344</v>
      </c>
      <c r="X8" t="n">
        <v>1158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12087</v>
      </c>
      <c r="C9" t="inlineStr">
        <is>
          <t>McKenzie Electric Coop Inc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ND</t>
        </is>
      </c>
      <c r="H9" t="inlineStr">
        <is>
          <t>Cooperative</t>
        </is>
      </c>
      <c r="I9" t="inlineStr">
        <is>
          <t>SWPP</t>
        </is>
      </c>
      <c r="J9" t="n">
        <v>8665.9</v>
      </c>
      <c r="K9" t="n">
        <v>110229</v>
      </c>
      <c r="L9" t="n">
        <v>5382</v>
      </c>
      <c r="M9" t="n">
        <v>155416.3</v>
      </c>
      <c r="N9" t="n">
        <v>2028065</v>
      </c>
      <c r="O9" t="n">
        <v>7117</v>
      </c>
      <c r="P9" t="n">
        <v>282799.4</v>
      </c>
      <c r="Q9" t="n">
        <v>4389359</v>
      </c>
      <c r="R9" t="n">
        <v>1165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446881.6</v>
      </c>
      <c r="W9" t="n">
        <v>6527653</v>
      </c>
      <c r="X9" t="n">
        <v>13664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12090</v>
      </c>
      <c r="C10" t="inlineStr">
        <is>
          <t>McLean Electric Coop, Inc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ND</t>
        </is>
      </c>
      <c r="H10" t="inlineStr">
        <is>
          <t>Cooperative</t>
        </is>
      </c>
      <c r="I10" t="inlineStr">
        <is>
          <t>MISO</t>
        </is>
      </c>
      <c r="J10" t="n">
        <v>7800</v>
      </c>
      <c r="K10" t="n">
        <v>54734</v>
      </c>
      <c r="L10" t="n">
        <v>3711</v>
      </c>
      <c r="M10" t="n">
        <v>5440</v>
      </c>
      <c r="N10" t="n">
        <v>43075</v>
      </c>
      <c r="O10" t="n">
        <v>464</v>
      </c>
      <c r="P10" t="n">
        <v>6834</v>
      </c>
      <c r="Q10" t="n">
        <v>91186</v>
      </c>
      <c r="R10" t="n">
        <v>103</v>
      </c>
      <c r="S10" t="n">
        <v>0</v>
      </c>
      <c r="T10" t="n">
        <v>0</v>
      </c>
      <c r="U10" t="n">
        <v>0</v>
      </c>
      <c r="V10" t="n">
        <v>20074</v>
      </c>
      <c r="W10" t="n">
        <v>188995</v>
      </c>
      <c r="X10" t="n">
        <v>4278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12199</v>
      </c>
      <c r="C11" t="inlineStr">
        <is>
          <t>Montana-Dakota Utilities Co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ND</t>
        </is>
      </c>
      <c r="H11" t="inlineStr">
        <is>
          <t>Investor Owned</t>
        </is>
      </c>
      <c r="I11" t="inlineStr">
        <is>
          <t>MISO</t>
        </is>
      </c>
      <c r="J11" t="n">
        <v>89896</v>
      </c>
      <c r="K11" t="n">
        <v>767257</v>
      </c>
      <c r="L11" t="n">
        <v>79354</v>
      </c>
      <c r="M11" t="n">
        <v>121899</v>
      </c>
      <c r="N11" t="n">
        <v>2086375</v>
      </c>
      <c r="O11" t="n">
        <v>14799</v>
      </c>
      <c r="P11" t="n">
        <v>19849</v>
      </c>
      <c r="Q11" t="n">
        <v>259531</v>
      </c>
      <c r="R11" t="n">
        <v>85</v>
      </c>
      <c r="S11" t="n">
        <v>0</v>
      </c>
      <c r="T11" t="n">
        <v>0</v>
      </c>
      <c r="U11" t="n">
        <v>0</v>
      </c>
      <c r="V11" t="n">
        <v>231644</v>
      </c>
      <c r="W11" t="n">
        <v>3113163</v>
      </c>
      <c r="X11" t="n">
        <v>94238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12301</v>
      </c>
      <c r="C12" t="inlineStr">
        <is>
          <t>Nodak Electric Coop Inc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ND</t>
        </is>
      </c>
      <c r="H12" t="inlineStr">
        <is>
          <t>Cooperative</t>
        </is>
      </c>
      <c r="I12" t="inlineStr">
        <is>
          <t>MISO</t>
        </is>
      </c>
      <c r="J12" t="n">
        <v>43918</v>
      </c>
      <c r="K12" t="n">
        <v>363665</v>
      </c>
      <c r="L12" t="n">
        <v>20803</v>
      </c>
      <c r="M12" t="n">
        <v>29050</v>
      </c>
      <c r="N12" t="n">
        <v>851482</v>
      </c>
      <c r="O12" t="n">
        <v>3</v>
      </c>
      <c r="P12" t="n">
        <v>64254</v>
      </c>
      <c r="Q12" t="n">
        <v>813668</v>
      </c>
      <c r="R12" t="n">
        <v>534</v>
      </c>
      <c r="S12" t="n">
        <v>0</v>
      </c>
      <c r="T12" t="n">
        <v>0</v>
      </c>
      <c r="U12" t="n">
        <v>0</v>
      </c>
      <c r="V12" t="n">
        <v>137222</v>
      </c>
      <c r="W12" t="n">
        <v>2028815</v>
      </c>
      <c r="X12" t="n">
        <v>21340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13196</v>
      </c>
      <c r="C13" t="inlineStr">
        <is>
          <t>Northern Plains Electric Coop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ND</t>
        </is>
      </c>
      <c r="H13" t="inlineStr">
        <is>
          <t>Cooperative</t>
        </is>
      </c>
      <c r="I13" t="inlineStr">
        <is>
          <t>MISO</t>
        </is>
      </c>
      <c r="J13" t="n">
        <v>24261</v>
      </c>
      <c r="K13" t="n">
        <v>227714</v>
      </c>
      <c r="L13" t="n">
        <v>10393</v>
      </c>
      <c r="M13" t="n">
        <v>8407</v>
      </c>
      <c r="N13" t="n">
        <v>76917</v>
      </c>
      <c r="O13" t="n">
        <v>1458</v>
      </c>
      <c r="P13" t="n">
        <v>11527</v>
      </c>
      <c r="Q13" t="n">
        <v>137098</v>
      </c>
      <c r="R13" t="n">
        <v>188</v>
      </c>
      <c r="S13" t="n">
        <v>0</v>
      </c>
      <c r="T13" t="n">
        <v>0</v>
      </c>
      <c r="U13" t="n">
        <v>0</v>
      </c>
      <c r="V13" t="n">
        <v>44195</v>
      </c>
      <c r="W13" t="n">
        <v>441729</v>
      </c>
      <c r="X13" t="n">
        <v>12039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13694</v>
      </c>
      <c r="C14" t="inlineStr">
        <is>
          <t>North Central Elec Coop, Inc - (ND)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ND</t>
        </is>
      </c>
      <c r="H14" t="inlineStr">
        <is>
          <t>Cooperative</t>
        </is>
      </c>
      <c r="I14" t="inlineStr">
        <is>
          <t>MISO</t>
        </is>
      </c>
      <c r="J14" t="n">
        <v>14691.5</v>
      </c>
      <c r="K14" t="n">
        <v>134786</v>
      </c>
      <c r="L14" t="n">
        <v>6061</v>
      </c>
      <c r="M14" t="n">
        <v>11456.4</v>
      </c>
      <c r="N14" t="n">
        <v>84389</v>
      </c>
      <c r="O14" t="n">
        <v>1526</v>
      </c>
      <c r="P14" t="n">
        <v>1142.3</v>
      </c>
      <c r="Q14" t="n">
        <v>14595</v>
      </c>
      <c r="R14" t="n">
        <v>5</v>
      </c>
      <c r="S14" t="n">
        <v>0</v>
      </c>
      <c r="T14" t="n">
        <v>0</v>
      </c>
      <c r="U14" t="n">
        <v>0</v>
      </c>
      <c r="V14" t="n">
        <v>27290.2</v>
      </c>
      <c r="W14" t="n">
        <v>233770</v>
      </c>
      <c r="X14" t="n">
        <v>7592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13781</v>
      </c>
      <c r="C15" t="inlineStr">
        <is>
          <t>Northern States Power Co - Minnesota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ND</t>
        </is>
      </c>
      <c r="H15" t="inlineStr">
        <is>
          <t>Investor Owned</t>
        </is>
      </c>
      <c r="I15" t="inlineStr">
        <is>
          <t>MISO</t>
        </is>
      </c>
      <c r="J15" t="n">
        <v>88553</v>
      </c>
      <c r="K15" t="n">
        <v>731084</v>
      </c>
      <c r="L15" t="n">
        <v>82987</v>
      </c>
      <c r="M15" t="n">
        <v>106696.6</v>
      </c>
      <c r="N15" t="n">
        <v>985019</v>
      </c>
      <c r="O15" t="n">
        <v>13411</v>
      </c>
      <c r="P15" t="n">
        <v>32920.9</v>
      </c>
      <c r="Q15" t="n">
        <v>387480</v>
      </c>
      <c r="R15" t="n">
        <v>24</v>
      </c>
      <c r="S15" t="n">
        <v>0</v>
      </c>
      <c r="T15" t="n">
        <v>0</v>
      </c>
      <c r="U15" t="n">
        <v>0</v>
      </c>
      <c r="V15" t="n">
        <v>228170.5</v>
      </c>
      <c r="W15" t="n">
        <v>2103583</v>
      </c>
      <c r="X15" t="n">
        <v>96422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14232</v>
      </c>
      <c r="C16" t="inlineStr">
        <is>
          <t>Otter Tail Power Co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ND</t>
        </is>
      </c>
      <c r="H16" t="inlineStr">
        <is>
          <t>Investor Owned</t>
        </is>
      </c>
      <c r="I16" t="inlineStr">
        <is>
          <t>MISO</t>
        </is>
      </c>
      <c r="J16" t="n">
        <v>63354.1</v>
      </c>
      <c r="K16" t="n">
        <v>556789</v>
      </c>
      <c r="L16" t="n">
        <v>45467</v>
      </c>
      <c r="M16" t="n">
        <v>128757.8</v>
      </c>
      <c r="N16" t="n">
        <v>1882667</v>
      </c>
      <c r="O16" t="n">
        <v>13643</v>
      </c>
      <c r="P16" t="n">
        <v>1017.5</v>
      </c>
      <c r="Q16" t="n">
        <v>13841</v>
      </c>
      <c r="R16" t="n">
        <v>2</v>
      </c>
      <c r="S16" t="n">
        <v>0</v>
      </c>
      <c r="T16" t="n">
        <v>0</v>
      </c>
      <c r="U16" t="n">
        <v>0</v>
      </c>
      <c r="V16" t="n">
        <v>193129.4</v>
      </c>
      <c r="W16" t="n">
        <v>2453297</v>
      </c>
      <c r="X16" t="n">
        <v>59112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17261</v>
      </c>
      <c r="C17" t="inlineStr">
        <is>
          <t>Slope Electric Coop Inc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ND</t>
        </is>
      </c>
      <c r="H17" t="inlineStr">
        <is>
          <t>Cooperative</t>
        </is>
      </c>
      <c r="I17" t="inlineStr">
        <is>
          <t>SWPP</t>
        </is>
      </c>
      <c r="J17" t="n">
        <v>5981</v>
      </c>
      <c r="K17" t="n">
        <v>43295</v>
      </c>
      <c r="L17" t="n">
        <v>3204</v>
      </c>
      <c r="M17" t="n">
        <v>2827</v>
      </c>
      <c r="N17" t="n">
        <v>19770</v>
      </c>
      <c r="O17" t="n">
        <v>590</v>
      </c>
      <c r="P17" t="n">
        <v>10621</v>
      </c>
      <c r="Q17" t="n">
        <v>141610</v>
      </c>
      <c r="R17" t="n">
        <v>304</v>
      </c>
      <c r="S17" t="n">
        <v>0</v>
      </c>
      <c r="T17" t="n">
        <v>0</v>
      </c>
      <c r="U17" t="n">
        <v>0</v>
      </c>
      <c r="V17" t="n">
        <v>19429</v>
      </c>
      <c r="W17" t="n">
        <v>204675</v>
      </c>
      <c r="X17" t="n">
        <v>4098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19790</v>
      </c>
      <c r="C18" t="inlineStr">
        <is>
          <t>Verendrye Electric Coop Inc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ND</t>
        </is>
      </c>
      <c r="H18" t="inlineStr">
        <is>
          <t>Cooperative</t>
        </is>
      </c>
      <c r="I18" t="inlineStr">
        <is>
          <t>MISO</t>
        </is>
      </c>
      <c r="J18" t="n">
        <v>23590.2</v>
      </c>
      <c r="K18" t="n">
        <v>220422</v>
      </c>
      <c r="L18" t="n">
        <v>14336</v>
      </c>
      <c r="M18" t="n">
        <v>14429.5</v>
      </c>
      <c r="N18" t="n">
        <v>139671</v>
      </c>
      <c r="O18" t="n">
        <v>2333</v>
      </c>
      <c r="P18" t="n">
        <v>15000.6</v>
      </c>
      <c r="Q18" t="n">
        <v>215519</v>
      </c>
      <c r="R18" t="n">
        <v>70</v>
      </c>
      <c r="S18" t="n">
        <v>0</v>
      </c>
      <c r="T18" t="n">
        <v>0</v>
      </c>
      <c r="U18" t="n">
        <v>0</v>
      </c>
      <c r="V18" t="n">
        <v>53020.3</v>
      </c>
      <c r="W18" t="n">
        <v>575612</v>
      </c>
      <c r="X18" t="n">
        <v>16739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20413</v>
      </c>
      <c r="C19" t="inlineStr">
        <is>
          <t>Mountrail-Williams Elec Coop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ND</t>
        </is>
      </c>
      <c r="H19" t="inlineStr">
        <is>
          <t>Cooperative</t>
        </is>
      </c>
      <c r="I19" t="inlineStr">
        <is>
          <t>SWPP</t>
        </is>
      </c>
      <c r="J19" t="n">
        <v>14090.4</v>
      </c>
      <c r="K19" t="n">
        <v>194599</v>
      </c>
      <c r="L19" t="n">
        <v>11405</v>
      </c>
      <c r="M19" t="n">
        <v>85895.8</v>
      </c>
      <c r="N19" t="n">
        <v>1632610</v>
      </c>
      <c r="O19" t="n">
        <v>2651</v>
      </c>
      <c r="P19" t="n">
        <v>346441.4</v>
      </c>
      <c r="Q19" t="n">
        <v>4471060</v>
      </c>
      <c r="R19" t="n">
        <v>4987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446427.6</v>
      </c>
      <c r="W19" t="n">
        <v>6298269</v>
      </c>
      <c r="X19" t="n">
        <v>19043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24949</v>
      </c>
      <c r="C20" t="inlineStr">
        <is>
          <t>Cass County Elec Coop Inc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ND</t>
        </is>
      </c>
      <c r="H20" t="inlineStr">
        <is>
          <t>Cooperative</t>
        </is>
      </c>
      <c r="I20" t="inlineStr">
        <is>
          <t>MISO</t>
        </is>
      </c>
      <c r="J20" t="n">
        <v>76658</v>
      </c>
      <c r="K20" t="n">
        <v>615863</v>
      </c>
      <c r="L20" t="n">
        <v>51968</v>
      </c>
      <c r="M20" t="n">
        <v>51691</v>
      </c>
      <c r="N20" t="n">
        <v>478106</v>
      </c>
      <c r="O20" t="n">
        <v>7117</v>
      </c>
      <c r="P20" t="n">
        <v>27523</v>
      </c>
      <c r="Q20" t="n">
        <v>264216</v>
      </c>
      <c r="R20" t="n">
        <v>602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155872</v>
      </c>
      <c r="W20" t="n">
        <v>1358185</v>
      </c>
      <c r="X20" t="n">
        <v>59687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27000</v>
      </c>
      <c r="C21" t="inlineStr">
        <is>
          <t>WAPA-- Western Area Power Administration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ND</t>
        </is>
      </c>
      <c r="H21" t="inlineStr">
        <is>
          <t>Federal</t>
        </is>
      </c>
      <c r="I21" t="inlineStr">
        <is>
          <t>SWPP</t>
        </is>
      </c>
      <c r="J21" t="n">
        <v>0</v>
      </c>
      <c r="K21" t="n">
        <v>0</v>
      </c>
      <c r="L21" t="n">
        <v>0</v>
      </c>
      <c r="M21" t="n">
        <v>5458.9</v>
      </c>
      <c r="N21" t="n">
        <v>194517</v>
      </c>
      <c r="O21" t="n">
        <v>15</v>
      </c>
      <c r="P21" t="n">
        <v>64.7</v>
      </c>
      <c r="Q21" t="n">
        <v>5710</v>
      </c>
      <c r="R21" t="n">
        <v>6</v>
      </c>
      <c r="S21" t="n">
        <v>0</v>
      </c>
      <c r="T21" t="n">
        <v>0</v>
      </c>
      <c r="U21" t="n">
        <v>0</v>
      </c>
      <c r="V21" t="n">
        <v>5523.6</v>
      </c>
      <c r="W21" t="n">
        <v>200227</v>
      </c>
      <c r="X21" t="n">
        <v>21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55959</v>
      </c>
      <c r="C22" t="inlineStr">
        <is>
          <t>Roughrider Electric Cooperativ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ND</t>
        </is>
      </c>
      <c r="H22" t="inlineStr">
        <is>
          <t>Cooperative</t>
        </is>
      </c>
      <c r="I22" t="inlineStr">
        <is>
          <t>SWPP</t>
        </is>
      </c>
      <c r="J22" t="n">
        <v>16734</v>
      </c>
      <c r="K22" t="n">
        <v>163427</v>
      </c>
      <c r="L22" t="n">
        <v>11183</v>
      </c>
      <c r="M22" t="n">
        <v>37904</v>
      </c>
      <c r="N22" t="n">
        <v>328186</v>
      </c>
      <c r="O22" t="n">
        <v>3927</v>
      </c>
      <c r="P22" t="n">
        <v>23006</v>
      </c>
      <c r="Q22" t="n">
        <v>271288</v>
      </c>
      <c r="R22" t="n">
        <v>77</v>
      </c>
      <c r="S22" t="n">
        <v>0</v>
      </c>
      <c r="T22" t="n">
        <v>0</v>
      </c>
      <c r="U22" t="n">
        <v>0</v>
      </c>
      <c r="V22" t="n">
        <v>77644</v>
      </c>
      <c r="W22" t="n">
        <v>762901</v>
      </c>
      <c r="X22" t="n">
        <v>15187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99999</v>
      </c>
      <c r="C23" t="inlineStr">
        <is>
          <t>Adjustment 2024</t>
        </is>
      </c>
      <c r="D23" t="inlineStr">
        <is>
          <t>A</t>
        </is>
      </c>
      <c r="E23" t="inlineStr">
        <is>
          <t>Bundled</t>
        </is>
      </c>
      <c r="F23" t="inlineStr">
        <is>
          <t>I</t>
        </is>
      </c>
      <c r="G23" t="inlineStr">
        <is>
          <t>ND</t>
        </is>
      </c>
      <c r="H23" t="inlineStr"/>
      <c r="I23" t="inlineStr">
        <is>
          <t>WACM</t>
        </is>
      </c>
      <c r="J23" t="n">
        <v>301.6</v>
      </c>
      <c r="K23" t="n">
        <v>2398</v>
      </c>
      <c r="L23" t="n">
        <v>227</v>
      </c>
      <c r="M23" t="n">
        <v>151.5</v>
      </c>
      <c r="N23" t="n">
        <v>1577</v>
      </c>
      <c r="O23" t="n">
        <v>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453.1</v>
      </c>
      <c r="W23" t="n">
        <v>3975</v>
      </c>
      <c r="X23" t="n">
        <v>254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99999</v>
      </c>
      <c r="C24" t="inlineStr">
        <is>
          <t>Adjustment 2024</t>
        </is>
      </c>
      <c r="D24" t="inlineStr">
        <is>
          <t>A</t>
        </is>
      </c>
      <c r="E24" t="inlineStr">
        <is>
          <t>Bundled</t>
        </is>
      </c>
      <c r="F24" t="inlineStr">
        <is>
          <t>I</t>
        </is>
      </c>
      <c r="G24" t="inlineStr">
        <is>
          <t>ND</t>
        </is>
      </c>
      <c r="H24" t="inlineStr"/>
      <c r="I24" t="inlineStr">
        <is>
          <t>MISO</t>
        </is>
      </c>
      <c r="J24" t="n">
        <v>11666.1</v>
      </c>
      <c r="K24" t="n">
        <v>93507</v>
      </c>
      <c r="L24" t="n">
        <v>6514</v>
      </c>
      <c r="M24" t="n">
        <v>5207.2</v>
      </c>
      <c r="N24" t="n">
        <v>85513</v>
      </c>
      <c r="O24" t="n">
        <v>1005</v>
      </c>
      <c r="P24" t="n">
        <v>2876.1</v>
      </c>
      <c r="Q24" t="n">
        <v>27011</v>
      </c>
      <c r="R24" t="n">
        <v>81</v>
      </c>
      <c r="S24" t="n">
        <v>0</v>
      </c>
      <c r="T24" t="n">
        <v>0</v>
      </c>
      <c r="U24" t="n">
        <v>0</v>
      </c>
      <c r="V24" t="n">
        <v>19749.4</v>
      </c>
      <c r="W24" t="n">
        <v>206031</v>
      </c>
      <c r="X24" t="n">
        <v>7600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99999</v>
      </c>
      <c r="C25" t="inlineStr">
        <is>
          <t>Adjustment 2024</t>
        </is>
      </c>
      <c r="D25" t="inlineStr">
        <is>
          <t>A</t>
        </is>
      </c>
      <c r="E25" t="inlineStr">
        <is>
          <t>Bundled</t>
        </is>
      </c>
      <c r="F25" t="inlineStr">
        <is>
          <t>I</t>
        </is>
      </c>
      <c r="G25" t="inlineStr">
        <is>
          <t>ND</t>
        </is>
      </c>
      <c r="H25" t="inlineStr"/>
      <c r="I25" t="inlineStr">
        <is>
          <t>SWPP</t>
        </is>
      </c>
      <c r="J25" t="n">
        <v>26879.6</v>
      </c>
      <c r="K25" t="n">
        <v>219400</v>
      </c>
      <c r="L25" t="n">
        <v>17005</v>
      </c>
      <c r="M25" t="n">
        <v>23596.2</v>
      </c>
      <c r="N25" t="n">
        <v>217215</v>
      </c>
      <c r="O25" t="n">
        <v>3176</v>
      </c>
      <c r="P25" t="n">
        <v>3738.6</v>
      </c>
      <c r="Q25" t="n">
        <v>30553</v>
      </c>
      <c r="R25" t="n">
        <v>287</v>
      </c>
      <c r="S25" t="n">
        <v>0</v>
      </c>
      <c r="T25" t="n">
        <v>0</v>
      </c>
      <c r="U25" t="n">
        <v>0</v>
      </c>
      <c r="V25" t="n">
        <v>54214.4</v>
      </c>
      <c r="W25" t="n">
        <v>467168</v>
      </c>
      <c r="X25" t="n">
        <v>20468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ND</t>
        </is>
      </c>
      <c r="B2">
        <f>SUMIFS('EIA-861 Sales 2024'!$Y$4:$Y$25,'EIA-861 Sales 2024'!$Z$4:$Z$25,"cost_service")</f>
        <v/>
      </c>
      <c r="C2">
        <f>SUMIFS('EIA-861 Sales 2024'!$Y$4:$Y$25,'EIA-861 Sales 2024'!$Z$4:$Z$25,"procurement")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2026-06-02T20:15:30Z</dcterms:created>
  <dcterms:modified xmlns:dcterms="http://purl.org/dc/terms/" xmlns:xsi="http://www.w3.org/2001/XMLSchema-instance" xsi:type="dcterms:W3CDTF">2026-06-02T20:15:30Z</dcterms:modified>
</cp:coreProperties>
</file>