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D\fuels\BCTR\"/>
    </mc:Choice>
  </mc:AlternateContent>
  <xr:revisionPtr revIDLastSave="0" documentId="8_{24E4E64C-4284-4E4E-82BB-EE9A9C0914DC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bout" sheetId="1" r:id="rId1"/>
    <sheet name="BCTR" sheetId="2" r:id="rId2"/>
    <sheet name="Keys" sheetId="3" r:id="rId3"/>
    <sheet name="RGGI_auctions" sheetId="4" r:id="rId4"/>
    <sheet name="CA_auctions" sheetId="5" r:id="rId5"/>
    <sheet name="RGGI_Auction66_states" sheetId="6" r:id="rId6"/>
    <sheet name="WA_prices" sheetId="7" r:id="rId7"/>
    <sheet name="Calcs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1" i="8" l="1"/>
  <c r="B24" i="8"/>
  <c r="C24" i="8" s="1"/>
  <c r="G31" i="8" s="1"/>
  <c r="B23" i="8"/>
  <c r="C23" i="8" s="1"/>
  <c r="F31" i="8" s="1"/>
  <c r="B22" i="8"/>
  <c r="C22" i="8" s="1"/>
  <c r="E31" i="8" s="1"/>
  <c r="B21" i="8"/>
  <c r="C21" i="8" s="1"/>
  <c r="C20" i="8"/>
  <c r="C31" i="8" s="1"/>
  <c r="B20" i="8"/>
  <c r="B19" i="8"/>
  <c r="C19" i="8" s="1"/>
  <c r="B31" i="8" s="1"/>
  <c r="B18" i="8"/>
  <c r="C18" i="8" s="1"/>
  <c r="B17" i="8"/>
  <c r="C17" i="8" s="1"/>
  <c r="B10" i="8"/>
  <c r="C10" i="8" s="1"/>
  <c r="D10" i="8" s="1"/>
  <c r="G30" i="8" s="1"/>
  <c r="B9" i="8"/>
  <c r="C9" i="8" s="1"/>
  <c r="D9" i="8" s="1"/>
  <c r="F30" i="8" s="1"/>
  <c r="B8" i="8"/>
  <c r="C8" i="8" s="1"/>
  <c r="D8" i="8" s="1"/>
  <c r="E30" i="8" s="1"/>
  <c r="B7" i="8"/>
  <c r="C7" i="8" s="1"/>
  <c r="D7" i="8" s="1"/>
  <c r="D30" i="8" s="1"/>
  <c r="D6" i="8"/>
  <c r="C30" i="8" s="1"/>
  <c r="B6" i="8"/>
  <c r="C6" i="8" s="1"/>
  <c r="B5" i="8"/>
  <c r="C5" i="8" s="1"/>
  <c r="D5" i="8" s="1"/>
  <c r="B30" i="8" s="1"/>
  <c r="B4" i="8"/>
  <c r="C4" i="8" s="1"/>
  <c r="D4" i="8" s="1"/>
  <c r="B3" i="8"/>
  <c r="C3" i="8" s="1"/>
  <c r="D3" i="8" s="1"/>
  <c r="B5" i="7"/>
  <c r="B6" i="7" s="1"/>
  <c r="O32" i="8" s="1"/>
  <c r="B3" i="1"/>
  <c r="F4" i="2" s="1"/>
  <c r="B2" i="1"/>
  <c r="B2" i="2" l="1"/>
  <c r="D3" i="2"/>
  <c r="F8" i="2"/>
  <c r="B9" i="2"/>
  <c r="E9" i="2"/>
  <c r="C2" i="2"/>
  <c r="C8" i="2"/>
  <c r="E3" i="2"/>
  <c r="E8" i="2"/>
  <c r="F3" i="2"/>
  <c r="C4" i="2"/>
  <c r="D8" i="2"/>
  <c r="B13" i="8"/>
  <c r="B12" i="8"/>
  <c r="G6" i="2"/>
  <c r="G3" i="2"/>
  <c r="G5" i="2"/>
  <c r="B26" i="8"/>
  <c r="B25" i="8"/>
  <c r="C3" i="2"/>
  <c r="M32" i="8"/>
  <c r="N32" i="8"/>
  <c r="AF32" i="8"/>
  <c r="J32" i="8"/>
  <c r="AE32" i="8"/>
  <c r="I32" i="8"/>
  <c r="G32" i="8"/>
  <c r="AD32" i="8"/>
  <c r="H32" i="8"/>
  <c r="F32" i="8"/>
  <c r="Y32" i="8"/>
  <c r="X32" i="8"/>
  <c r="AC32" i="8"/>
  <c r="AB32" i="8"/>
  <c r="AA32" i="8"/>
  <c r="E32" i="8"/>
  <c r="Z32" i="8"/>
  <c r="V32" i="8"/>
  <c r="U32" i="8"/>
  <c r="S32" i="8"/>
  <c r="R32" i="8"/>
  <c r="Q32" i="8"/>
  <c r="P32" i="8"/>
  <c r="L32" i="8"/>
  <c r="K32" i="8"/>
  <c r="B8" i="2"/>
  <c r="B6" i="2"/>
  <c r="T32" i="8"/>
  <c r="W32" i="8"/>
  <c r="C6" i="2"/>
  <c r="G8" i="2"/>
  <c r="D6" i="2"/>
  <c r="E6" i="2"/>
  <c r="B4" i="2"/>
  <c r="F6" i="2"/>
  <c r="D4" i="2"/>
  <c r="C9" i="2"/>
  <c r="E4" i="2"/>
  <c r="D9" i="2"/>
  <c r="G4" i="2"/>
  <c r="B7" i="2"/>
  <c r="F9" i="2"/>
  <c r="D2" i="2"/>
  <c r="C7" i="2"/>
  <c r="G9" i="2"/>
  <c r="F2" i="2"/>
  <c r="G2" i="2"/>
  <c r="B5" i="2"/>
  <c r="F7" i="2"/>
  <c r="C5" i="2"/>
  <c r="G7" i="2"/>
  <c r="D5" i="2"/>
  <c r="E2" i="2"/>
  <c r="D7" i="2"/>
  <c r="E7" i="2"/>
  <c r="E5" i="2"/>
  <c r="B3" i="2"/>
  <c r="F5" i="2"/>
  <c r="L31" i="8" l="1"/>
  <c r="J31" i="8"/>
  <c r="I31" i="8"/>
  <c r="H31" i="8"/>
  <c r="K31" i="8"/>
  <c r="Y30" i="8"/>
  <c r="X30" i="8"/>
  <c r="S30" i="8"/>
  <c r="W30" i="8"/>
  <c r="V30" i="8"/>
  <c r="U30" i="8"/>
  <c r="R30" i="8"/>
  <c r="Q30" i="8"/>
  <c r="T30" i="8"/>
  <c r="O30" i="8"/>
  <c r="N30" i="8"/>
  <c r="L30" i="8"/>
  <c r="K30" i="8"/>
  <c r="AF30" i="8"/>
  <c r="J30" i="8"/>
  <c r="AE30" i="8"/>
  <c r="I30" i="8"/>
  <c r="AD30" i="8"/>
  <c r="P30" i="8"/>
  <c r="M30" i="8"/>
  <c r="AC30" i="8"/>
  <c r="AA30" i="8"/>
  <c r="AB30" i="8"/>
  <c r="Z30" i="8"/>
  <c r="H30" i="8"/>
  <c r="K8" i="2" l="1"/>
  <c r="K5" i="2"/>
  <c r="K7" i="2"/>
  <c r="K3" i="2"/>
  <c r="K4" i="2"/>
  <c r="K2" i="2"/>
  <c r="K6" i="2"/>
  <c r="K9" i="2"/>
  <c r="H5" i="2"/>
  <c r="H7" i="2"/>
  <c r="H8" i="2"/>
  <c r="H9" i="2"/>
  <c r="H2" i="2"/>
  <c r="H3" i="2"/>
  <c r="H6" i="2"/>
  <c r="H4" i="2"/>
  <c r="I5" i="2"/>
  <c r="I2" i="2"/>
  <c r="I8" i="2"/>
  <c r="I9" i="2"/>
  <c r="I6" i="2"/>
  <c r="I4" i="2"/>
  <c r="I3" i="2"/>
  <c r="I7" i="2"/>
  <c r="J5" i="2"/>
  <c r="J6" i="2"/>
  <c r="J4" i="2"/>
  <c r="J7" i="2"/>
  <c r="J8" i="2"/>
  <c r="J9" i="2"/>
  <c r="J3" i="2"/>
  <c r="J2" i="2"/>
  <c r="M31" i="8"/>
  <c r="L3" i="2"/>
  <c r="L2" i="2"/>
  <c r="L7" i="2"/>
  <c r="L9" i="2"/>
  <c r="L8" i="2"/>
  <c r="L6" i="2"/>
  <c r="L4" i="2"/>
  <c r="L5" i="2"/>
  <c r="N31" i="8" l="1"/>
  <c r="M7" i="2"/>
  <c r="M2" i="2"/>
  <c r="M4" i="2"/>
  <c r="M3" i="2"/>
  <c r="M8" i="2"/>
  <c r="M9" i="2"/>
  <c r="M6" i="2"/>
  <c r="M5" i="2"/>
  <c r="O31" i="8" l="1"/>
  <c r="N8" i="2"/>
  <c r="N7" i="2"/>
  <c r="N2" i="2"/>
  <c r="N9" i="2"/>
  <c r="N5" i="2"/>
  <c r="N3" i="2"/>
  <c r="N4" i="2"/>
  <c r="N6" i="2"/>
  <c r="P31" i="8" l="1"/>
  <c r="O3" i="2"/>
  <c r="O7" i="2"/>
  <c r="O2" i="2"/>
  <c r="O9" i="2"/>
  <c r="O8" i="2"/>
  <c r="O4" i="2"/>
  <c r="O6" i="2"/>
  <c r="O5" i="2"/>
  <c r="P3" i="2" l="1"/>
  <c r="P5" i="2"/>
  <c r="P2" i="2"/>
  <c r="Q31" i="8"/>
  <c r="P9" i="2"/>
  <c r="P4" i="2"/>
  <c r="P6" i="2"/>
  <c r="P7" i="2"/>
  <c r="P8" i="2"/>
  <c r="R31" i="8" l="1"/>
  <c r="Q9" i="2"/>
  <c r="Q4" i="2"/>
  <c r="Q8" i="2"/>
  <c r="Q2" i="2"/>
  <c r="Q3" i="2"/>
  <c r="Q6" i="2"/>
  <c r="Q5" i="2"/>
  <c r="Q7" i="2"/>
  <c r="S31" i="8" l="1"/>
  <c r="R4" i="2"/>
  <c r="R9" i="2"/>
  <c r="R7" i="2"/>
  <c r="R8" i="2"/>
  <c r="R5" i="2"/>
  <c r="R3" i="2"/>
  <c r="R2" i="2"/>
  <c r="R6" i="2"/>
  <c r="S5" i="2" l="1"/>
  <c r="T31" i="8"/>
  <c r="S4" i="2"/>
  <c r="S9" i="2"/>
  <c r="S6" i="2"/>
  <c r="S8" i="2"/>
  <c r="S2" i="2"/>
  <c r="S7" i="2"/>
  <c r="S3" i="2"/>
  <c r="U31" i="8" l="1"/>
  <c r="T7" i="2"/>
  <c r="T6" i="2"/>
  <c r="T4" i="2"/>
  <c r="T3" i="2"/>
  <c r="T8" i="2"/>
  <c r="T9" i="2"/>
  <c r="T5" i="2"/>
  <c r="T2" i="2"/>
  <c r="V31" i="8" l="1"/>
  <c r="U2" i="2"/>
  <c r="U6" i="2"/>
  <c r="U4" i="2"/>
  <c r="U7" i="2"/>
  <c r="U3" i="2"/>
  <c r="U9" i="2"/>
  <c r="U8" i="2"/>
  <c r="U5" i="2"/>
  <c r="W31" i="8" l="1"/>
  <c r="V6" i="2"/>
  <c r="V2" i="2"/>
  <c r="V3" i="2"/>
  <c r="V4" i="2"/>
  <c r="V7" i="2"/>
  <c r="V5" i="2"/>
  <c r="V9" i="2"/>
  <c r="V8" i="2"/>
  <c r="X31" i="8" l="1"/>
  <c r="W7" i="2"/>
  <c r="W6" i="2"/>
  <c r="W9" i="2"/>
  <c r="W5" i="2"/>
  <c r="W2" i="2"/>
  <c r="W8" i="2"/>
  <c r="W3" i="2"/>
  <c r="W4" i="2"/>
  <c r="Y31" i="8" l="1"/>
  <c r="X8" i="2"/>
  <c r="X6" i="2"/>
  <c r="X9" i="2"/>
  <c r="X2" i="2"/>
  <c r="X5" i="2"/>
  <c r="X4" i="2"/>
  <c r="X7" i="2"/>
  <c r="X3" i="2"/>
  <c r="Y3" i="2" l="1"/>
  <c r="Z31" i="8"/>
  <c r="Y2" i="2"/>
  <c r="Y4" i="2"/>
  <c r="Y8" i="2"/>
  <c r="Y6" i="2"/>
  <c r="Y7" i="2"/>
  <c r="Y5" i="2"/>
  <c r="Y9" i="2"/>
  <c r="AA31" i="8" l="1"/>
  <c r="Z8" i="2"/>
  <c r="Z3" i="2"/>
  <c r="Z4" i="2"/>
  <c r="Z7" i="2"/>
  <c r="Z2" i="2"/>
  <c r="Z5" i="2"/>
  <c r="Z9" i="2"/>
  <c r="Z6" i="2"/>
  <c r="AB31" i="8" l="1"/>
  <c r="AA8" i="2"/>
  <c r="AA3" i="2"/>
  <c r="AA9" i="2"/>
  <c r="AA6" i="2"/>
  <c r="AA4" i="2"/>
  <c r="AA7" i="2"/>
  <c r="AA5" i="2"/>
  <c r="AA2" i="2"/>
  <c r="AB3" i="2" l="1"/>
  <c r="AC31" i="8"/>
  <c r="AB4" i="2"/>
  <c r="AB8" i="2"/>
  <c r="AB9" i="2"/>
  <c r="AB2" i="2"/>
  <c r="AB5" i="2"/>
  <c r="AB7" i="2"/>
  <c r="AB6" i="2"/>
  <c r="AD31" i="8" l="1"/>
  <c r="AC3" i="2"/>
  <c r="AC6" i="2"/>
  <c r="AC5" i="2"/>
  <c r="AC8" i="2"/>
  <c r="AC7" i="2"/>
  <c r="AC2" i="2"/>
  <c r="AC9" i="2"/>
  <c r="AC4" i="2"/>
  <c r="AE31" i="8" l="1"/>
  <c r="AD5" i="2"/>
  <c r="AD6" i="2"/>
  <c r="AD2" i="2"/>
  <c r="AD7" i="2"/>
  <c r="AD9" i="2"/>
  <c r="AD4" i="2"/>
  <c r="AD8" i="2"/>
  <c r="AD3" i="2"/>
  <c r="AF31" i="8" l="1"/>
  <c r="AE5" i="2"/>
  <c r="AE7" i="2"/>
  <c r="AE8" i="2"/>
  <c r="AE2" i="2"/>
  <c r="AE3" i="2"/>
  <c r="AE4" i="2"/>
  <c r="AE9" i="2"/>
  <c r="AE6" i="2"/>
  <c r="AF5" i="2" l="1"/>
  <c r="AF6" i="2"/>
  <c r="AF8" i="2"/>
  <c r="AF3" i="2"/>
  <c r="AF9" i="2"/>
  <c r="AF2" i="2"/>
  <c r="AF4" i="2"/>
  <c r="AF7" i="2"/>
</calcChain>
</file>

<file path=xl/sharedStrings.xml><?xml version="1.0" encoding="utf-8"?>
<sst xmlns="http://schemas.openxmlformats.org/spreadsheetml/2006/main" count="490" uniqueCount="361">
  <si>
    <t>BCTR  -  BAU Carbon Tax Rate</t>
  </si>
  <si>
    <t>California</t>
  </si>
  <si>
    <t>State abbr (derived):</t>
  </si>
  <si>
    <t>Program (derived):</t>
  </si>
  <si>
    <t>Type any state into B1 (yellow). B2/B3 derive the abbreviation and carbon-pricing program.</t>
  </si>
  <si>
    <t>Raw data is embedded verbatim with full source columns: RGGI_auctions (price/volume time</t>
  </si>
  <si>
    <t>series), RGGI_Auction66_states (state-level proceeds/allowances), CA_auctions (CARB joint-auction</t>
  </si>
  <si>
    <t>summary), WA_prices. All downstream values are formulas: Calcs averages the clearing/settlement</t>
  </si>
  <si>
    <t>price column per year, deflates to 2012$, regresses 2018-2025, and forecasts; BCTR picks the</t>
  </si>
  <si>
    <t>active state program via INDEX/MATCH.</t>
  </si>
  <si>
    <t xml:space="preserve">  RGGI states  -&gt; electricity only; clearing price avg x CPI deflator x 0.90718 (short-&gt;metric),</t>
  </si>
  <si>
    <t xml:space="preserve">                  linear regression 2018-2025 -&gt; forecast to 2050.</t>
  </si>
  <si>
    <t xml:space="preserve">  California    -&gt; all sectors; settlement price avg x CPI deflator (2012$), regression 2018-2025,</t>
  </si>
  <si>
    <t xml:space="preserve">                  forecast 2026-2030, flat 2031-2050 (AB 398 extends cap authority to 2030).</t>
  </si>
  <si>
    <t xml:space="preserve">  Washington    -&gt; all sectors except industry &amp; LULUCF; most recent observed auction</t>
  </si>
  <si>
    <t xml:space="preserve">                  settlement price deflated to 2012$ and HELD CONSTANT 2023-2050.</t>
  </si>
  <si>
    <t xml:space="preserve">  All other states -&gt; $0.</t>
  </si>
  <si>
    <t>NOTE: WA is now expressed in 2012$ (consistent with RGGI/CA). It was previously a nominal</t>
  </si>
  <si>
    <t xml:space="preserve">      multi-year RMI/Ecology projection; replaced 2026-06 per staff request with a single</t>
  </si>
  <si>
    <t xml:space="preserve">      recent auction price deflated to 2012$ and held flat. The WA_prices tab shows the math.</t>
  </si>
  <si>
    <t>FLAG: CA regression input now includes the Feb &amp; May 2018 California-Ontario-Quebec joint</t>
  </si>
  <si>
    <t xml:space="preserve">      auctions ($14.61, $14.65), which the prior build omitted. This lowers the 2018 annual</t>
  </si>
  <si>
    <t xml:space="preserve">      average and slightly shifts the CA SLOPE/INTERCEPT vs the prior file. Review before use.</t>
  </si>
  <si>
    <t>SOURCES (verify against primary sources before external use)</t>
  </si>
  <si>
    <t>1. Regional Greenhouse Gas Initiative (RGGI)</t>
  </si>
  <si>
    <t xml:space="preserve">   Allowance Prices and Volumes (auction clearing prices and quantities).</t>
  </si>
  <si>
    <t xml:space="preserve">   Tab: RGGI_auctions. https://www.rggi.org/auctions/auction-results/prices-volumes</t>
  </si>
  <si>
    <t xml:space="preserve">   Auction 66 State Proceeds and Allowances (state-level allowances sold and proceeds).</t>
  </si>
  <si>
    <t xml:space="preserve">   Tab: RGGI_Auction66_states. https://www.rggi.org/auctions/auction-results/proceeds</t>
  </si>
  <si>
    <t>2. California Air Resources Board (CARB)</t>
  </si>
  <si>
    <t xml:space="preserve">   California Cap-and-Invest Program - Summary of California-Quebec Joint Auction Settlement</t>
  </si>
  <si>
    <t xml:space="preserve">   Prices and Results (last updated May 2026). Tab: CA_auctions.</t>
  </si>
  <si>
    <t xml:space="preserve">   https://ww2.arb.ca.gov/our-work/programs/cap-and-trade-program/auction-information</t>
  </si>
  <si>
    <t xml:space="preserve">   Auction archive: https://www.arb.ca.gov/cc/capandtrade/auction/auction_archive.htm</t>
  </si>
  <si>
    <t>3. California Air Resources Board (CARB) - Cap-and-Trade Regulation</t>
  </si>
  <si>
    <t xml:space="preserve">   Price-floor (Auction Reserve Price) annual escalation: section 95911 (3) A, p. 221.</t>
  </si>
  <si>
    <t xml:space="preserve">   https://www.arb.ca.gov/cc/capandtrade/capandtrade/unofficial_ct_100217.pdf</t>
  </si>
  <si>
    <t>4. U.S. Bureau of Labor Statistics (BLS)</t>
  </si>
  <si>
    <t xml:space="preserve">   Historical Consumer Price Index for All Urban Consumers (CPI-U); used to deflate</t>
  </si>
  <si>
    <t xml:space="preserve">   nominal prices to constant 2012$. Tab: Keys (deflator block).</t>
  </si>
  <si>
    <t xml:space="preserve">   https://www.bls.gov/cpi/tables/supplemental-files/historical-cpi-u-202201.pdf</t>
  </si>
  <si>
    <t>5. Washington State Department of Ecology - Climate Commitment Act Cap-and-Invest</t>
  </si>
  <si>
    <t xml:space="preserve">   Most recent quarterly auction settlement price (current-vintage), $/metric ton CO2e:</t>
  </si>
  <si>
    <t xml:space="preserve">   Auction #14, June 4, 2026 = $64.56 (nominal). Deflated to 2012$ and held constant.</t>
  </si>
  <si>
    <t xml:space="preserve">   Tab: WA_prices. Auctions &amp; market:</t>
  </si>
  <si>
    <t xml:space="preserve">   https://ecology.wa.gov/air-climate/climate-commitment-act/cap-and-invest/auctions-and-market</t>
  </si>
  <si>
    <t xml:space="preserve">   (Prior build used RMI/Ecology projection https://apps.ecology.wa.gov/publications/documents/2302010.pdf)</t>
  </si>
  <si>
    <t>NOTES</t>
  </si>
  <si>
    <t>CARB section 95911 (3) A, p. 221 - Auction Reserve Price escalation language:</t>
  </si>
  <si>
    <t xml:space="preserve">   "The Auction Reserve Price in U.S. dollars shall be the U.S. dollar Auction Reserve Price</t>
  </si>
  <si>
    <t xml:space="preserve">   for the previous calendar year increased annually by 5 percent plus the rate of inflation</t>
  </si>
  <si>
    <t xml:space="preserve">   as measured by the most recently available twelve months of the Consumer Price Index for</t>
  </si>
  <si>
    <t xml:space="preserve">   All Urban Consumers."</t>
  </si>
  <si>
    <t>AB 398 extends authority for caps to 2030, so the CA price is held constant in 2031 and later.</t>
  </si>
  <si>
    <t>CPI-U deflators to 2012$ live on the Keys tab (CPI_2012=229.594, annual avg). The 2025 deflator</t>
  </si>
  <si>
    <t xml:space="preserve">   uses an estimated CPI_2025=322.0; the 2026 deflator (for WA) uses CPI-U May 2026 = 335.123</t>
  </si>
  <si>
    <t xml:space="preserve">   (latest monthly, NSA, released 2026-06-10). Both should be refreshed against final BLS CPI-U.</t>
  </si>
  <si>
    <t>Vintages: CA table as published "last updated May 2026" (through Joint Auction #47, May 2026);</t>
  </si>
  <si>
    <t xml:space="preserve">   RGGI state table is Auction 66 (June 4, 2025); WA price is Auction #14 (June 4, 2026).</t>
  </si>
  <si>
    <t xml:space="preserve">   Verify against the latest releases.</t>
  </si>
  <si>
    <t>Built as a clean, formula-driven rebuild with raw data embedded verbatim. Inputs for staff review.</t>
  </si>
  <si>
    <t>Unit: $/metric ton CO2e</t>
  </si>
  <si>
    <t>transportation sector</t>
  </si>
  <si>
    <t>electricity sector</t>
  </si>
  <si>
    <t>residential buildings sector</t>
  </si>
  <si>
    <t>commercial buildings sector</t>
  </si>
  <si>
    <t>industry sector</t>
  </si>
  <si>
    <t>district heat and hydrogen sector</t>
  </si>
  <si>
    <t>LULUCF sector (does not use fuel)</t>
  </si>
  <si>
    <t>geoengineering sector (uses industry sector rate)</t>
  </si>
  <si>
    <t>state_abbr</t>
  </si>
  <si>
    <t>state_name</t>
  </si>
  <si>
    <t>program</t>
  </si>
  <si>
    <t>AL</t>
  </si>
  <si>
    <t>Alabama</t>
  </si>
  <si>
    <t>none</t>
  </si>
  <si>
    <t>RGGI</t>
  </si>
  <si>
    <t>AR</t>
  </si>
  <si>
    <t>Arkansas</t>
  </si>
  <si>
    <t>CA</t>
  </si>
  <si>
    <t>AZ</t>
  </si>
  <si>
    <t>Arizona</t>
  </si>
  <si>
    <t>WA</t>
  </si>
  <si>
    <t>CO</t>
  </si>
  <si>
    <t>Colorado</t>
  </si>
  <si>
    <t>CT</t>
  </si>
  <si>
    <t>Connecticut</t>
  </si>
  <si>
    <t>DE</t>
  </si>
  <si>
    <t>Delaware</t>
  </si>
  <si>
    <t>FL</t>
  </si>
  <si>
    <t>Florida</t>
  </si>
  <si>
    <t>GA</t>
  </si>
  <si>
    <t>Georgia</t>
  </si>
  <si>
    <t>IA</t>
  </si>
  <si>
    <t>Iowa</t>
  </si>
  <si>
    <t>ID</t>
  </si>
  <si>
    <t>Idaho</t>
  </si>
  <si>
    <t>IL</t>
  </si>
  <si>
    <t>Illinois</t>
  </si>
  <si>
    <t>IN</t>
  </si>
  <si>
    <t>Indiana</t>
  </si>
  <si>
    <t>KS</t>
  </si>
  <si>
    <t>Kansas</t>
  </si>
  <si>
    <t>KY</t>
  </si>
  <si>
    <t>Kentucky</t>
  </si>
  <si>
    <t>LA</t>
  </si>
  <si>
    <t>Louisiana</t>
  </si>
  <si>
    <t>MA</t>
  </si>
  <si>
    <t>Massachusetts</t>
  </si>
  <si>
    <t>MD</t>
  </si>
  <si>
    <t>Maryland</t>
  </si>
  <si>
    <t>ME</t>
  </si>
  <si>
    <t>Maine</t>
  </si>
  <si>
    <t>MI</t>
  </si>
  <si>
    <t>Michigan</t>
  </si>
  <si>
    <t>MN</t>
  </si>
  <si>
    <t>Minnesota</t>
  </si>
  <si>
    <t>MO</t>
  </si>
  <si>
    <t>Missouri</t>
  </si>
  <si>
    <t>MS</t>
  </si>
  <si>
    <t>Mississippi</t>
  </si>
  <si>
    <t>MT</t>
  </si>
  <si>
    <t>Montana</t>
  </si>
  <si>
    <t>NC</t>
  </si>
  <si>
    <t>North Carolina</t>
  </si>
  <si>
    <t>ND</t>
  </si>
  <si>
    <t>North Dakota</t>
  </si>
  <si>
    <t>NE</t>
  </si>
  <si>
    <t>Nebraska</t>
  </si>
  <si>
    <t>NH</t>
  </si>
  <si>
    <t>New Hampshire</t>
  </si>
  <si>
    <t>NJ</t>
  </si>
  <si>
    <t>New Jersey</t>
  </si>
  <si>
    <t>NM</t>
  </si>
  <si>
    <t>New Mexico</t>
  </si>
  <si>
    <t>NV</t>
  </si>
  <si>
    <t>Nevada</t>
  </si>
  <si>
    <t>NY</t>
  </si>
  <si>
    <t>New York</t>
  </si>
  <si>
    <t>OH</t>
  </si>
  <si>
    <t>Ohio</t>
  </si>
  <si>
    <t>OK</t>
  </si>
  <si>
    <t>Oklahoma</t>
  </si>
  <si>
    <t>OR</t>
  </si>
  <si>
    <t>Oregon</t>
  </si>
  <si>
    <t>PA</t>
  </si>
  <si>
    <t>Pennsylvania</t>
  </si>
  <si>
    <t>RI</t>
  </si>
  <si>
    <t>Rhode Island</t>
  </si>
  <si>
    <t>SC</t>
  </si>
  <si>
    <t>South Carolina</t>
  </si>
  <si>
    <t>SD</t>
  </si>
  <si>
    <t>South Dakota</t>
  </si>
  <si>
    <t>TN</t>
  </si>
  <si>
    <t>Tennessee</t>
  </si>
  <si>
    <t>TX</t>
  </si>
  <si>
    <t>Texas</t>
  </si>
  <si>
    <t>UT</t>
  </si>
  <si>
    <t>Utah</t>
  </si>
  <si>
    <t>VA</t>
  </si>
  <si>
    <t>Virginia</t>
  </si>
  <si>
    <t>VT</t>
  </si>
  <si>
    <t>Vermont</t>
  </si>
  <si>
    <t>Washington</t>
  </si>
  <si>
    <t>WI</t>
  </si>
  <si>
    <t>Wisconsin</t>
  </si>
  <si>
    <t>WV</t>
  </si>
  <si>
    <t>West Virginia</t>
  </si>
  <si>
    <t>WY</t>
  </si>
  <si>
    <t>Wyoming</t>
  </si>
  <si>
    <t>CPI deflators to 2012$ (CPI_2012/CPI_year)</t>
  </si>
  <si>
    <t>year</t>
  </si>
  <si>
    <t>deflator_2012</t>
  </si>
  <si>
    <t>short_to_metric</t>
  </si>
  <si>
    <t>2025 deflator uses CPI_2025=322.0 (estimate); 2026 uses CPI-U May 2026 monthly NSA=335.123 (verify vs final BLS CPI-U)</t>
  </si>
  <si>
    <t>Year</t>
  </si>
  <si>
    <t>Auction</t>
  </si>
  <si>
    <t>Date</t>
  </si>
  <si>
    <t>Quantity Offered</t>
  </si>
  <si>
    <t>CCR Sold</t>
  </si>
  <si>
    <t>Quantity Sold</t>
  </si>
  <si>
    <t>Clearing Price</t>
  </si>
  <si>
    <t>Total Proceeds</t>
  </si>
  <si>
    <t>Auction 64</t>
  </si>
  <si>
    <t>Auction 63</t>
  </si>
  <si>
    <t>Auction 62</t>
  </si>
  <si>
    <t>Auction 61</t>
  </si>
  <si>
    <t>Auction 60</t>
  </si>
  <si>
    <t>Auction 59</t>
  </si>
  <si>
    <t>Auction 58</t>
  </si>
  <si>
    <t>Auction 57</t>
  </si>
  <si>
    <t>Auction 56</t>
  </si>
  <si>
    <t>Auction 55</t>
  </si>
  <si>
    <t>Auction 54</t>
  </si>
  <si>
    <t>Auction 53</t>
  </si>
  <si>
    <t>Auction 52</t>
  </si>
  <si>
    <t>Auction 51</t>
  </si>
  <si>
    <t>Auction 50</t>
  </si>
  <si>
    <t>Auction 49</t>
  </si>
  <si>
    <t>Auction 48</t>
  </si>
  <si>
    <t>Auction 47</t>
  </si>
  <si>
    <t>Auction 46</t>
  </si>
  <si>
    <t>Auction 45</t>
  </si>
  <si>
    <t>Auction 44</t>
  </si>
  <si>
    <t>Auction 43</t>
  </si>
  <si>
    <t>Auction 42</t>
  </si>
  <si>
    <t>Auction 41</t>
  </si>
  <si>
    <t>Auction 40</t>
  </si>
  <si>
    <t>Auction 39</t>
  </si>
  <si>
    <t>Auction 38</t>
  </si>
  <si>
    <t>Auction 37</t>
  </si>
  <si>
    <t>Auction 36</t>
  </si>
  <si>
    <t>Auction 35</t>
  </si>
  <si>
    <t>Auction 34</t>
  </si>
  <si>
    <t>Auction 33</t>
  </si>
  <si>
    <t>Auction 32</t>
  </si>
  <si>
    <t>Auction 31</t>
  </si>
  <si>
    <t>Auction 30</t>
  </si>
  <si>
    <t>Auction 29</t>
  </si>
  <si>
    <t>Auction 28</t>
  </si>
  <si>
    <t>Auction 27</t>
  </si>
  <si>
    <t>Auction 26</t>
  </si>
  <si>
    <t>Auction 25</t>
  </si>
  <si>
    <t>Auction 24</t>
  </si>
  <si>
    <t>Auction 23</t>
  </si>
  <si>
    <t>Auction 22</t>
  </si>
  <si>
    <t>--</t>
  </si>
  <si>
    <t>Auction 21</t>
  </si>
  <si>
    <t>Auction 20</t>
  </si>
  <si>
    <t>Auction 19</t>
  </si>
  <si>
    <t>Auction 18</t>
  </si>
  <si>
    <t>Auction 17</t>
  </si>
  <si>
    <t>Auction 16</t>
  </si>
  <si>
    <t>Auction 15</t>
  </si>
  <si>
    <t>Auction 14</t>
  </si>
  <si>
    <t>Auction 14 (Future)</t>
  </si>
  <si>
    <t>Auction 13</t>
  </si>
  <si>
    <t>Auction 13 (Future)</t>
  </si>
  <si>
    <t>Auction 12</t>
  </si>
  <si>
    <t>Auction 12 (Future)</t>
  </si>
  <si>
    <t>Auction 11</t>
  </si>
  <si>
    <t>Auction 11 (Future)</t>
  </si>
  <si>
    <t>Auction 10</t>
  </si>
  <si>
    <t>Auction 10 (Future)</t>
  </si>
  <si>
    <t>Auction 9</t>
  </si>
  <si>
    <t>Auction 9 (Future)</t>
  </si>
  <si>
    <t>Auction 8</t>
  </si>
  <si>
    <t>Auction 8 (Future)</t>
  </si>
  <si>
    <t>Auction 7</t>
  </si>
  <si>
    <t>Auction 7 (Future)</t>
  </si>
  <si>
    <t>Auction 6</t>
  </si>
  <si>
    <t>Auction 6 (Future)</t>
  </si>
  <si>
    <t>Auction 5</t>
  </si>
  <si>
    <t>Auction 5 (Future)</t>
  </si>
  <si>
    <t>Auction 4</t>
  </si>
  <si>
    <t>Auction 4 (Future)</t>
  </si>
  <si>
    <t>Auction 3</t>
  </si>
  <si>
    <t>Auction 3 (Future)</t>
  </si>
  <si>
    <t>Auction 2</t>
  </si>
  <si>
    <t>Auction 1</t>
  </si>
  <si>
    <t>Auction 65</t>
  </si>
  <si>
    <t>Auction 66</t>
  </si>
  <si>
    <t>Auction 67</t>
  </si>
  <si>
    <t>Auction 68</t>
  </si>
  <si>
    <t>Auction 69</t>
  </si>
  <si>
    <t>Auction 70</t>
  </si>
  <si>
    <t>Auction 71</t>
  </si>
  <si>
    <t>Auction Name</t>
  </si>
  <si>
    <t>Curr Allow Offered</t>
  </si>
  <si>
    <t>Curr Allow Sold</t>
  </si>
  <si>
    <t>Current Auction Settlement Price</t>
  </si>
  <si>
    <t>Adv Offered</t>
  </si>
  <si>
    <t>Adv Sold</t>
  </si>
  <si>
    <t>Adv Settlement Price</t>
  </si>
  <si>
    <t>California-Quebec Joint Auctions (Aug 2018 - present)</t>
  </si>
  <si>
    <t>May 2026 Joint Auction #47</t>
  </si>
  <si>
    <t>February 2026 Joint Auction #46</t>
  </si>
  <si>
    <t>November 2025 Joint Auction #45</t>
  </si>
  <si>
    <t>August 2025 Joint Auction #44</t>
  </si>
  <si>
    <t>May 2025 Joint Auction #43</t>
  </si>
  <si>
    <t>February 2025 Joint Auction #42</t>
  </si>
  <si>
    <t>November 2024 Joint Auction #41</t>
  </si>
  <si>
    <t>August 2024 Joint Auction #40</t>
  </si>
  <si>
    <t>May 2024 Joint Auction #39</t>
  </si>
  <si>
    <t>February 2024 Joint Auction #38</t>
  </si>
  <si>
    <t>November 2023 Joint Auction #37</t>
  </si>
  <si>
    <t>August 2023 Joint Auction #36</t>
  </si>
  <si>
    <t>May 2023 Joint Auction #35</t>
  </si>
  <si>
    <t>February 2023 Joint Auction #34</t>
  </si>
  <si>
    <t>November 2022 Joint Auction #33</t>
  </si>
  <si>
    <t>August 2022 Joint Auction #32</t>
  </si>
  <si>
    <t>May 2022 Joint Auction #31</t>
  </si>
  <si>
    <t>February 2022 Joint Auction #30</t>
  </si>
  <si>
    <t>November 2021 Joint Auction #29</t>
  </si>
  <si>
    <t>August 2021 Joint Auction #28</t>
  </si>
  <si>
    <t>May 2021 Joint Auction #27</t>
  </si>
  <si>
    <t>February 2021 Joint Auction #26</t>
  </si>
  <si>
    <t>November 2020 Joint Auction #25</t>
  </si>
  <si>
    <t>August 2020 Joint Auction #24</t>
  </si>
  <si>
    <t>May 2020 Joint Auction #23</t>
  </si>
  <si>
    <t>February 2020 Joint Auction #22</t>
  </si>
  <si>
    <t>November 2019 Joint Auction #21</t>
  </si>
  <si>
    <t>August 2019 Joint Auction #20</t>
  </si>
  <si>
    <t>May 2019 Joint Auction #19</t>
  </si>
  <si>
    <t>February 2019 Joint Auction #18</t>
  </si>
  <si>
    <t>November 2018 Joint Auction #17</t>
  </si>
  <si>
    <t>August 2018 Joint Auction #16</t>
  </si>
  <si>
    <t>California-Ontario-Quebec Joint Auctions (Feb-May 2018)</t>
  </si>
  <si>
    <t>May 2018 Joint Auction #15</t>
  </si>
  <si>
    <t>February 2018 Joint Auction #14</t>
  </si>
  <si>
    <t>California-Quebec Joint Auctions (Nov 2014 - Nov 2017)</t>
  </si>
  <si>
    <t>November 2017 Joint Auction #13</t>
  </si>
  <si>
    <t>August 2017 Joint Auction #12</t>
  </si>
  <si>
    <t>May 2017 Joint Auction #11</t>
  </si>
  <si>
    <t>February 2017 Joint Auction #10</t>
  </si>
  <si>
    <t>November 2016 Joint Auction #9</t>
  </si>
  <si>
    <t>August 2016 Joint Auction #8</t>
  </si>
  <si>
    <t>May 2016 Joint Auction #7</t>
  </si>
  <si>
    <t>February 2016 Joint Auction #6</t>
  </si>
  <si>
    <t>November 2015 Joint Auction #5</t>
  </si>
  <si>
    <t>August 2015 Joint Auction #4</t>
  </si>
  <si>
    <t>May 2015 Joint Auction #3</t>
  </si>
  <si>
    <t>February 2015 Joint Auction #2</t>
  </si>
  <si>
    <t>November 2014 Joint Auction #1</t>
  </si>
  <si>
    <t>California-Only Auctions (Nov 2012 - Aug 2014)</t>
  </si>
  <si>
    <t>August 2014 Auction #8</t>
  </si>
  <si>
    <t>May 2014 Auction #7</t>
  </si>
  <si>
    <t>February 2014 Auction #6</t>
  </si>
  <si>
    <t>November 2013 Auction #5</t>
  </si>
  <si>
    <t>August 2013 Auction #4</t>
  </si>
  <si>
    <t>May 2013 Auction #3</t>
  </si>
  <si>
    <t>February 2013 Auction #2</t>
  </si>
  <si>
    <t>November 2012 Auction #1</t>
  </si>
  <si>
    <t>RGGI Auction 66 (June 4, 2025) - State Proceeds and Allowances</t>
  </si>
  <si>
    <t>State</t>
  </si>
  <si>
    <t>Auction 66 Allowances Sold</t>
  </si>
  <si>
    <t>Cumulative Allowances Sold (Auctions 1-66)</t>
  </si>
  <si>
    <t>Auction 66 Proceeds ($)</t>
  </si>
  <si>
    <t>Cumulative Proceeds (Auctions 1-66) ($)</t>
  </si>
  <si>
    <t>Sub-Total</t>
  </si>
  <si>
    <t>Virginia (Total for Auctions 51 to 62)</t>
  </si>
  <si>
    <t>Total Cumulative</t>
  </si>
  <si>
    <t>Washington Cap-and-Invest - most recent auction settlement price (held constant)</t>
  </si>
  <si>
    <t>Auction #14 (June 4, 2026)</t>
  </si>
  <si>
    <t>Auction date</t>
  </si>
  <si>
    <t>Current-vintage settlement price, $/metric ton CO2e (nominal)</t>
  </si>
  <si>
    <t>Deflator to 2012$ (CPI_2012/CPI_2026)</t>
  </si>
  <si>
    <t>Settlement price (2012$/metric ton CO2e) - HELD CONSTANT all years</t>
  </si>
  <si>
    <t>Future-vintage settlement price (nominal $/metric ton, reference only)</t>
  </si>
  <si>
    <t>WA Cap-and-Invest program start year</t>
  </si>
  <si>
    <t>Source</t>
  </si>
  <si>
    <t>https://ecology.wa.gov/air-climate/climate-commitment-act/cap-and-invest/auctions-and-market</t>
  </si>
  <si>
    <t>RGGI derivation (clearing price -&gt; 2012$/metric ton)</t>
  </si>
  <si>
    <t>avg $/short ton</t>
  </si>
  <si>
    <t>2012$/short ton</t>
  </si>
  <si>
    <t>2012$/metric ton</t>
  </si>
  <si>
    <t>slope</t>
  </si>
  <si>
    <t>intercept</t>
  </si>
  <si>
    <t>CA derivation (settlement price -&gt; 2012$/metric ton)</t>
  </si>
  <si>
    <t>avg $/metric ton</t>
  </si>
  <si>
    <t>Program price by year (2012$/metric ton; WA nominal)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</si>
</sst>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4"/>
      <name val="Calibri"/>
    </font>
    <font>
      <b/>
      <sz val="12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FF2CC"/>
      </patternFill>
    </fill>
    <fill>
      <patternFill patternType="solid">
        <fgColor rgb="FF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0" fontId="3" fillId="3" borderId="0" xfId="0" applyFont="1" applyFill="1"/>
    <xf numFmtId="0" fontId="1" fillId="0" borderId="0" xfId="0" applyFont="1"/>
    <xf numFmtId="0" fontId="4" fillId="0" borderId="0" xfId="0" applyFont="1"/>
    <xf numFmtId="0" fontId="1" fillId="2" borderId="0" xfId="0" applyFont="1" applyFill="1"/>
    <xf numFmtId="0" fontId="0" fillId="3" borderId="0" xfId="0" applyFill="1"/>
    <xf numFmtId="164" fontId="0" fillId="0" borderId="0" xfId="0" applyNumberFormat="1"/>
    <xf numFmtId="0" fontId="0" fillId="4" borderId="0" xfId="0" applyFill="1"/>
    <xf numFmtId="0" fontId="1" fillId="4" borderId="0" xfId="0" applyFont="1" applyFill="1"/>
    <xf numFmtId="0" fontId="1" fillId="3" borderId="0" xfId="0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3"/>
  <sheetViews>
    <sheetView tabSelected="1" workbookViewId="0"/>
  </sheetViews>
  <sheetFormatPr defaultRowHeight="14.25" x14ac:dyDescent="0.45"/>
  <cols>
    <col min="1" max="1" width="30" customWidth="1"/>
    <col min="2" max="2" width="26" customWidth="1"/>
  </cols>
  <sheetData>
    <row r="1" spans="1:3" ht="18" x14ac:dyDescent="0.55000000000000004">
      <c r="A1" s="1" t="s">
        <v>0</v>
      </c>
      <c r="B1" s="2" t="s">
        <v>126</v>
      </c>
      <c r="C1" s="11">
        <v>46190</v>
      </c>
    </row>
    <row r="2" spans="1:3" x14ac:dyDescent="0.45">
      <c r="A2" t="s">
        <v>2</v>
      </c>
      <c r="B2" s="3" t="str">
        <f>IFERROR(INDEX(Keys!$A:$A,MATCH($B$1,Keys!$B:$B,0)),"")</f>
        <v>ND</v>
      </c>
    </row>
    <row r="3" spans="1:3" x14ac:dyDescent="0.45">
      <c r="A3" t="s">
        <v>3</v>
      </c>
      <c r="B3" s="3" t="str">
        <f>IFERROR(INDEX(Keys!$C:$C,MATCH($B$1,Keys!$B:$B,0)),"none")</f>
        <v>none</v>
      </c>
    </row>
    <row r="6" spans="1:3" x14ac:dyDescent="0.45">
      <c r="A6" t="s">
        <v>4</v>
      </c>
    </row>
    <row r="8" spans="1:3" x14ac:dyDescent="0.45">
      <c r="A8" t="s">
        <v>5</v>
      </c>
    </row>
    <row r="9" spans="1:3" x14ac:dyDescent="0.45">
      <c r="A9" t="s">
        <v>6</v>
      </c>
    </row>
    <row r="10" spans="1:3" x14ac:dyDescent="0.45">
      <c r="A10" t="s">
        <v>7</v>
      </c>
    </row>
    <row r="11" spans="1:3" x14ac:dyDescent="0.45">
      <c r="A11" t="s">
        <v>8</v>
      </c>
    </row>
    <row r="12" spans="1:3" x14ac:dyDescent="0.45">
      <c r="A12" t="s">
        <v>9</v>
      </c>
    </row>
    <row r="14" spans="1:3" x14ac:dyDescent="0.45">
      <c r="A14" t="s">
        <v>10</v>
      </c>
    </row>
    <row r="15" spans="1:3" x14ac:dyDescent="0.45">
      <c r="A15" t="s">
        <v>11</v>
      </c>
    </row>
    <row r="16" spans="1:3" x14ac:dyDescent="0.45">
      <c r="A16" t="s">
        <v>12</v>
      </c>
    </row>
    <row r="17" spans="1:1" x14ac:dyDescent="0.45">
      <c r="A17" t="s">
        <v>13</v>
      </c>
    </row>
    <row r="18" spans="1:1" x14ac:dyDescent="0.45">
      <c r="A18" t="s">
        <v>14</v>
      </c>
    </row>
    <row r="19" spans="1:1" x14ac:dyDescent="0.45">
      <c r="A19" t="s">
        <v>15</v>
      </c>
    </row>
    <row r="20" spans="1:1" x14ac:dyDescent="0.45">
      <c r="A20" t="s">
        <v>16</v>
      </c>
    </row>
    <row r="22" spans="1:1" x14ac:dyDescent="0.45">
      <c r="A22" t="s">
        <v>17</v>
      </c>
    </row>
    <row r="23" spans="1:1" x14ac:dyDescent="0.45">
      <c r="A23" t="s">
        <v>18</v>
      </c>
    </row>
    <row r="24" spans="1:1" x14ac:dyDescent="0.45">
      <c r="A24" t="s">
        <v>19</v>
      </c>
    </row>
    <row r="25" spans="1:1" x14ac:dyDescent="0.45">
      <c r="A25" t="s">
        <v>20</v>
      </c>
    </row>
    <row r="26" spans="1:1" x14ac:dyDescent="0.45">
      <c r="A26" t="s">
        <v>21</v>
      </c>
    </row>
    <row r="27" spans="1:1" x14ac:dyDescent="0.45">
      <c r="A27" t="s">
        <v>22</v>
      </c>
    </row>
    <row r="29" spans="1:1" x14ac:dyDescent="0.45">
      <c r="A29" s="4" t="s">
        <v>23</v>
      </c>
    </row>
    <row r="31" spans="1:1" x14ac:dyDescent="0.45">
      <c r="A31" s="4" t="s">
        <v>24</v>
      </c>
    </row>
    <row r="32" spans="1:1" x14ac:dyDescent="0.45">
      <c r="A32" t="s">
        <v>25</v>
      </c>
    </row>
    <row r="33" spans="1:1" x14ac:dyDescent="0.45">
      <c r="A33" t="s">
        <v>26</v>
      </c>
    </row>
    <row r="34" spans="1:1" x14ac:dyDescent="0.45">
      <c r="A34" t="s">
        <v>27</v>
      </c>
    </row>
    <row r="35" spans="1:1" x14ac:dyDescent="0.45">
      <c r="A35" t="s">
        <v>28</v>
      </c>
    </row>
    <row r="37" spans="1:1" x14ac:dyDescent="0.45">
      <c r="A37" s="4" t="s">
        <v>29</v>
      </c>
    </row>
    <row r="38" spans="1:1" x14ac:dyDescent="0.45">
      <c r="A38" t="s">
        <v>30</v>
      </c>
    </row>
    <row r="39" spans="1:1" x14ac:dyDescent="0.45">
      <c r="A39" t="s">
        <v>31</v>
      </c>
    </row>
    <row r="40" spans="1:1" x14ac:dyDescent="0.45">
      <c r="A40" t="s">
        <v>32</v>
      </c>
    </row>
    <row r="41" spans="1:1" x14ac:dyDescent="0.45">
      <c r="A41" t="s">
        <v>33</v>
      </c>
    </row>
    <row r="43" spans="1:1" x14ac:dyDescent="0.45">
      <c r="A43" s="4" t="s">
        <v>34</v>
      </c>
    </row>
    <row r="44" spans="1:1" x14ac:dyDescent="0.45">
      <c r="A44" t="s">
        <v>35</v>
      </c>
    </row>
    <row r="45" spans="1:1" x14ac:dyDescent="0.45">
      <c r="A45" t="s">
        <v>36</v>
      </c>
    </row>
    <row r="47" spans="1:1" x14ac:dyDescent="0.45">
      <c r="A47" s="4" t="s">
        <v>37</v>
      </c>
    </row>
    <row r="48" spans="1:1" x14ac:dyDescent="0.45">
      <c r="A48" t="s">
        <v>38</v>
      </c>
    </row>
    <row r="49" spans="1:1" x14ac:dyDescent="0.45">
      <c r="A49" t="s">
        <v>39</v>
      </c>
    </row>
    <row r="50" spans="1:1" x14ac:dyDescent="0.45">
      <c r="A50" t="s">
        <v>40</v>
      </c>
    </row>
    <row r="52" spans="1:1" x14ac:dyDescent="0.45">
      <c r="A52" s="4" t="s">
        <v>41</v>
      </c>
    </row>
    <row r="53" spans="1:1" x14ac:dyDescent="0.45">
      <c r="A53" t="s">
        <v>42</v>
      </c>
    </row>
    <row r="54" spans="1:1" x14ac:dyDescent="0.45">
      <c r="A54" t="s">
        <v>43</v>
      </c>
    </row>
    <row r="55" spans="1:1" x14ac:dyDescent="0.45">
      <c r="A55" t="s">
        <v>44</v>
      </c>
    </row>
    <row r="56" spans="1:1" x14ac:dyDescent="0.45">
      <c r="A56" t="s">
        <v>45</v>
      </c>
    </row>
    <row r="57" spans="1:1" x14ac:dyDescent="0.45">
      <c r="A57" t="s">
        <v>46</v>
      </c>
    </row>
    <row r="59" spans="1:1" x14ac:dyDescent="0.45">
      <c r="A59" s="4" t="s">
        <v>47</v>
      </c>
    </row>
    <row r="60" spans="1:1" x14ac:dyDescent="0.45">
      <c r="A60" t="s">
        <v>48</v>
      </c>
    </row>
    <row r="61" spans="1:1" x14ac:dyDescent="0.45">
      <c r="A61" t="s">
        <v>49</v>
      </c>
    </row>
    <row r="62" spans="1:1" x14ac:dyDescent="0.45">
      <c r="A62" t="s">
        <v>50</v>
      </c>
    </row>
    <row r="63" spans="1:1" x14ac:dyDescent="0.45">
      <c r="A63" t="s">
        <v>51</v>
      </c>
    </row>
    <row r="64" spans="1:1" x14ac:dyDescent="0.45">
      <c r="A64" t="s">
        <v>52</v>
      </c>
    </row>
    <row r="65" spans="1:1" x14ac:dyDescent="0.45">
      <c r="A65" t="s">
        <v>53</v>
      </c>
    </row>
    <row r="66" spans="1:1" x14ac:dyDescent="0.45">
      <c r="A66" t="s">
        <v>54</v>
      </c>
    </row>
    <row r="67" spans="1:1" x14ac:dyDescent="0.45">
      <c r="A67" t="s">
        <v>55</v>
      </c>
    </row>
    <row r="68" spans="1:1" x14ac:dyDescent="0.45">
      <c r="A68" t="s">
        <v>56</v>
      </c>
    </row>
    <row r="69" spans="1:1" x14ac:dyDescent="0.45">
      <c r="A69" t="s">
        <v>57</v>
      </c>
    </row>
    <row r="70" spans="1:1" x14ac:dyDescent="0.45">
      <c r="A70" t="s">
        <v>58</v>
      </c>
    </row>
    <row r="71" spans="1:1" x14ac:dyDescent="0.45">
      <c r="A71" t="s">
        <v>59</v>
      </c>
    </row>
    <row r="73" spans="1:1" x14ac:dyDescent="0.45">
      <c r="A73" t="s">
        <v>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9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42" customWidth="1"/>
    <col min="2" max="32" width="8" customWidth="1"/>
  </cols>
  <sheetData>
    <row r="1" spans="1:32" x14ac:dyDescent="0.45">
      <c r="A1" s="3" t="s">
        <v>61</v>
      </c>
      <c r="B1" s="3">
        <v>2020</v>
      </c>
      <c r="C1" s="3">
        <v>2021</v>
      </c>
      <c r="D1" s="3">
        <v>2022</v>
      </c>
      <c r="E1" s="3">
        <v>2023</v>
      </c>
      <c r="F1" s="3">
        <v>2024</v>
      </c>
      <c r="G1" s="3">
        <v>2025</v>
      </c>
      <c r="H1" s="3">
        <v>2026</v>
      </c>
      <c r="I1" s="3">
        <v>2027</v>
      </c>
      <c r="J1" s="3">
        <v>2028</v>
      </c>
      <c r="K1" s="3">
        <v>2029</v>
      </c>
      <c r="L1" s="3">
        <v>2030</v>
      </c>
      <c r="M1" s="3">
        <v>2031</v>
      </c>
      <c r="N1" s="3">
        <v>2032</v>
      </c>
      <c r="O1" s="3">
        <v>2033</v>
      </c>
      <c r="P1" s="3">
        <v>2034</v>
      </c>
      <c r="Q1" s="3">
        <v>2035</v>
      </c>
      <c r="R1" s="3">
        <v>2036</v>
      </c>
      <c r="S1" s="3">
        <v>2037</v>
      </c>
      <c r="T1" s="3">
        <v>2038</v>
      </c>
      <c r="U1" s="3">
        <v>2039</v>
      </c>
      <c r="V1" s="3">
        <v>2040</v>
      </c>
      <c r="W1" s="3">
        <v>2041</v>
      </c>
      <c r="X1" s="3">
        <v>2042</v>
      </c>
      <c r="Y1" s="3">
        <v>2043</v>
      </c>
      <c r="Z1" s="3">
        <v>2044</v>
      </c>
      <c r="AA1" s="3">
        <v>2045</v>
      </c>
      <c r="AB1" s="3">
        <v>2046</v>
      </c>
      <c r="AC1" s="3">
        <v>2047</v>
      </c>
      <c r="AD1" s="3">
        <v>2048</v>
      </c>
      <c r="AE1" s="3">
        <v>2049</v>
      </c>
      <c r="AF1" s="3">
        <v>2050</v>
      </c>
    </row>
    <row r="2" spans="1:32" x14ac:dyDescent="0.45">
      <c r="A2" t="s">
        <v>62</v>
      </c>
      <c r="B2">
        <f>IFERROR(INDEX(Calcs!$B$30:$AF$33,MATCH(About!$B$3,Calcs!$A$30:$A$33,0),MATCH(B$1,Calcs!$B$29:$AF$29,0))*INDEX(Keys!$F$2:$M$5,MATCH(About!$B$3,Keys!$E$2:$E$5,0),MATCH($A2,Keys!$F$1:$M$1,0)),0)</f>
        <v>0</v>
      </c>
      <c r="C2">
        <f>IFERROR(INDEX(Calcs!$B$30:$AF$33,MATCH(About!$B$3,Calcs!$A$30:$A$33,0),MATCH(C$1,Calcs!$B$29:$AF$29,0))*INDEX(Keys!$F$2:$M$5,MATCH(About!$B$3,Keys!$E$2:$E$5,0),MATCH($A2,Keys!$F$1:$M$1,0)),0)</f>
        <v>0</v>
      </c>
      <c r="D2">
        <f>IFERROR(INDEX(Calcs!$B$30:$AF$33,MATCH(About!$B$3,Calcs!$A$30:$A$33,0),MATCH(D$1,Calcs!$B$29:$AF$29,0))*INDEX(Keys!$F$2:$M$5,MATCH(About!$B$3,Keys!$E$2:$E$5,0),MATCH($A2,Keys!$F$1:$M$1,0)),0)</f>
        <v>0</v>
      </c>
      <c r="E2">
        <f>IFERROR(INDEX(Calcs!$B$30:$AF$33,MATCH(About!$B$3,Calcs!$A$30:$A$33,0),MATCH(E$1,Calcs!$B$29:$AF$29,0))*INDEX(Keys!$F$2:$M$5,MATCH(About!$B$3,Keys!$E$2:$E$5,0),MATCH($A2,Keys!$F$1:$M$1,0)),0)</f>
        <v>0</v>
      </c>
      <c r="F2">
        <f>IFERROR(INDEX(Calcs!$B$30:$AF$33,MATCH(About!$B$3,Calcs!$A$30:$A$33,0),MATCH(F$1,Calcs!$B$29:$AF$29,0))*INDEX(Keys!$F$2:$M$5,MATCH(About!$B$3,Keys!$E$2:$E$5,0),MATCH($A2,Keys!$F$1:$M$1,0)),0)</f>
        <v>0</v>
      </c>
      <c r="G2">
        <f>IFERROR(INDEX(Calcs!$B$30:$AF$33,MATCH(About!$B$3,Calcs!$A$30:$A$33,0),MATCH(G$1,Calcs!$B$29:$AF$29,0))*INDEX(Keys!$F$2:$M$5,MATCH(About!$B$3,Keys!$E$2:$E$5,0),MATCH($A2,Keys!$F$1:$M$1,0)),0)</f>
        <v>0</v>
      </c>
      <c r="H2">
        <f>IFERROR(INDEX(Calcs!$B$30:$AF$33,MATCH(About!$B$3,Calcs!$A$30:$A$33,0),MATCH(H$1,Calcs!$B$29:$AF$29,0))*INDEX(Keys!$F$2:$M$5,MATCH(About!$B$3,Keys!$E$2:$E$5,0),MATCH($A2,Keys!$F$1:$M$1,0)),0)</f>
        <v>0</v>
      </c>
      <c r="I2">
        <f>IFERROR(INDEX(Calcs!$B$30:$AF$33,MATCH(About!$B$3,Calcs!$A$30:$A$33,0),MATCH(I$1,Calcs!$B$29:$AF$29,0))*INDEX(Keys!$F$2:$M$5,MATCH(About!$B$3,Keys!$E$2:$E$5,0),MATCH($A2,Keys!$F$1:$M$1,0)),0)</f>
        <v>0</v>
      </c>
      <c r="J2">
        <f>IFERROR(INDEX(Calcs!$B$30:$AF$33,MATCH(About!$B$3,Calcs!$A$30:$A$33,0),MATCH(J$1,Calcs!$B$29:$AF$29,0))*INDEX(Keys!$F$2:$M$5,MATCH(About!$B$3,Keys!$E$2:$E$5,0),MATCH($A2,Keys!$F$1:$M$1,0)),0)</f>
        <v>0</v>
      </c>
      <c r="K2">
        <f>IFERROR(INDEX(Calcs!$B$30:$AF$33,MATCH(About!$B$3,Calcs!$A$30:$A$33,0),MATCH(K$1,Calcs!$B$29:$AF$29,0))*INDEX(Keys!$F$2:$M$5,MATCH(About!$B$3,Keys!$E$2:$E$5,0),MATCH($A2,Keys!$F$1:$M$1,0)),0)</f>
        <v>0</v>
      </c>
      <c r="L2">
        <f>IFERROR(INDEX(Calcs!$B$30:$AF$33,MATCH(About!$B$3,Calcs!$A$30:$A$33,0),MATCH(L$1,Calcs!$B$29:$AF$29,0))*INDEX(Keys!$F$2:$M$5,MATCH(About!$B$3,Keys!$E$2:$E$5,0),MATCH($A2,Keys!$F$1:$M$1,0)),0)</f>
        <v>0</v>
      </c>
      <c r="M2">
        <f>IFERROR(INDEX(Calcs!$B$30:$AF$33,MATCH(About!$B$3,Calcs!$A$30:$A$33,0),MATCH(M$1,Calcs!$B$29:$AF$29,0))*INDEX(Keys!$F$2:$M$5,MATCH(About!$B$3,Keys!$E$2:$E$5,0),MATCH($A2,Keys!$F$1:$M$1,0)),0)</f>
        <v>0</v>
      </c>
      <c r="N2">
        <f>IFERROR(INDEX(Calcs!$B$30:$AF$33,MATCH(About!$B$3,Calcs!$A$30:$A$33,0),MATCH(N$1,Calcs!$B$29:$AF$29,0))*INDEX(Keys!$F$2:$M$5,MATCH(About!$B$3,Keys!$E$2:$E$5,0),MATCH($A2,Keys!$F$1:$M$1,0)),0)</f>
        <v>0</v>
      </c>
      <c r="O2">
        <f>IFERROR(INDEX(Calcs!$B$30:$AF$33,MATCH(About!$B$3,Calcs!$A$30:$A$33,0),MATCH(O$1,Calcs!$B$29:$AF$29,0))*INDEX(Keys!$F$2:$M$5,MATCH(About!$B$3,Keys!$E$2:$E$5,0),MATCH($A2,Keys!$F$1:$M$1,0)),0)</f>
        <v>0</v>
      </c>
      <c r="P2">
        <f>IFERROR(INDEX(Calcs!$B$30:$AF$33,MATCH(About!$B$3,Calcs!$A$30:$A$33,0),MATCH(P$1,Calcs!$B$29:$AF$29,0))*INDEX(Keys!$F$2:$M$5,MATCH(About!$B$3,Keys!$E$2:$E$5,0),MATCH($A2,Keys!$F$1:$M$1,0)),0)</f>
        <v>0</v>
      </c>
      <c r="Q2">
        <f>IFERROR(INDEX(Calcs!$B$30:$AF$33,MATCH(About!$B$3,Calcs!$A$30:$A$33,0),MATCH(Q$1,Calcs!$B$29:$AF$29,0))*INDEX(Keys!$F$2:$M$5,MATCH(About!$B$3,Keys!$E$2:$E$5,0),MATCH($A2,Keys!$F$1:$M$1,0)),0)</f>
        <v>0</v>
      </c>
      <c r="R2">
        <f>IFERROR(INDEX(Calcs!$B$30:$AF$33,MATCH(About!$B$3,Calcs!$A$30:$A$33,0),MATCH(R$1,Calcs!$B$29:$AF$29,0))*INDEX(Keys!$F$2:$M$5,MATCH(About!$B$3,Keys!$E$2:$E$5,0),MATCH($A2,Keys!$F$1:$M$1,0)),0)</f>
        <v>0</v>
      </c>
      <c r="S2">
        <f>IFERROR(INDEX(Calcs!$B$30:$AF$33,MATCH(About!$B$3,Calcs!$A$30:$A$33,0),MATCH(S$1,Calcs!$B$29:$AF$29,0))*INDEX(Keys!$F$2:$M$5,MATCH(About!$B$3,Keys!$E$2:$E$5,0),MATCH($A2,Keys!$F$1:$M$1,0)),0)</f>
        <v>0</v>
      </c>
      <c r="T2">
        <f>IFERROR(INDEX(Calcs!$B$30:$AF$33,MATCH(About!$B$3,Calcs!$A$30:$A$33,0),MATCH(T$1,Calcs!$B$29:$AF$29,0))*INDEX(Keys!$F$2:$M$5,MATCH(About!$B$3,Keys!$E$2:$E$5,0),MATCH($A2,Keys!$F$1:$M$1,0)),0)</f>
        <v>0</v>
      </c>
      <c r="U2">
        <f>IFERROR(INDEX(Calcs!$B$30:$AF$33,MATCH(About!$B$3,Calcs!$A$30:$A$33,0),MATCH(U$1,Calcs!$B$29:$AF$29,0))*INDEX(Keys!$F$2:$M$5,MATCH(About!$B$3,Keys!$E$2:$E$5,0),MATCH($A2,Keys!$F$1:$M$1,0)),0)</f>
        <v>0</v>
      </c>
      <c r="V2">
        <f>IFERROR(INDEX(Calcs!$B$30:$AF$33,MATCH(About!$B$3,Calcs!$A$30:$A$33,0),MATCH(V$1,Calcs!$B$29:$AF$29,0))*INDEX(Keys!$F$2:$M$5,MATCH(About!$B$3,Keys!$E$2:$E$5,0),MATCH($A2,Keys!$F$1:$M$1,0)),0)</f>
        <v>0</v>
      </c>
      <c r="W2">
        <f>IFERROR(INDEX(Calcs!$B$30:$AF$33,MATCH(About!$B$3,Calcs!$A$30:$A$33,0),MATCH(W$1,Calcs!$B$29:$AF$29,0))*INDEX(Keys!$F$2:$M$5,MATCH(About!$B$3,Keys!$E$2:$E$5,0),MATCH($A2,Keys!$F$1:$M$1,0)),0)</f>
        <v>0</v>
      </c>
      <c r="X2">
        <f>IFERROR(INDEX(Calcs!$B$30:$AF$33,MATCH(About!$B$3,Calcs!$A$30:$A$33,0),MATCH(X$1,Calcs!$B$29:$AF$29,0))*INDEX(Keys!$F$2:$M$5,MATCH(About!$B$3,Keys!$E$2:$E$5,0),MATCH($A2,Keys!$F$1:$M$1,0)),0)</f>
        <v>0</v>
      </c>
      <c r="Y2">
        <f>IFERROR(INDEX(Calcs!$B$30:$AF$33,MATCH(About!$B$3,Calcs!$A$30:$A$33,0),MATCH(Y$1,Calcs!$B$29:$AF$29,0))*INDEX(Keys!$F$2:$M$5,MATCH(About!$B$3,Keys!$E$2:$E$5,0),MATCH($A2,Keys!$F$1:$M$1,0)),0)</f>
        <v>0</v>
      </c>
      <c r="Z2">
        <f>IFERROR(INDEX(Calcs!$B$30:$AF$33,MATCH(About!$B$3,Calcs!$A$30:$A$33,0),MATCH(Z$1,Calcs!$B$29:$AF$29,0))*INDEX(Keys!$F$2:$M$5,MATCH(About!$B$3,Keys!$E$2:$E$5,0),MATCH($A2,Keys!$F$1:$M$1,0)),0)</f>
        <v>0</v>
      </c>
      <c r="AA2">
        <f>IFERROR(INDEX(Calcs!$B$30:$AF$33,MATCH(About!$B$3,Calcs!$A$30:$A$33,0),MATCH(AA$1,Calcs!$B$29:$AF$29,0))*INDEX(Keys!$F$2:$M$5,MATCH(About!$B$3,Keys!$E$2:$E$5,0),MATCH($A2,Keys!$F$1:$M$1,0)),0)</f>
        <v>0</v>
      </c>
      <c r="AB2">
        <f>IFERROR(INDEX(Calcs!$B$30:$AF$33,MATCH(About!$B$3,Calcs!$A$30:$A$33,0),MATCH(AB$1,Calcs!$B$29:$AF$29,0))*INDEX(Keys!$F$2:$M$5,MATCH(About!$B$3,Keys!$E$2:$E$5,0),MATCH($A2,Keys!$F$1:$M$1,0)),0)</f>
        <v>0</v>
      </c>
      <c r="AC2">
        <f>IFERROR(INDEX(Calcs!$B$30:$AF$33,MATCH(About!$B$3,Calcs!$A$30:$A$33,0),MATCH(AC$1,Calcs!$B$29:$AF$29,0))*INDEX(Keys!$F$2:$M$5,MATCH(About!$B$3,Keys!$E$2:$E$5,0),MATCH($A2,Keys!$F$1:$M$1,0)),0)</f>
        <v>0</v>
      </c>
      <c r="AD2">
        <f>IFERROR(INDEX(Calcs!$B$30:$AF$33,MATCH(About!$B$3,Calcs!$A$30:$A$33,0),MATCH(AD$1,Calcs!$B$29:$AF$29,0))*INDEX(Keys!$F$2:$M$5,MATCH(About!$B$3,Keys!$E$2:$E$5,0),MATCH($A2,Keys!$F$1:$M$1,0)),0)</f>
        <v>0</v>
      </c>
      <c r="AE2">
        <f>IFERROR(INDEX(Calcs!$B$30:$AF$33,MATCH(About!$B$3,Calcs!$A$30:$A$33,0),MATCH(AE$1,Calcs!$B$29:$AF$29,0))*INDEX(Keys!$F$2:$M$5,MATCH(About!$B$3,Keys!$E$2:$E$5,0),MATCH($A2,Keys!$F$1:$M$1,0)),0)</f>
        <v>0</v>
      </c>
      <c r="AF2">
        <f>IFERROR(INDEX(Calcs!$B$30:$AF$33,MATCH(About!$B$3,Calcs!$A$30:$A$33,0),MATCH(AF$1,Calcs!$B$29:$AF$29,0))*INDEX(Keys!$F$2:$M$5,MATCH(About!$B$3,Keys!$E$2:$E$5,0),MATCH($A2,Keys!$F$1:$M$1,0)),0)</f>
        <v>0</v>
      </c>
    </row>
    <row r="3" spans="1:32" x14ac:dyDescent="0.45">
      <c r="A3" t="s">
        <v>63</v>
      </c>
      <c r="B3">
        <f>IFERROR(INDEX(Calcs!$B$30:$AF$33,MATCH(About!$B$3,Calcs!$A$30:$A$33,0),MATCH(B$1,Calcs!$B$29:$AF$29,0))*INDEX(Keys!$F$2:$M$5,MATCH(About!$B$3,Keys!$E$2:$E$5,0),MATCH($A3,Keys!$F$1:$M$1,0)),0)</f>
        <v>0</v>
      </c>
      <c r="C3">
        <f>IFERROR(INDEX(Calcs!$B$30:$AF$33,MATCH(About!$B$3,Calcs!$A$30:$A$33,0),MATCH(C$1,Calcs!$B$29:$AF$29,0))*INDEX(Keys!$F$2:$M$5,MATCH(About!$B$3,Keys!$E$2:$E$5,0),MATCH($A3,Keys!$F$1:$M$1,0)),0)</f>
        <v>0</v>
      </c>
      <c r="D3">
        <f>IFERROR(INDEX(Calcs!$B$30:$AF$33,MATCH(About!$B$3,Calcs!$A$30:$A$33,0),MATCH(D$1,Calcs!$B$29:$AF$29,0))*INDEX(Keys!$F$2:$M$5,MATCH(About!$B$3,Keys!$E$2:$E$5,0),MATCH($A3,Keys!$F$1:$M$1,0)),0)</f>
        <v>0</v>
      </c>
      <c r="E3">
        <f>IFERROR(INDEX(Calcs!$B$30:$AF$33,MATCH(About!$B$3,Calcs!$A$30:$A$33,0),MATCH(E$1,Calcs!$B$29:$AF$29,0))*INDEX(Keys!$F$2:$M$5,MATCH(About!$B$3,Keys!$E$2:$E$5,0),MATCH($A3,Keys!$F$1:$M$1,0)),0)</f>
        <v>0</v>
      </c>
      <c r="F3">
        <f>IFERROR(INDEX(Calcs!$B$30:$AF$33,MATCH(About!$B$3,Calcs!$A$30:$A$33,0),MATCH(F$1,Calcs!$B$29:$AF$29,0))*INDEX(Keys!$F$2:$M$5,MATCH(About!$B$3,Keys!$E$2:$E$5,0),MATCH($A3,Keys!$F$1:$M$1,0)),0)</f>
        <v>0</v>
      </c>
      <c r="G3">
        <f>IFERROR(INDEX(Calcs!$B$30:$AF$33,MATCH(About!$B$3,Calcs!$A$30:$A$33,0),MATCH(G$1,Calcs!$B$29:$AF$29,0))*INDEX(Keys!$F$2:$M$5,MATCH(About!$B$3,Keys!$E$2:$E$5,0),MATCH($A3,Keys!$F$1:$M$1,0)),0)</f>
        <v>0</v>
      </c>
      <c r="H3">
        <f>IFERROR(INDEX(Calcs!$B$30:$AF$33,MATCH(About!$B$3,Calcs!$A$30:$A$33,0),MATCH(H$1,Calcs!$B$29:$AF$29,0))*INDEX(Keys!$F$2:$M$5,MATCH(About!$B$3,Keys!$E$2:$E$5,0),MATCH($A3,Keys!$F$1:$M$1,0)),0)</f>
        <v>0</v>
      </c>
      <c r="I3">
        <f>IFERROR(INDEX(Calcs!$B$30:$AF$33,MATCH(About!$B$3,Calcs!$A$30:$A$33,0),MATCH(I$1,Calcs!$B$29:$AF$29,0))*INDEX(Keys!$F$2:$M$5,MATCH(About!$B$3,Keys!$E$2:$E$5,0),MATCH($A3,Keys!$F$1:$M$1,0)),0)</f>
        <v>0</v>
      </c>
      <c r="J3">
        <f>IFERROR(INDEX(Calcs!$B$30:$AF$33,MATCH(About!$B$3,Calcs!$A$30:$A$33,0),MATCH(J$1,Calcs!$B$29:$AF$29,0))*INDEX(Keys!$F$2:$M$5,MATCH(About!$B$3,Keys!$E$2:$E$5,0),MATCH($A3,Keys!$F$1:$M$1,0)),0)</f>
        <v>0</v>
      </c>
      <c r="K3">
        <f>IFERROR(INDEX(Calcs!$B$30:$AF$33,MATCH(About!$B$3,Calcs!$A$30:$A$33,0),MATCH(K$1,Calcs!$B$29:$AF$29,0))*INDEX(Keys!$F$2:$M$5,MATCH(About!$B$3,Keys!$E$2:$E$5,0),MATCH($A3,Keys!$F$1:$M$1,0)),0)</f>
        <v>0</v>
      </c>
      <c r="L3">
        <f>IFERROR(INDEX(Calcs!$B$30:$AF$33,MATCH(About!$B$3,Calcs!$A$30:$A$33,0),MATCH(L$1,Calcs!$B$29:$AF$29,0))*INDEX(Keys!$F$2:$M$5,MATCH(About!$B$3,Keys!$E$2:$E$5,0),MATCH($A3,Keys!$F$1:$M$1,0)),0)</f>
        <v>0</v>
      </c>
      <c r="M3">
        <f>IFERROR(INDEX(Calcs!$B$30:$AF$33,MATCH(About!$B$3,Calcs!$A$30:$A$33,0),MATCH(M$1,Calcs!$B$29:$AF$29,0))*INDEX(Keys!$F$2:$M$5,MATCH(About!$B$3,Keys!$E$2:$E$5,0),MATCH($A3,Keys!$F$1:$M$1,0)),0)</f>
        <v>0</v>
      </c>
      <c r="N3">
        <f>IFERROR(INDEX(Calcs!$B$30:$AF$33,MATCH(About!$B$3,Calcs!$A$30:$A$33,0),MATCH(N$1,Calcs!$B$29:$AF$29,0))*INDEX(Keys!$F$2:$M$5,MATCH(About!$B$3,Keys!$E$2:$E$5,0),MATCH($A3,Keys!$F$1:$M$1,0)),0)</f>
        <v>0</v>
      </c>
      <c r="O3">
        <f>IFERROR(INDEX(Calcs!$B$30:$AF$33,MATCH(About!$B$3,Calcs!$A$30:$A$33,0),MATCH(O$1,Calcs!$B$29:$AF$29,0))*INDEX(Keys!$F$2:$M$5,MATCH(About!$B$3,Keys!$E$2:$E$5,0),MATCH($A3,Keys!$F$1:$M$1,0)),0)</f>
        <v>0</v>
      </c>
      <c r="P3">
        <f>IFERROR(INDEX(Calcs!$B$30:$AF$33,MATCH(About!$B$3,Calcs!$A$30:$A$33,0),MATCH(P$1,Calcs!$B$29:$AF$29,0))*INDEX(Keys!$F$2:$M$5,MATCH(About!$B$3,Keys!$E$2:$E$5,0),MATCH($A3,Keys!$F$1:$M$1,0)),0)</f>
        <v>0</v>
      </c>
      <c r="Q3">
        <f>IFERROR(INDEX(Calcs!$B$30:$AF$33,MATCH(About!$B$3,Calcs!$A$30:$A$33,0),MATCH(Q$1,Calcs!$B$29:$AF$29,0))*INDEX(Keys!$F$2:$M$5,MATCH(About!$B$3,Keys!$E$2:$E$5,0),MATCH($A3,Keys!$F$1:$M$1,0)),0)</f>
        <v>0</v>
      </c>
      <c r="R3">
        <f>IFERROR(INDEX(Calcs!$B$30:$AF$33,MATCH(About!$B$3,Calcs!$A$30:$A$33,0),MATCH(R$1,Calcs!$B$29:$AF$29,0))*INDEX(Keys!$F$2:$M$5,MATCH(About!$B$3,Keys!$E$2:$E$5,0),MATCH($A3,Keys!$F$1:$M$1,0)),0)</f>
        <v>0</v>
      </c>
      <c r="S3">
        <f>IFERROR(INDEX(Calcs!$B$30:$AF$33,MATCH(About!$B$3,Calcs!$A$30:$A$33,0),MATCH(S$1,Calcs!$B$29:$AF$29,0))*INDEX(Keys!$F$2:$M$5,MATCH(About!$B$3,Keys!$E$2:$E$5,0),MATCH($A3,Keys!$F$1:$M$1,0)),0)</f>
        <v>0</v>
      </c>
      <c r="T3">
        <f>IFERROR(INDEX(Calcs!$B$30:$AF$33,MATCH(About!$B$3,Calcs!$A$30:$A$33,0),MATCH(T$1,Calcs!$B$29:$AF$29,0))*INDEX(Keys!$F$2:$M$5,MATCH(About!$B$3,Keys!$E$2:$E$5,0),MATCH($A3,Keys!$F$1:$M$1,0)),0)</f>
        <v>0</v>
      </c>
      <c r="U3">
        <f>IFERROR(INDEX(Calcs!$B$30:$AF$33,MATCH(About!$B$3,Calcs!$A$30:$A$33,0),MATCH(U$1,Calcs!$B$29:$AF$29,0))*INDEX(Keys!$F$2:$M$5,MATCH(About!$B$3,Keys!$E$2:$E$5,0),MATCH($A3,Keys!$F$1:$M$1,0)),0)</f>
        <v>0</v>
      </c>
      <c r="V3">
        <f>IFERROR(INDEX(Calcs!$B$30:$AF$33,MATCH(About!$B$3,Calcs!$A$30:$A$33,0),MATCH(V$1,Calcs!$B$29:$AF$29,0))*INDEX(Keys!$F$2:$M$5,MATCH(About!$B$3,Keys!$E$2:$E$5,0),MATCH($A3,Keys!$F$1:$M$1,0)),0)</f>
        <v>0</v>
      </c>
      <c r="W3">
        <f>IFERROR(INDEX(Calcs!$B$30:$AF$33,MATCH(About!$B$3,Calcs!$A$30:$A$33,0),MATCH(W$1,Calcs!$B$29:$AF$29,0))*INDEX(Keys!$F$2:$M$5,MATCH(About!$B$3,Keys!$E$2:$E$5,0),MATCH($A3,Keys!$F$1:$M$1,0)),0)</f>
        <v>0</v>
      </c>
      <c r="X3">
        <f>IFERROR(INDEX(Calcs!$B$30:$AF$33,MATCH(About!$B$3,Calcs!$A$30:$A$33,0),MATCH(X$1,Calcs!$B$29:$AF$29,0))*INDEX(Keys!$F$2:$M$5,MATCH(About!$B$3,Keys!$E$2:$E$5,0),MATCH($A3,Keys!$F$1:$M$1,0)),0)</f>
        <v>0</v>
      </c>
      <c r="Y3">
        <f>IFERROR(INDEX(Calcs!$B$30:$AF$33,MATCH(About!$B$3,Calcs!$A$30:$A$33,0),MATCH(Y$1,Calcs!$B$29:$AF$29,0))*INDEX(Keys!$F$2:$M$5,MATCH(About!$B$3,Keys!$E$2:$E$5,0),MATCH($A3,Keys!$F$1:$M$1,0)),0)</f>
        <v>0</v>
      </c>
      <c r="Z3">
        <f>IFERROR(INDEX(Calcs!$B$30:$AF$33,MATCH(About!$B$3,Calcs!$A$30:$A$33,0),MATCH(Z$1,Calcs!$B$29:$AF$29,0))*INDEX(Keys!$F$2:$M$5,MATCH(About!$B$3,Keys!$E$2:$E$5,0),MATCH($A3,Keys!$F$1:$M$1,0)),0)</f>
        <v>0</v>
      </c>
      <c r="AA3">
        <f>IFERROR(INDEX(Calcs!$B$30:$AF$33,MATCH(About!$B$3,Calcs!$A$30:$A$33,0),MATCH(AA$1,Calcs!$B$29:$AF$29,0))*INDEX(Keys!$F$2:$M$5,MATCH(About!$B$3,Keys!$E$2:$E$5,0),MATCH($A3,Keys!$F$1:$M$1,0)),0)</f>
        <v>0</v>
      </c>
      <c r="AB3">
        <f>IFERROR(INDEX(Calcs!$B$30:$AF$33,MATCH(About!$B$3,Calcs!$A$30:$A$33,0),MATCH(AB$1,Calcs!$B$29:$AF$29,0))*INDEX(Keys!$F$2:$M$5,MATCH(About!$B$3,Keys!$E$2:$E$5,0),MATCH($A3,Keys!$F$1:$M$1,0)),0)</f>
        <v>0</v>
      </c>
      <c r="AC3">
        <f>IFERROR(INDEX(Calcs!$B$30:$AF$33,MATCH(About!$B$3,Calcs!$A$30:$A$33,0),MATCH(AC$1,Calcs!$B$29:$AF$29,0))*INDEX(Keys!$F$2:$M$5,MATCH(About!$B$3,Keys!$E$2:$E$5,0),MATCH($A3,Keys!$F$1:$M$1,0)),0)</f>
        <v>0</v>
      </c>
      <c r="AD3">
        <f>IFERROR(INDEX(Calcs!$B$30:$AF$33,MATCH(About!$B$3,Calcs!$A$30:$A$33,0),MATCH(AD$1,Calcs!$B$29:$AF$29,0))*INDEX(Keys!$F$2:$M$5,MATCH(About!$B$3,Keys!$E$2:$E$5,0),MATCH($A3,Keys!$F$1:$M$1,0)),0)</f>
        <v>0</v>
      </c>
      <c r="AE3">
        <f>IFERROR(INDEX(Calcs!$B$30:$AF$33,MATCH(About!$B$3,Calcs!$A$30:$A$33,0),MATCH(AE$1,Calcs!$B$29:$AF$29,0))*INDEX(Keys!$F$2:$M$5,MATCH(About!$B$3,Keys!$E$2:$E$5,0),MATCH($A3,Keys!$F$1:$M$1,0)),0)</f>
        <v>0</v>
      </c>
      <c r="AF3">
        <f>IFERROR(INDEX(Calcs!$B$30:$AF$33,MATCH(About!$B$3,Calcs!$A$30:$A$33,0),MATCH(AF$1,Calcs!$B$29:$AF$29,0))*INDEX(Keys!$F$2:$M$5,MATCH(About!$B$3,Keys!$E$2:$E$5,0),MATCH($A3,Keys!$F$1:$M$1,0)),0)</f>
        <v>0</v>
      </c>
    </row>
    <row r="4" spans="1:32" x14ac:dyDescent="0.45">
      <c r="A4" t="s">
        <v>64</v>
      </c>
      <c r="B4">
        <f>IFERROR(INDEX(Calcs!$B$30:$AF$33,MATCH(About!$B$3,Calcs!$A$30:$A$33,0),MATCH(B$1,Calcs!$B$29:$AF$29,0))*INDEX(Keys!$F$2:$M$5,MATCH(About!$B$3,Keys!$E$2:$E$5,0),MATCH($A4,Keys!$F$1:$M$1,0)),0)</f>
        <v>0</v>
      </c>
      <c r="C4">
        <f>IFERROR(INDEX(Calcs!$B$30:$AF$33,MATCH(About!$B$3,Calcs!$A$30:$A$33,0),MATCH(C$1,Calcs!$B$29:$AF$29,0))*INDEX(Keys!$F$2:$M$5,MATCH(About!$B$3,Keys!$E$2:$E$5,0),MATCH($A4,Keys!$F$1:$M$1,0)),0)</f>
        <v>0</v>
      </c>
      <c r="D4">
        <f>IFERROR(INDEX(Calcs!$B$30:$AF$33,MATCH(About!$B$3,Calcs!$A$30:$A$33,0),MATCH(D$1,Calcs!$B$29:$AF$29,0))*INDEX(Keys!$F$2:$M$5,MATCH(About!$B$3,Keys!$E$2:$E$5,0),MATCH($A4,Keys!$F$1:$M$1,0)),0)</f>
        <v>0</v>
      </c>
      <c r="E4">
        <f>IFERROR(INDEX(Calcs!$B$30:$AF$33,MATCH(About!$B$3,Calcs!$A$30:$A$33,0),MATCH(E$1,Calcs!$B$29:$AF$29,0))*INDEX(Keys!$F$2:$M$5,MATCH(About!$B$3,Keys!$E$2:$E$5,0),MATCH($A4,Keys!$F$1:$M$1,0)),0)</f>
        <v>0</v>
      </c>
      <c r="F4">
        <f>IFERROR(INDEX(Calcs!$B$30:$AF$33,MATCH(About!$B$3,Calcs!$A$30:$A$33,0),MATCH(F$1,Calcs!$B$29:$AF$29,0))*INDEX(Keys!$F$2:$M$5,MATCH(About!$B$3,Keys!$E$2:$E$5,0),MATCH($A4,Keys!$F$1:$M$1,0)),0)</f>
        <v>0</v>
      </c>
      <c r="G4">
        <f>IFERROR(INDEX(Calcs!$B$30:$AF$33,MATCH(About!$B$3,Calcs!$A$30:$A$33,0),MATCH(G$1,Calcs!$B$29:$AF$29,0))*INDEX(Keys!$F$2:$M$5,MATCH(About!$B$3,Keys!$E$2:$E$5,0),MATCH($A4,Keys!$F$1:$M$1,0)),0)</f>
        <v>0</v>
      </c>
      <c r="H4">
        <f>IFERROR(INDEX(Calcs!$B$30:$AF$33,MATCH(About!$B$3,Calcs!$A$30:$A$33,0),MATCH(H$1,Calcs!$B$29:$AF$29,0))*INDEX(Keys!$F$2:$M$5,MATCH(About!$B$3,Keys!$E$2:$E$5,0),MATCH($A4,Keys!$F$1:$M$1,0)),0)</f>
        <v>0</v>
      </c>
      <c r="I4">
        <f>IFERROR(INDEX(Calcs!$B$30:$AF$33,MATCH(About!$B$3,Calcs!$A$30:$A$33,0),MATCH(I$1,Calcs!$B$29:$AF$29,0))*INDEX(Keys!$F$2:$M$5,MATCH(About!$B$3,Keys!$E$2:$E$5,0),MATCH($A4,Keys!$F$1:$M$1,0)),0)</f>
        <v>0</v>
      </c>
      <c r="J4">
        <f>IFERROR(INDEX(Calcs!$B$30:$AF$33,MATCH(About!$B$3,Calcs!$A$30:$A$33,0),MATCH(J$1,Calcs!$B$29:$AF$29,0))*INDEX(Keys!$F$2:$M$5,MATCH(About!$B$3,Keys!$E$2:$E$5,0),MATCH($A4,Keys!$F$1:$M$1,0)),0)</f>
        <v>0</v>
      </c>
      <c r="K4">
        <f>IFERROR(INDEX(Calcs!$B$30:$AF$33,MATCH(About!$B$3,Calcs!$A$30:$A$33,0),MATCH(K$1,Calcs!$B$29:$AF$29,0))*INDEX(Keys!$F$2:$M$5,MATCH(About!$B$3,Keys!$E$2:$E$5,0),MATCH($A4,Keys!$F$1:$M$1,0)),0)</f>
        <v>0</v>
      </c>
      <c r="L4">
        <f>IFERROR(INDEX(Calcs!$B$30:$AF$33,MATCH(About!$B$3,Calcs!$A$30:$A$33,0),MATCH(L$1,Calcs!$B$29:$AF$29,0))*INDEX(Keys!$F$2:$M$5,MATCH(About!$B$3,Keys!$E$2:$E$5,0),MATCH($A4,Keys!$F$1:$M$1,0)),0)</f>
        <v>0</v>
      </c>
      <c r="M4">
        <f>IFERROR(INDEX(Calcs!$B$30:$AF$33,MATCH(About!$B$3,Calcs!$A$30:$A$33,0),MATCH(M$1,Calcs!$B$29:$AF$29,0))*INDEX(Keys!$F$2:$M$5,MATCH(About!$B$3,Keys!$E$2:$E$5,0),MATCH($A4,Keys!$F$1:$M$1,0)),0)</f>
        <v>0</v>
      </c>
      <c r="N4">
        <f>IFERROR(INDEX(Calcs!$B$30:$AF$33,MATCH(About!$B$3,Calcs!$A$30:$A$33,0),MATCH(N$1,Calcs!$B$29:$AF$29,0))*INDEX(Keys!$F$2:$M$5,MATCH(About!$B$3,Keys!$E$2:$E$5,0),MATCH($A4,Keys!$F$1:$M$1,0)),0)</f>
        <v>0</v>
      </c>
      <c r="O4">
        <f>IFERROR(INDEX(Calcs!$B$30:$AF$33,MATCH(About!$B$3,Calcs!$A$30:$A$33,0),MATCH(O$1,Calcs!$B$29:$AF$29,0))*INDEX(Keys!$F$2:$M$5,MATCH(About!$B$3,Keys!$E$2:$E$5,0),MATCH($A4,Keys!$F$1:$M$1,0)),0)</f>
        <v>0</v>
      </c>
      <c r="P4">
        <f>IFERROR(INDEX(Calcs!$B$30:$AF$33,MATCH(About!$B$3,Calcs!$A$30:$A$33,0),MATCH(P$1,Calcs!$B$29:$AF$29,0))*INDEX(Keys!$F$2:$M$5,MATCH(About!$B$3,Keys!$E$2:$E$5,0),MATCH($A4,Keys!$F$1:$M$1,0)),0)</f>
        <v>0</v>
      </c>
      <c r="Q4">
        <f>IFERROR(INDEX(Calcs!$B$30:$AF$33,MATCH(About!$B$3,Calcs!$A$30:$A$33,0),MATCH(Q$1,Calcs!$B$29:$AF$29,0))*INDEX(Keys!$F$2:$M$5,MATCH(About!$B$3,Keys!$E$2:$E$5,0),MATCH($A4,Keys!$F$1:$M$1,0)),0)</f>
        <v>0</v>
      </c>
      <c r="R4">
        <f>IFERROR(INDEX(Calcs!$B$30:$AF$33,MATCH(About!$B$3,Calcs!$A$30:$A$33,0),MATCH(R$1,Calcs!$B$29:$AF$29,0))*INDEX(Keys!$F$2:$M$5,MATCH(About!$B$3,Keys!$E$2:$E$5,0),MATCH($A4,Keys!$F$1:$M$1,0)),0)</f>
        <v>0</v>
      </c>
      <c r="S4">
        <f>IFERROR(INDEX(Calcs!$B$30:$AF$33,MATCH(About!$B$3,Calcs!$A$30:$A$33,0),MATCH(S$1,Calcs!$B$29:$AF$29,0))*INDEX(Keys!$F$2:$M$5,MATCH(About!$B$3,Keys!$E$2:$E$5,0),MATCH($A4,Keys!$F$1:$M$1,0)),0)</f>
        <v>0</v>
      </c>
      <c r="T4">
        <f>IFERROR(INDEX(Calcs!$B$30:$AF$33,MATCH(About!$B$3,Calcs!$A$30:$A$33,0),MATCH(T$1,Calcs!$B$29:$AF$29,0))*INDEX(Keys!$F$2:$M$5,MATCH(About!$B$3,Keys!$E$2:$E$5,0),MATCH($A4,Keys!$F$1:$M$1,0)),0)</f>
        <v>0</v>
      </c>
      <c r="U4">
        <f>IFERROR(INDEX(Calcs!$B$30:$AF$33,MATCH(About!$B$3,Calcs!$A$30:$A$33,0),MATCH(U$1,Calcs!$B$29:$AF$29,0))*INDEX(Keys!$F$2:$M$5,MATCH(About!$B$3,Keys!$E$2:$E$5,0),MATCH($A4,Keys!$F$1:$M$1,0)),0)</f>
        <v>0</v>
      </c>
      <c r="V4">
        <f>IFERROR(INDEX(Calcs!$B$30:$AF$33,MATCH(About!$B$3,Calcs!$A$30:$A$33,0),MATCH(V$1,Calcs!$B$29:$AF$29,0))*INDEX(Keys!$F$2:$M$5,MATCH(About!$B$3,Keys!$E$2:$E$5,0),MATCH($A4,Keys!$F$1:$M$1,0)),0)</f>
        <v>0</v>
      </c>
      <c r="W4">
        <f>IFERROR(INDEX(Calcs!$B$30:$AF$33,MATCH(About!$B$3,Calcs!$A$30:$A$33,0),MATCH(W$1,Calcs!$B$29:$AF$29,0))*INDEX(Keys!$F$2:$M$5,MATCH(About!$B$3,Keys!$E$2:$E$5,0),MATCH($A4,Keys!$F$1:$M$1,0)),0)</f>
        <v>0</v>
      </c>
      <c r="X4">
        <f>IFERROR(INDEX(Calcs!$B$30:$AF$33,MATCH(About!$B$3,Calcs!$A$30:$A$33,0),MATCH(X$1,Calcs!$B$29:$AF$29,0))*INDEX(Keys!$F$2:$M$5,MATCH(About!$B$3,Keys!$E$2:$E$5,0),MATCH($A4,Keys!$F$1:$M$1,0)),0)</f>
        <v>0</v>
      </c>
      <c r="Y4">
        <f>IFERROR(INDEX(Calcs!$B$30:$AF$33,MATCH(About!$B$3,Calcs!$A$30:$A$33,0),MATCH(Y$1,Calcs!$B$29:$AF$29,0))*INDEX(Keys!$F$2:$M$5,MATCH(About!$B$3,Keys!$E$2:$E$5,0),MATCH($A4,Keys!$F$1:$M$1,0)),0)</f>
        <v>0</v>
      </c>
      <c r="Z4">
        <f>IFERROR(INDEX(Calcs!$B$30:$AF$33,MATCH(About!$B$3,Calcs!$A$30:$A$33,0),MATCH(Z$1,Calcs!$B$29:$AF$29,0))*INDEX(Keys!$F$2:$M$5,MATCH(About!$B$3,Keys!$E$2:$E$5,0),MATCH($A4,Keys!$F$1:$M$1,0)),0)</f>
        <v>0</v>
      </c>
      <c r="AA4">
        <f>IFERROR(INDEX(Calcs!$B$30:$AF$33,MATCH(About!$B$3,Calcs!$A$30:$A$33,0),MATCH(AA$1,Calcs!$B$29:$AF$29,0))*INDEX(Keys!$F$2:$M$5,MATCH(About!$B$3,Keys!$E$2:$E$5,0),MATCH($A4,Keys!$F$1:$M$1,0)),0)</f>
        <v>0</v>
      </c>
      <c r="AB4">
        <f>IFERROR(INDEX(Calcs!$B$30:$AF$33,MATCH(About!$B$3,Calcs!$A$30:$A$33,0),MATCH(AB$1,Calcs!$B$29:$AF$29,0))*INDEX(Keys!$F$2:$M$5,MATCH(About!$B$3,Keys!$E$2:$E$5,0),MATCH($A4,Keys!$F$1:$M$1,0)),0)</f>
        <v>0</v>
      </c>
      <c r="AC4">
        <f>IFERROR(INDEX(Calcs!$B$30:$AF$33,MATCH(About!$B$3,Calcs!$A$30:$A$33,0),MATCH(AC$1,Calcs!$B$29:$AF$29,0))*INDEX(Keys!$F$2:$M$5,MATCH(About!$B$3,Keys!$E$2:$E$5,0),MATCH($A4,Keys!$F$1:$M$1,0)),0)</f>
        <v>0</v>
      </c>
      <c r="AD4">
        <f>IFERROR(INDEX(Calcs!$B$30:$AF$33,MATCH(About!$B$3,Calcs!$A$30:$A$33,0),MATCH(AD$1,Calcs!$B$29:$AF$29,0))*INDEX(Keys!$F$2:$M$5,MATCH(About!$B$3,Keys!$E$2:$E$5,0),MATCH($A4,Keys!$F$1:$M$1,0)),0)</f>
        <v>0</v>
      </c>
      <c r="AE4">
        <f>IFERROR(INDEX(Calcs!$B$30:$AF$33,MATCH(About!$B$3,Calcs!$A$30:$A$33,0),MATCH(AE$1,Calcs!$B$29:$AF$29,0))*INDEX(Keys!$F$2:$M$5,MATCH(About!$B$3,Keys!$E$2:$E$5,0),MATCH($A4,Keys!$F$1:$M$1,0)),0)</f>
        <v>0</v>
      </c>
      <c r="AF4">
        <f>IFERROR(INDEX(Calcs!$B$30:$AF$33,MATCH(About!$B$3,Calcs!$A$30:$A$33,0),MATCH(AF$1,Calcs!$B$29:$AF$29,0))*INDEX(Keys!$F$2:$M$5,MATCH(About!$B$3,Keys!$E$2:$E$5,0),MATCH($A4,Keys!$F$1:$M$1,0)),0)</f>
        <v>0</v>
      </c>
    </row>
    <row r="5" spans="1:32" x14ac:dyDescent="0.45">
      <c r="A5" t="s">
        <v>65</v>
      </c>
      <c r="B5">
        <f>IFERROR(INDEX(Calcs!$B$30:$AF$33,MATCH(About!$B$3,Calcs!$A$30:$A$33,0),MATCH(B$1,Calcs!$B$29:$AF$29,0))*INDEX(Keys!$F$2:$M$5,MATCH(About!$B$3,Keys!$E$2:$E$5,0),MATCH($A5,Keys!$F$1:$M$1,0)),0)</f>
        <v>0</v>
      </c>
      <c r="C5">
        <f>IFERROR(INDEX(Calcs!$B$30:$AF$33,MATCH(About!$B$3,Calcs!$A$30:$A$33,0),MATCH(C$1,Calcs!$B$29:$AF$29,0))*INDEX(Keys!$F$2:$M$5,MATCH(About!$B$3,Keys!$E$2:$E$5,0),MATCH($A5,Keys!$F$1:$M$1,0)),0)</f>
        <v>0</v>
      </c>
      <c r="D5">
        <f>IFERROR(INDEX(Calcs!$B$30:$AF$33,MATCH(About!$B$3,Calcs!$A$30:$A$33,0),MATCH(D$1,Calcs!$B$29:$AF$29,0))*INDEX(Keys!$F$2:$M$5,MATCH(About!$B$3,Keys!$E$2:$E$5,0),MATCH($A5,Keys!$F$1:$M$1,0)),0)</f>
        <v>0</v>
      </c>
      <c r="E5">
        <f>IFERROR(INDEX(Calcs!$B$30:$AF$33,MATCH(About!$B$3,Calcs!$A$30:$A$33,0),MATCH(E$1,Calcs!$B$29:$AF$29,0))*INDEX(Keys!$F$2:$M$5,MATCH(About!$B$3,Keys!$E$2:$E$5,0),MATCH($A5,Keys!$F$1:$M$1,0)),0)</f>
        <v>0</v>
      </c>
      <c r="F5">
        <f>IFERROR(INDEX(Calcs!$B$30:$AF$33,MATCH(About!$B$3,Calcs!$A$30:$A$33,0),MATCH(F$1,Calcs!$B$29:$AF$29,0))*INDEX(Keys!$F$2:$M$5,MATCH(About!$B$3,Keys!$E$2:$E$5,0),MATCH($A5,Keys!$F$1:$M$1,0)),0)</f>
        <v>0</v>
      </c>
      <c r="G5">
        <f>IFERROR(INDEX(Calcs!$B$30:$AF$33,MATCH(About!$B$3,Calcs!$A$30:$A$33,0),MATCH(G$1,Calcs!$B$29:$AF$29,0))*INDEX(Keys!$F$2:$M$5,MATCH(About!$B$3,Keys!$E$2:$E$5,0),MATCH($A5,Keys!$F$1:$M$1,0)),0)</f>
        <v>0</v>
      </c>
      <c r="H5">
        <f>IFERROR(INDEX(Calcs!$B$30:$AF$33,MATCH(About!$B$3,Calcs!$A$30:$A$33,0),MATCH(H$1,Calcs!$B$29:$AF$29,0))*INDEX(Keys!$F$2:$M$5,MATCH(About!$B$3,Keys!$E$2:$E$5,0),MATCH($A5,Keys!$F$1:$M$1,0)),0)</f>
        <v>0</v>
      </c>
      <c r="I5">
        <f>IFERROR(INDEX(Calcs!$B$30:$AF$33,MATCH(About!$B$3,Calcs!$A$30:$A$33,0),MATCH(I$1,Calcs!$B$29:$AF$29,0))*INDEX(Keys!$F$2:$M$5,MATCH(About!$B$3,Keys!$E$2:$E$5,0),MATCH($A5,Keys!$F$1:$M$1,0)),0)</f>
        <v>0</v>
      </c>
      <c r="J5">
        <f>IFERROR(INDEX(Calcs!$B$30:$AF$33,MATCH(About!$B$3,Calcs!$A$30:$A$33,0),MATCH(J$1,Calcs!$B$29:$AF$29,0))*INDEX(Keys!$F$2:$M$5,MATCH(About!$B$3,Keys!$E$2:$E$5,0),MATCH($A5,Keys!$F$1:$M$1,0)),0)</f>
        <v>0</v>
      </c>
      <c r="K5">
        <f>IFERROR(INDEX(Calcs!$B$30:$AF$33,MATCH(About!$B$3,Calcs!$A$30:$A$33,0),MATCH(K$1,Calcs!$B$29:$AF$29,0))*INDEX(Keys!$F$2:$M$5,MATCH(About!$B$3,Keys!$E$2:$E$5,0),MATCH($A5,Keys!$F$1:$M$1,0)),0)</f>
        <v>0</v>
      </c>
      <c r="L5">
        <f>IFERROR(INDEX(Calcs!$B$30:$AF$33,MATCH(About!$B$3,Calcs!$A$30:$A$33,0),MATCH(L$1,Calcs!$B$29:$AF$29,0))*INDEX(Keys!$F$2:$M$5,MATCH(About!$B$3,Keys!$E$2:$E$5,0),MATCH($A5,Keys!$F$1:$M$1,0)),0)</f>
        <v>0</v>
      </c>
      <c r="M5">
        <f>IFERROR(INDEX(Calcs!$B$30:$AF$33,MATCH(About!$B$3,Calcs!$A$30:$A$33,0),MATCH(M$1,Calcs!$B$29:$AF$29,0))*INDEX(Keys!$F$2:$M$5,MATCH(About!$B$3,Keys!$E$2:$E$5,0),MATCH($A5,Keys!$F$1:$M$1,0)),0)</f>
        <v>0</v>
      </c>
      <c r="N5">
        <f>IFERROR(INDEX(Calcs!$B$30:$AF$33,MATCH(About!$B$3,Calcs!$A$30:$A$33,0),MATCH(N$1,Calcs!$B$29:$AF$29,0))*INDEX(Keys!$F$2:$M$5,MATCH(About!$B$3,Keys!$E$2:$E$5,0),MATCH($A5,Keys!$F$1:$M$1,0)),0)</f>
        <v>0</v>
      </c>
      <c r="O5">
        <f>IFERROR(INDEX(Calcs!$B$30:$AF$33,MATCH(About!$B$3,Calcs!$A$30:$A$33,0),MATCH(O$1,Calcs!$B$29:$AF$29,0))*INDEX(Keys!$F$2:$M$5,MATCH(About!$B$3,Keys!$E$2:$E$5,0),MATCH($A5,Keys!$F$1:$M$1,0)),0)</f>
        <v>0</v>
      </c>
      <c r="P5">
        <f>IFERROR(INDEX(Calcs!$B$30:$AF$33,MATCH(About!$B$3,Calcs!$A$30:$A$33,0),MATCH(P$1,Calcs!$B$29:$AF$29,0))*INDEX(Keys!$F$2:$M$5,MATCH(About!$B$3,Keys!$E$2:$E$5,0),MATCH($A5,Keys!$F$1:$M$1,0)),0)</f>
        <v>0</v>
      </c>
      <c r="Q5">
        <f>IFERROR(INDEX(Calcs!$B$30:$AF$33,MATCH(About!$B$3,Calcs!$A$30:$A$33,0),MATCH(Q$1,Calcs!$B$29:$AF$29,0))*INDEX(Keys!$F$2:$M$5,MATCH(About!$B$3,Keys!$E$2:$E$5,0),MATCH($A5,Keys!$F$1:$M$1,0)),0)</f>
        <v>0</v>
      </c>
      <c r="R5">
        <f>IFERROR(INDEX(Calcs!$B$30:$AF$33,MATCH(About!$B$3,Calcs!$A$30:$A$33,0),MATCH(R$1,Calcs!$B$29:$AF$29,0))*INDEX(Keys!$F$2:$M$5,MATCH(About!$B$3,Keys!$E$2:$E$5,0),MATCH($A5,Keys!$F$1:$M$1,0)),0)</f>
        <v>0</v>
      </c>
      <c r="S5">
        <f>IFERROR(INDEX(Calcs!$B$30:$AF$33,MATCH(About!$B$3,Calcs!$A$30:$A$33,0),MATCH(S$1,Calcs!$B$29:$AF$29,0))*INDEX(Keys!$F$2:$M$5,MATCH(About!$B$3,Keys!$E$2:$E$5,0),MATCH($A5,Keys!$F$1:$M$1,0)),0)</f>
        <v>0</v>
      </c>
      <c r="T5">
        <f>IFERROR(INDEX(Calcs!$B$30:$AF$33,MATCH(About!$B$3,Calcs!$A$30:$A$33,0),MATCH(T$1,Calcs!$B$29:$AF$29,0))*INDEX(Keys!$F$2:$M$5,MATCH(About!$B$3,Keys!$E$2:$E$5,0),MATCH($A5,Keys!$F$1:$M$1,0)),0)</f>
        <v>0</v>
      </c>
      <c r="U5">
        <f>IFERROR(INDEX(Calcs!$B$30:$AF$33,MATCH(About!$B$3,Calcs!$A$30:$A$33,0),MATCH(U$1,Calcs!$B$29:$AF$29,0))*INDEX(Keys!$F$2:$M$5,MATCH(About!$B$3,Keys!$E$2:$E$5,0),MATCH($A5,Keys!$F$1:$M$1,0)),0)</f>
        <v>0</v>
      </c>
      <c r="V5">
        <f>IFERROR(INDEX(Calcs!$B$30:$AF$33,MATCH(About!$B$3,Calcs!$A$30:$A$33,0),MATCH(V$1,Calcs!$B$29:$AF$29,0))*INDEX(Keys!$F$2:$M$5,MATCH(About!$B$3,Keys!$E$2:$E$5,0),MATCH($A5,Keys!$F$1:$M$1,0)),0)</f>
        <v>0</v>
      </c>
      <c r="W5">
        <f>IFERROR(INDEX(Calcs!$B$30:$AF$33,MATCH(About!$B$3,Calcs!$A$30:$A$33,0),MATCH(W$1,Calcs!$B$29:$AF$29,0))*INDEX(Keys!$F$2:$M$5,MATCH(About!$B$3,Keys!$E$2:$E$5,0),MATCH($A5,Keys!$F$1:$M$1,0)),0)</f>
        <v>0</v>
      </c>
      <c r="X5">
        <f>IFERROR(INDEX(Calcs!$B$30:$AF$33,MATCH(About!$B$3,Calcs!$A$30:$A$33,0),MATCH(X$1,Calcs!$B$29:$AF$29,0))*INDEX(Keys!$F$2:$M$5,MATCH(About!$B$3,Keys!$E$2:$E$5,0),MATCH($A5,Keys!$F$1:$M$1,0)),0)</f>
        <v>0</v>
      </c>
      <c r="Y5">
        <f>IFERROR(INDEX(Calcs!$B$30:$AF$33,MATCH(About!$B$3,Calcs!$A$30:$A$33,0),MATCH(Y$1,Calcs!$B$29:$AF$29,0))*INDEX(Keys!$F$2:$M$5,MATCH(About!$B$3,Keys!$E$2:$E$5,0),MATCH($A5,Keys!$F$1:$M$1,0)),0)</f>
        <v>0</v>
      </c>
      <c r="Z5">
        <f>IFERROR(INDEX(Calcs!$B$30:$AF$33,MATCH(About!$B$3,Calcs!$A$30:$A$33,0),MATCH(Z$1,Calcs!$B$29:$AF$29,0))*INDEX(Keys!$F$2:$M$5,MATCH(About!$B$3,Keys!$E$2:$E$5,0),MATCH($A5,Keys!$F$1:$M$1,0)),0)</f>
        <v>0</v>
      </c>
      <c r="AA5">
        <f>IFERROR(INDEX(Calcs!$B$30:$AF$33,MATCH(About!$B$3,Calcs!$A$30:$A$33,0),MATCH(AA$1,Calcs!$B$29:$AF$29,0))*INDEX(Keys!$F$2:$M$5,MATCH(About!$B$3,Keys!$E$2:$E$5,0),MATCH($A5,Keys!$F$1:$M$1,0)),0)</f>
        <v>0</v>
      </c>
      <c r="AB5">
        <f>IFERROR(INDEX(Calcs!$B$30:$AF$33,MATCH(About!$B$3,Calcs!$A$30:$A$33,0),MATCH(AB$1,Calcs!$B$29:$AF$29,0))*INDEX(Keys!$F$2:$M$5,MATCH(About!$B$3,Keys!$E$2:$E$5,0),MATCH($A5,Keys!$F$1:$M$1,0)),0)</f>
        <v>0</v>
      </c>
      <c r="AC5">
        <f>IFERROR(INDEX(Calcs!$B$30:$AF$33,MATCH(About!$B$3,Calcs!$A$30:$A$33,0),MATCH(AC$1,Calcs!$B$29:$AF$29,0))*INDEX(Keys!$F$2:$M$5,MATCH(About!$B$3,Keys!$E$2:$E$5,0),MATCH($A5,Keys!$F$1:$M$1,0)),0)</f>
        <v>0</v>
      </c>
      <c r="AD5">
        <f>IFERROR(INDEX(Calcs!$B$30:$AF$33,MATCH(About!$B$3,Calcs!$A$30:$A$33,0),MATCH(AD$1,Calcs!$B$29:$AF$29,0))*INDEX(Keys!$F$2:$M$5,MATCH(About!$B$3,Keys!$E$2:$E$5,0),MATCH($A5,Keys!$F$1:$M$1,0)),0)</f>
        <v>0</v>
      </c>
      <c r="AE5">
        <f>IFERROR(INDEX(Calcs!$B$30:$AF$33,MATCH(About!$B$3,Calcs!$A$30:$A$33,0),MATCH(AE$1,Calcs!$B$29:$AF$29,0))*INDEX(Keys!$F$2:$M$5,MATCH(About!$B$3,Keys!$E$2:$E$5,0),MATCH($A5,Keys!$F$1:$M$1,0)),0)</f>
        <v>0</v>
      </c>
      <c r="AF5">
        <f>IFERROR(INDEX(Calcs!$B$30:$AF$33,MATCH(About!$B$3,Calcs!$A$30:$A$33,0),MATCH(AF$1,Calcs!$B$29:$AF$29,0))*INDEX(Keys!$F$2:$M$5,MATCH(About!$B$3,Keys!$E$2:$E$5,0),MATCH($A5,Keys!$F$1:$M$1,0)),0)</f>
        <v>0</v>
      </c>
    </row>
    <row r="6" spans="1:32" x14ac:dyDescent="0.45">
      <c r="A6" t="s">
        <v>66</v>
      </c>
      <c r="B6">
        <f>IFERROR(INDEX(Calcs!$B$30:$AF$33,MATCH(About!$B$3,Calcs!$A$30:$A$33,0),MATCH(B$1,Calcs!$B$29:$AF$29,0))*INDEX(Keys!$F$2:$M$5,MATCH(About!$B$3,Keys!$E$2:$E$5,0),MATCH($A6,Keys!$F$1:$M$1,0)),0)</f>
        <v>0</v>
      </c>
      <c r="C6">
        <f>IFERROR(INDEX(Calcs!$B$30:$AF$33,MATCH(About!$B$3,Calcs!$A$30:$A$33,0),MATCH(C$1,Calcs!$B$29:$AF$29,0))*INDEX(Keys!$F$2:$M$5,MATCH(About!$B$3,Keys!$E$2:$E$5,0),MATCH($A6,Keys!$F$1:$M$1,0)),0)</f>
        <v>0</v>
      </c>
      <c r="D6">
        <f>IFERROR(INDEX(Calcs!$B$30:$AF$33,MATCH(About!$B$3,Calcs!$A$30:$A$33,0),MATCH(D$1,Calcs!$B$29:$AF$29,0))*INDEX(Keys!$F$2:$M$5,MATCH(About!$B$3,Keys!$E$2:$E$5,0),MATCH($A6,Keys!$F$1:$M$1,0)),0)</f>
        <v>0</v>
      </c>
      <c r="E6">
        <f>IFERROR(INDEX(Calcs!$B$30:$AF$33,MATCH(About!$B$3,Calcs!$A$30:$A$33,0),MATCH(E$1,Calcs!$B$29:$AF$29,0))*INDEX(Keys!$F$2:$M$5,MATCH(About!$B$3,Keys!$E$2:$E$5,0),MATCH($A6,Keys!$F$1:$M$1,0)),0)</f>
        <v>0</v>
      </c>
      <c r="F6">
        <f>IFERROR(INDEX(Calcs!$B$30:$AF$33,MATCH(About!$B$3,Calcs!$A$30:$A$33,0),MATCH(F$1,Calcs!$B$29:$AF$29,0))*INDEX(Keys!$F$2:$M$5,MATCH(About!$B$3,Keys!$E$2:$E$5,0),MATCH($A6,Keys!$F$1:$M$1,0)),0)</f>
        <v>0</v>
      </c>
      <c r="G6">
        <f>IFERROR(INDEX(Calcs!$B$30:$AF$33,MATCH(About!$B$3,Calcs!$A$30:$A$33,0),MATCH(G$1,Calcs!$B$29:$AF$29,0))*INDEX(Keys!$F$2:$M$5,MATCH(About!$B$3,Keys!$E$2:$E$5,0),MATCH($A6,Keys!$F$1:$M$1,0)),0)</f>
        <v>0</v>
      </c>
      <c r="H6">
        <f>IFERROR(INDEX(Calcs!$B$30:$AF$33,MATCH(About!$B$3,Calcs!$A$30:$A$33,0),MATCH(H$1,Calcs!$B$29:$AF$29,0))*INDEX(Keys!$F$2:$M$5,MATCH(About!$B$3,Keys!$E$2:$E$5,0),MATCH($A6,Keys!$F$1:$M$1,0)),0)</f>
        <v>0</v>
      </c>
      <c r="I6">
        <f>IFERROR(INDEX(Calcs!$B$30:$AF$33,MATCH(About!$B$3,Calcs!$A$30:$A$33,0),MATCH(I$1,Calcs!$B$29:$AF$29,0))*INDEX(Keys!$F$2:$M$5,MATCH(About!$B$3,Keys!$E$2:$E$5,0),MATCH($A6,Keys!$F$1:$M$1,0)),0)</f>
        <v>0</v>
      </c>
      <c r="J6">
        <f>IFERROR(INDEX(Calcs!$B$30:$AF$33,MATCH(About!$B$3,Calcs!$A$30:$A$33,0),MATCH(J$1,Calcs!$B$29:$AF$29,0))*INDEX(Keys!$F$2:$M$5,MATCH(About!$B$3,Keys!$E$2:$E$5,0),MATCH($A6,Keys!$F$1:$M$1,0)),0)</f>
        <v>0</v>
      </c>
      <c r="K6">
        <f>IFERROR(INDEX(Calcs!$B$30:$AF$33,MATCH(About!$B$3,Calcs!$A$30:$A$33,0),MATCH(K$1,Calcs!$B$29:$AF$29,0))*INDEX(Keys!$F$2:$M$5,MATCH(About!$B$3,Keys!$E$2:$E$5,0),MATCH($A6,Keys!$F$1:$M$1,0)),0)</f>
        <v>0</v>
      </c>
      <c r="L6">
        <f>IFERROR(INDEX(Calcs!$B$30:$AF$33,MATCH(About!$B$3,Calcs!$A$30:$A$33,0),MATCH(L$1,Calcs!$B$29:$AF$29,0))*INDEX(Keys!$F$2:$M$5,MATCH(About!$B$3,Keys!$E$2:$E$5,0),MATCH($A6,Keys!$F$1:$M$1,0)),0)</f>
        <v>0</v>
      </c>
      <c r="M6">
        <f>IFERROR(INDEX(Calcs!$B$30:$AF$33,MATCH(About!$B$3,Calcs!$A$30:$A$33,0),MATCH(M$1,Calcs!$B$29:$AF$29,0))*INDEX(Keys!$F$2:$M$5,MATCH(About!$B$3,Keys!$E$2:$E$5,0),MATCH($A6,Keys!$F$1:$M$1,0)),0)</f>
        <v>0</v>
      </c>
      <c r="N6">
        <f>IFERROR(INDEX(Calcs!$B$30:$AF$33,MATCH(About!$B$3,Calcs!$A$30:$A$33,0),MATCH(N$1,Calcs!$B$29:$AF$29,0))*INDEX(Keys!$F$2:$M$5,MATCH(About!$B$3,Keys!$E$2:$E$5,0),MATCH($A6,Keys!$F$1:$M$1,0)),0)</f>
        <v>0</v>
      </c>
      <c r="O6">
        <f>IFERROR(INDEX(Calcs!$B$30:$AF$33,MATCH(About!$B$3,Calcs!$A$30:$A$33,0),MATCH(O$1,Calcs!$B$29:$AF$29,0))*INDEX(Keys!$F$2:$M$5,MATCH(About!$B$3,Keys!$E$2:$E$5,0),MATCH($A6,Keys!$F$1:$M$1,0)),0)</f>
        <v>0</v>
      </c>
      <c r="P6">
        <f>IFERROR(INDEX(Calcs!$B$30:$AF$33,MATCH(About!$B$3,Calcs!$A$30:$A$33,0),MATCH(P$1,Calcs!$B$29:$AF$29,0))*INDEX(Keys!$F$2:$M$5,MATCH(About!$B$3,Keys!$E$2:$E$5,0),MATCH($A6,Keys!$F$1:$M$1,0)),0)</f>
        <v>0</v>
      </c>
      <c r="Q6">
        <f>IFERROR(INDEX(Calcs!$B$30:$AF$33,MATCH(About!$B$3,Calcs!$A$30:$A$33,0),MATCH(Q$1,Calcs!$B$29:$AF$29,0))*INDEX(Keys!$F$2:$M$5,MATCH(About!$B$3,Keys!$E$2:$E$5,0),MATCH($A6,Keys!$F$1:$M$1,0)),0)</f>
        <v>0</v>
      </c>
      <c r="R6">
        <f>IFERROR(INDEX(Calcs!$B$30:$AF$33,MATCH(About!$B$3,Calcs!$A$30:$A$33,0),MATCH(R$1,Calcs!$B$29:$AF$29,0))*INDEX(Keys!$F$2:$M$5,MATCH(About!$B$3,Keys!$E$2:$E$5,0),MATCH($A6,Keys!$F$1:$M$1,0)),0)</f>
        <v>0</v>
      </c>
      <c r="S6">
        <f>IFERROR(INDEX(Calcs!$B$30:$AF$33,MATCH(About!$B$3,Calcs!$A$30:$A$33,0),MATCH(S$1,Calcs!$B$29:$AF$29,0))*INDEX(Keys!$F$2:$M$5,MATCH(About!$B$3,Keys!$E$2:$E$5,0),MATCH($A6,Keys!$F$1:$M$1,0)),0)</f>
        <v>0</v>
      </c>
      <c r="T6">
        <f>IFERROR(INDEX(Calcs!$B$30:$AF$33,MATCH(About!$B$3,Calcs!$A$30:$A$33,0),MATCH(T$1,Calcs!$B$29:$AF$29,0))*INDEX(Keys!$F$2:$M$5,MATCH(About!$B$3,Keys!$E$2:$E$5,0),MATCH($A6,Keys!$F$1:$M$1,0)),0)</f>
        <v>0</v>
      </c>
      <c r="U6">
        <f>IFERROR(INDEX(Calcs!$B$30:$AF$33,MATCH(About!$B$3,Calcs!$A$30:$A$33,0),MATCH(U$1,Calcs!$B$29:$AF$29,0))*INDEX(Keys!$F$2:$M$5,MATCH(About!$B$3,Keys!$E$2:$E$5,0),MATCH($A6,Keys!$F$1:$M$1,0)),0)</f>
        <v>0</v>
      </c>
      <c r="V6">
        <f>IFERROR(INDEX(Calcs!$B$30:$AF$33,MATCH(About!$B$3,Calcs!$A$30:$A$33,0),MATCH(V$1,Calcs!$B$29:$AF$29,0))*INDEX(Keys!$F$2:$M$5,MATCH(About!$B$3,Keys!$E$2:$E$5,0),MATCH($A6,Keys!$F$1:$M$1,0)),0)</f>
        <v>0</v>
      </c>
      <c r="W6">
        <f>IFERROR(INDEX(Calcs!$B$30:$AF$33,MATCH(About!$B$3,Calcs!$A$30:$A$33,0),MATCH(W$1,Calcs!$B$29:$AF$29,0))*INDEX(Keys!$F$2:$M$5,MATCH(About!$B$3,Keys!$E$2:$E$5,0),MATCH($A6,Keys!$F$1:$M$1,0)),0)</f>
        <v>0</v>
      </c>
      <c r="X6">
        <f>IFERROR(INDEX(Calcs!$B$30:$AF$33,MATCH(About!$B$3,Calcs!$A$30:$A$33,0),MATCH(X$1,Calcs!$B$29:$AF$29,0))*INDEX(Keys!$F$2:$M$5,MATCH(About!$B$3,Keys!$E$2:$E$5,0),MATCH($A6,Keys!$F$1:$M$1,0)),0)</f>
        <v>0</v>
      </c>
      <c r="Y6">
        <f>IFERROR(INDEX(Calcs!$B$30:$AF$33,MATCH(About!$B$3,Calcs!$A$30:$A$33,0),MATCH(Y$1,Calcs!$B$29:$AF$29,0))*INDEX(Keys!$F$2:$M$5,MATCH(About!$B$3,Keys!$E$2:$E$5,0),MATCH($A6,Keys!$F$1:$M$1,0)),0)</f>
        <v>0</v>
      </c>
      <c r="Z6">
        <f>IFERROR(INDEX(Calcs!$B$30:$AF$33,MATCH(About!$B$3,Calcs!$A$30:$A$33,0),MATCH(Z$1,Calcs!$B$29:$AF$29,0))*INDEX(Keys!$F$2:$M$5,MATCH(About!$B$3,Keys!$E$2:$E$5,0),MATCH($A6,Keys!$F$1:$M$1,0)),0)</f>
        <v>0</v>
      </c>
      <c r="AA6">
        <f>IFERROR(INDEX(Calcs!$B$30:$AF$33,MATCH(About!$B$3,Calcs!$A$30:$A$33,0),MATCH(AA$1,Calcs!$B$29:$AF$29,0))*INDEX(Keys!$F$2:$M$5,MATCH(About!$B$3,Keys!$E$2:$E$5,0),MATCH($A6,Keys!$F$1:$M$1,0)),0)</f>
        <v>0</v>
      </c>
      <c r="AB6">
        <f>IFERROR(INDEX(Calcs!$B$30:$AF$33,MATCH(About!$B$3,Calcs!$A$30:$A$33,0),MATCH(AB$1,Calcs!$B$29:$AF$29,0))*INDEX(Keys!$F$2:$M$5,MATCH(About!$B$3,Keys!$E$2:$E$5,0),MATCH($A6,Keys!$F$1:$M$1,0)),0)</f>
        <v>0</v>
      </c>
      <c r="AC6">
        <f>IFERROR(INDEX(Calcs!$B$30:$AF$33,MATCH(About!$B$3,Calcs!$A$30:$A$33,0),MATCH(AC$1,Calcs!$B$29:$AF$29,0))*INDEX(Keys!$F$2:$M$5,MATCH(About!$B$3,Keys!$E$2:$E$5,0),MATCH($A6,Keys!$F$1:$M$1,0)),0)</f>
        <v>0</v>
      </c>
      <c r="AD6">
        <f>IFERROR(INDEX(Calcs!$B$30:$AF$33,MATCH(About!$B$3,Calcs!$A$30:$A$33,0),MATCH(AD$1,Calcs!$B$29:$AF$29,0))*INDEX(Keys!$F$2:$M$5,MATCH(About!$B$3,Keys!$E$2:$E$5,0),MATCH($A6,Keys!$F$1:$M$1,0)),0)</f>
        <v>0</v>
      </c>
      <c r="AE6">
        <f>IFERROR(INDEX(Calcs!$B$30:$AF$33,MATCH(About!$B$3,Calcs!$A$30:$A$33,0),MATCH(AE$1,Calcs!$B$29:$AF$29,0))*INDEX(Keys!$F$2:$M$5,MATCH(About!$B$3,Keys!$E$2:$E$5,0),MATCH($A6,Keys!$F$1:$M$1,0)),0)</f>
        <v>0</v>
      </c>
      <c r="AF6">
        <f>IFERROR(INDEX(Calcs!$B$30:$AF$33,MATCH(About!$B$3,Calcs!$A$30:$A$33,0),MATCH(AF$1,Calcs!$B$29:$AF$29,0))*INDEX(Keys!$F$2:$M$5,MATCH(About!$B$3,Keys!$E$2:$E$5,0),MATCH($A6,Keys!$F$1:$M$1,0)),0)</f>
        <v>0</v>
      </c>
    </row>
    <row r="7" spans="1:32" x14ac:dyDescent="0.45">
      <c r="A7" t="s">
        <v>67</v>
      </c>
      <c r="B7">
        <f>IFERROR(INDEX(Calcs!$B$30:$AF$33,MATCH(About!$B$3,Calcs!$A$30:$A$33,0),MATCH(B$1,Calcs!$B$29:$AF$29,0))*INDEX(Keys!$F$2:$M$5,MATCH(About!$B$3,Keys!$E$2:$E$5,0),MATCH($A7,Keys!$F$1:$M$1,0)),0)</f>
        <v>0</v>
      </c>
      <c r="C7">
        <f>IFERROR(INDEX(Calcs!$B$30:$AF$33,MATCH(About!$B$3,Calcs!$A$30:$A$33,0),MATCH(C$1,Calcs!$B$29:$AF$29,0))*INDEX(Keys!$F$2:$M$5,MATCH(About!$B$3,Keys!$E$2:$E$5,0),MATCH($A7,Keys!$F$1:$M$1,0)),0)</f>
        <v>0</v>
      </c>
      <c r="D7">
        <f>IFERROR(INDEX(Calcs!$B$30:$AF$33,MATCH(About!$B$3,Calcs!$A$30:$A$33,0),MATCH(D$1,Calcs!$B$29:$AF$29,0))*INDEX(Keys!$F$2:$M$5,MATCH(About!$B$3,Keys!$E$2:$E$5,0),MATCH($A7,Keys!$F$1:$M$1,0)),0)</f>
        <v>0</v>
      </c>
      <c r="E7">
        <f>IFERROR(INDEX(Calcs!$B$30:$AF$33,MATCH(About!$B$3,Calcs!$A$30:$A$33,0),MATCH(E$1,Calcs!$B$29:$AF$29,0))*INDEX(Keys!$F$2:$M$5,MATCH(About!$B$3,Keys!$E$2:$E$5,0),MATCH($A7,Keys!$F$1:$M$1,0)),0)</f>
        <v>0</v>
      </c>
      <c r="F7">
        <f>IFERROR(INDEX(Calcs!$B$30:$AF$33,MATCH(About!$B$3,Calcs!$A$30:$A$33,0),MATCH(F$1,Calcs!$B$29:$AF$29,0))*INDEX(Keys!$F$2:$M$5,MATCH(About!$B$3,Keys!$E$2:$E$5,0),MATCH($A7,Keys!$F$1:$M$1,0)),0)</f>
        <v>0</v>
      </c>
      <c r="G7">
        <f>IFERROR(INDEX(Calcs!$B$30:$AF$33,MATCH(About!$B$3,Calcs!$A$30:$A$33,0),MATCH(G$1,Calcs!$B$29:$AF$29,0))*INDEX(Keys!$F$2:$M$5,MATCH(About!$B$3,Keys!$E$2:$E$5,0),MATCH($A7,Keys!$F$1:$M$1,0)),0)</f>
        <v>0</v>
      </c>
      <c r="H7">
        <f>IFERROR(INDEX(Calcs!$B$30:$AF$33,MATCH(About!$B$3,Calcs!$A$30:$A$33,0),MATCH(H$1,Calcs!$B$29:$AF$29,0))*INDEX(Keys!$F$2:$M$5,MATCH(About!$B$3,Keys!$E$2:$E$5,0),MATCH($A7,Keys!$F$1:$M$1,0)),0)</f>
        <v>0</v>
      </c>
      <c r="I7">
        <f>IFERROR(INDEX(Calcs!$B$30:$AF$33,MATCH(About!$B$3,Calcs!$A$30:$A$33,0),MATCH(I$1,Calcs!$B$29:$AF$29,0))*INDEX(Keys!$F$2:$M$5,MATCH(About!$B$3,Keys!$E$2:$E$5,0),MATCH($A7,Keys!$F$1:$M$1,0)),0)</f>
        <v>0</v>
      </c>
      <c r="J7">
        <f>IFERROR(INDEX(Calcs!$B$30:$AF$33,MATCH(About!$B$3,Calcs!$A$30:$A$33,0),MATCH(J$1,Calcs!$B$29:$AF$29,0))*INDEX(Keys!$F$2:$M$5,MATCH(About!$B$3,Keys!$E$2:$E$5,0),MATCH($A7,Keys!$F$1:$M$1,0)),0)</f>
        <v>0</v>
      </c>
      <c r="K7">
        <f>IFERROR(INDEX(Calcs!$B$30:$AF$33,MATCH(About!$B$3,Calcs!$A$30:$A$33,0),MATCH(K$1,Calcs!$B$29:$AF$29,0))*INDEX(Keys!$F$2:$M$5,MATCH(About!$B$3,Keys!$E$2:$E$5,0),MATCH($A7,Keys!$F$1:$M$1,0)),0)</f>
        <v>0</v>
      </c>
      <c r="L7">
        <f>IFERROR(INDEX(Calcs!$B$30:$AF$33,MATCH(About!$B$3,Calcs!$A$30:$A$33,0),MATCH(L$1,Calcs!$B$29:$AF$29,0))*INDEX(Keys!$F$2:$M$5,MATCH(About!$B$3,Keys!$E$2:$E$5,0),MATCH($A7,Keys!$F$1:$M$1,0)),0)</f>
        <v>0</v>
      </c>
      <c r="M7">
        <f>IFERROR(INDEX(Calcs!$B$30:$AF$33,MATCH(About!$B$3,Calcs!$A$30:$A$33,0),MATCH(M$1,Calcs!$B$29:$AF$29,0))*INDEX(Keys!$F$2:$M$5,MATCH(About!$B$3,Keys!$E$2:$E$5,0),MATCH($A7,Keys!$F$1:$M$1,0)),0)</f>
        <v>0</v>
      </c>
      <c r="N7">
        <f>IFERROR(INDEX(Calcs!$B$30:$AF$33,MATCH(About!$B$3,Calcs!$A$30:$A$33,0),MATCH(N$1,Calcs!$B$29:$AF$29,0))*INDEX(Keys!$F$2:$M$5,MATCH(About!$B$3,Keys!$E$2:$E$5,0),MATCH($A7,Keys!$F$1:$M$1,0)),0)</f>
        <v>0</v>
      </c>
      <c r="O7">
        <f>IFERROR(INDEX(Calcs!$B$30:$AF$33,MATCH(About!$B$3,Calcs!$A$30:$A$33,0),MATCH(O$1,Calcs!$B$29:$AF$29,0))*INDEX(Keys!$F$2:$M$5,MATCH(About!$B$3,Keys!$E$2:$E$5,0),MATCH($A7,Keys!$F$1:$M$1,0)),0)</f>
        <v>0</v>
      </c>
      <c r="P7">
        <f>IFERROR(INDEX(Calcs!$B$30:$AF$33,MATCH(About!$B$3,Calcs!$A$30:$A$33,0),MATCH(P$1,Calcs!$B$29:$AF$29,0))*INDEX(Keys!$F$2:$M$5,MATCH(About!$B$3,Keys!$E$2:$E$5,0),MATCH($A7,Keys!$F$1:$M$1,0)),0)</f>
        <v>0</v>
      </c>
      <c r="Q7">
        <f>IFERROR(INDEX(Calcs!$B$30:$AF$33,MATCH(About!$B$3,Calcs!$A$30:$A$33,0),MATCH(Q$1,Calcs!$B$29:$AF$29,0))*INDEX(Keys!$F$2:$M$5,MATCH(About!$B$3,Keys!$E$2:$E$5,0),MATCH($A7,Keys!$F$1:$M$1,0)),0)</f>
        <v>0</v>
      </c>
      <c r="R7">
        <f>IFERROR(INDEX(Calcs!$B$30:$AF$33,MATCH(About!$B$3,Calcs!$A$30:$A$33,0),MATCH(R$1,Calcs!$B$29:$AF$29,0))*INDEX(Keys!$F$2:$M$5,MATCH(About!$B$3,Keys!$E$2:$E$5,0),MATCH($A7,Keys!$F$1:$M$1,0)),0)</f>
        <v>0</v>
      </c>
      <c r="S7">
        <f>IFERROR(INDEX(Calcs!$B$30:$AF$33,MATCH(About!$B$3,Calcs!$A$30:$A$33,0),MATCH(S$1,Calcs!$B$29:$AF$29,0))*INDEX(Keys!$F$2:$M$5,MATCH(About!$B$3,Keys!$E$2:$E$5,0),MATCH($A7,Keys!$F$1:$M$1,0)),0)</f>
        <v>0</v>
      </c>
      <c r="T7">
        <f>IFERROR(INDEX(Calcs!$B$30:$AF$33,MATCH(About!$B$3,Calcs!$A$30:$A$33,0),MATCH(T$1,Calcs!$B$29:$AF$29,0))*INDEX(Keys!$F$2:$M$5,MATCH(About!$B$3,Keys!$E$2:$E$5,0),MATCH($A7,Keys!$F$1:$M$1,0)),0)</f>
        <v>0</v>
      </c>
      <c r="U7">
        <f>IFERROR(INDEX(Calcs!$B$30:$AF$33,MATCH(About!$B$3,Calcs!$A$30:$A$33,0),MATCH(U$1,Calcs!$B$29:$AF$29,0))*INDEX(Keys!$F$2:$M$5,MATCH(About!$B$3,Keys!$E$2:$E$5,0),MATCH($A7,Keys!$F$1:$M$1,0)),0)</f>
        <v>0</v>
      </c>
      <c r="V7">
        <f>IFERROR(INDEX(Calcs!$B$30:$AF$33,MATCH(About!$B$3,Calcs!$A$30:$A$33,0),MATCH(V$1,Calcs!$B$29:$AF$29,0))*INDEX(Keys!$F$2:$M$5,MATCH(About!$B$3,Keys!$E$2:$E$5,0),MATCH($A7,Keys!$F$1:$M$1,0)),0)</f>
        <v>0</v>
      </c>
      <c r="W7">
        <f>IFERROR(INDEX(Calcs!$B$30:$AF$33,MATCH(About!$B$3,Calcs!$A$30:$A$33,0),MATCH(W$1,Calcs!$B$29:$AF$29,0))*INDEX(Keys!$F$2:$M$5,MATCH(About!$B$3,Keys!$E$2:$E$5,0),MATCH($A7,Keys!$F$1:$M$1,0)),0)</f>
        <v>0</v>
      </c>
      <c r="X7">
        <f>IFERROR(INDEX(Calcs!$B$30:$AF$33,MATCH(About!$B$3,Calcs!$A$30:$A$33,0),MATCH(X$1,Calcs!$B$29:$AF$29,0))*INDEX(Keys!$F$2:$M$5,MATCH(About!$B$3,Keys!$E$2:$E$5,0),MATCH($A7,Keys!$F$1:$M$1,0)),0)</f>
        <v>0</v>
      </c>
      <c r="Y7">
        <f>IFERROR(INDEX(Calcs!$B$30:$AF$33,MATCH(About!$B$3,Calcs!$A$30:$A$33,0),MATCH(Y$1,Calcs!$B$29:$AF$29,0))*INDEX(Keys!$F$2:$M$5,MATCH(About!$B$3,Keys!$E$2:$E$5,0),MATCH($A7,Keys!$F$1:$M$1,0)),0)</f>
        <v>0</v>
      </c>
      <c r="Z7">
        <f>IFERROR(INDEX(Calcs!$B$30:$AF$33,MATCH(About!$B$3,Calcs!$A$30:$A$33,0),MATCH(Z$1,Calcs!$B$29:$AF$29,0))*INDEX(Keys!$F$2:$M$5,MATCH(About!$B$3,Keys!$E$2:$E$5,0),MATCH($A7,Keys!$F$1:$M$1,0)),0)</f>
        <v>0</v>
      </c>
      <c r="AA7">
        <f>IFERROR(INDEX(Calcs!$B$30:$AF$33,MATCH(About!$B$3,Calcs!$A$30:$A$33,0),MATCH(AA$1,Calcs!$B$29:$AF$29,0))*INDEX(Keys!$F$2:$M$5,MATCH(About!$B$3,Keys!$E$2:$E$5,0),MATCH($A7,Keys!$F$1:$M$1,0)),0)</f>
        <v>0</v>
      </c>
      <c r="AB7">
        <f>IFERROR(INDEX(Calcs!$B$30:$AF$33,MATCH(About!$B$3,Calcs!$A$30:$A$33,0),MATCH(AB$1,Calcs!$B$29:$AF$29,0))*INDEX(Keys!$F$2:$M$5,MATCH(About!$B$3,Keys!$E$2:$E$5,0),MATCH($A7,Keys!$F$1:$M$1,0)),0)</f>
        <v>0</v>
      </c>
      <c r="AC7">
        <f>IFERROR(INDEX(Calcs!$B$30:$AF$33,MATCH(About!$B$3,Calcs!$A$30:$A$33,0),MATCH(AC$1,Calcs!$B$29:$AF$29,0))*INDEX(Keys!$F$2:$M$5,MATCH(About!$B$3,Keys!$E$2:$E$5,0),MATCH($A7,Keys!$F$1:$M$1,0)),0)</f>
        <v>0</v>
      </c>
      <c r="AD7">
        <f>IFERROR(INDEX(Calcs!$B$30:$AF$33,MATCH(About!$B$3,Calcs!$A$30:$A$33,0),MATCH(AD$1,Calcs!$B$29:$AF$29,0))*INDEX(Keys!$F$2:$M$5,MATCH(About!$B$3,Keys!$E$2:$E$5,0),MATCH($A7,Keys!$F$1:$M$1,0)),0)</f>
        <v>0</v>
      </c>
      <c r="AE7">
        <f>IFERROR(INDEX(Calcs!$B$30:$AF$33,MATCH(About!$B$3,Calcs!$A$30:$A$33,0),MATCH(AE$1,Calcs!$B$29:$AF$29,0))*INDEX(Keys!$F$2:$M$5,MATCH(About!$B$3,Keys!$E$2:$E$5,0),MATCH($A7,Keys!$F$1:$M$1,0)),0)</f>
        <v>0</v>
      </c>
      <c r="AF7">
        <f>IFERROR(INDEX(Calcs!$B$30:$AF$33,MATCH(About!$B$3,Calcs!$A$30:$A$33,0),MATCH(AF$1,Calcs!$B$29:$AF$29,0))*INDEX(Keys!$F$2:$M$5,MATCH(About!$B$3,Keys!$E$2:$E$5,0),MATCH($A7,Keys!$F$1:$M$1,0)),0)</f>
        <v>0</v>
      </c>
    </row>
    <row r="8" spans="1:32" x14ac:dyDescent="0.45">
      <c r="A8" t="s">
        <v>68</v>
      </c>
      <c r="B8">
        <f>IFERROR(INDEX(Calcs!$B$30:$AF$33,MATCH(About!$B$3,Calcs!$A$30:$A$33,0),MATCH(B$1,Calcs!$B$29:$AF$29,0))*INDEX(Keys!$F$2:$M$5,MATCH(About!$B$3,Keys!$E$2:$E$5,0),MATCH($A8,Keys!$F$1:$M$1,0)),0)</f>
        <v>0</v>
      </c>
      <c r="C8">
        <f>IFERROR(INDEX(Calcs!$B$30:$AF$33,MATCH(About!$B$3,Calcs!$A$30:$A$33,0),MATCH(C$1,Calcs!$B$29:$AF$29,0))*INDEX(Keys!$F$2:$M$5,MATCH(About!$B$3,Keys!$E$2:$E$5,0),MATCH($A8,Keys!$F$1:$M$1,0)),0)</f>
        <v>0</v>
      </c>
      <c r="D8">
        <f>IFERROR(INDEX(Calcs!$B$30:$AF$33,MATCH(About!$B$3,Calcs!$A$30:$A$33,0),MATCH(D$1,Calcs!$B$29:$AF$29,0))*INDEX(Keys!$F$2:$M$5,MATCH(About!$B$3,Keys!$E$2:$E$5,0),MATCH($A8,Keys!$F$1:$M$1,0)),0)</f>
        <v>0</v>
      </c>
      <c r="E8">
        <f>IFERROR(INDEX(Calcs!$B$30:$AF$33,MATCH(About!$B$3,Calcs!$A$30:$A$33,0),MATCH(E$1,Calcs!$B$29:$AF$29,0))*INDEX(Keys!$F$2:$M$5,MATCH(About!$B$3,Keys!$E$2:$E$5,0),MATCH($A8,Keys!$F$1:$M$1,0)),0)</f>
        <v>0</v>
      </c>
      <c r="F8">
        <f>IFERROR(INDEX(Calcs!$B$30:$AF$33,MATCH(About!$B$3,Calcs!$A$30:$A$33,0),MATCH(F$1,Calcs!$B$29:$AF$29,0))*INDEX(Keys!$F$2:$M$5,MATCH(About!$B$3,Keys!$E$2:$E$5,0),MATCH($A8,Keys!$F$1:$M$1,0)),0)</f>
        <v>0</v>
      </c>
      <c r="G8">
        <f>IFERROR(INDEX(Calcs!$B$30:$AF$33,MATCH(About!$B$3,Calcs!$A$30:$A$33,0),MATCH(G$1,Calcs!$B$29:$AF$29,0))*INDEX(Keys!$F$2:$M$5,MATCH(About!$B$3,Keys!$E$2:$E$5,0),MATCH($A8,Keys!$F$1:$M$1,0)),0)</f>
        <v>0</v>
      </c>
      <c r="H8">
        <f>IFERROR(INDEX(Calcs!$B$30:$AF$33,MATCH(About!$B$3,Calcs!$A$30:$A$33,0),MATCH(H$1,Calcs!$B$29:$AF$29,0))*INDEX(Keys!$F$2:$M$5,MATCH(About!$B$3,Keys!$E$2:$E$5,0),MATCH($A8,Keys!$F$1:$M$1,0)),0)</f>
        <v>0</v>
      </c>
      <c r="I8">
        <f>IFERROR(INDEX(Calcs!$B$30:$AF$33,MATCH(About!$B$3,Calcs!$A$30:$A$33,0),MATCH(I$1,Calcs!$B$29:$AF$29,0))*INDEX(Keys!$F$2:$M$5,MATCH(About!$B$3,Keys!$E$2:$E$5,0),MATCH($A8,Keys!$F$1:$M$1,0)),0)</f>
        <v>0</v>
      </c>
      <c r="J8">
        <f>IFERROR(INDEX(Calcs!$B$30:$AF$33,MATCH(About!$B$3,Calcs!$A$30:$A$33,0),MATCH(J$1,Calcs!$B$29:$AF$29,0))*INDEX(Keys!$F$2:$M$5,MATCH(About!$B$3,Keys!$E$2:$E$5,0),MATCH($A8,Keys!$F$1:$M$1,0)),0)</f>
        <v>0</v>
      </c>
      <c r="K8">
        <f>IFERROR(INDEX(Calcs!$B$30:$AF$33,MATCH(About!$B$3,Calcs!$A$30:$A$33,0),MATCH(K$1,Calcs!$B$29:$AF$29,0))*INDEX(Keys!$F$2:$M$5,MATCH(About!$B$3,Keys!$E$2:$E$5,0),MATCH($A8,Keys!$F$1:$M$1,0)),0)</f>
        <v>0</v>
      </c>
      <c r="L8">
        <f>IFERROR(INDEX(Calcs!$B$30:$AF$33,MATCH(About!$B$3,Calcs!$A$30:$A$33,0),MATCH(L$1,Calcs!$B$29:$AF$29,0))*INDEX(Keys!$F$2:$M$5,MATCH(About!$B$3,Keys!$E$2:$E$5,0),MATCH($A8,Keys!$F$1:$M$1,0)),0)</f>
        <v>0</v>
      </c>
      <c r="M8">
        <f>IFERROR(INDEX(Calcs!$B$30:$AF$33,MATCH(About!$B$3,Calcs!$A$30:$A$33,0),MATCH(M$1,Calcs!$B$29:$AF$29,0))*INDEX(Keys!$F$2:$M$5,MATCH(About!$B$3,Keys!$E$2:$E$5,0),MATCH($A8,Keys!$F$1:$M$1,0)),0)</f>
        <v>0</v>
      </c>
      <c r="N8">
        <f>IFERROR(INDEX(Calcs!$B$30:$AF$33,MATCH(About!$B$3,Calcs!$A$30:$A$33,0),MATCH(N$1,Calcs!$B$29:$AF$29,0))*INDEX(Keys!$F$2:$M$5,MATCH(About!$B$3,Keys!$E$2:$E$5,0),MATCH($A8,Keys!$F$1:$M$1,0)),0)</f>
        <v>0</v>
      </c>
      <c r="O8">
        <f>IFERROR(INDEX(Calcs!$B$30:$AF$33,MATCH(About!$B$3,Calcs!$A$30:$A$33,0),MATCH(O$1,Calcs!$B$29:$AF$29,0))*INDEX(Keys!$F$2:$M$5,MATCH(About!$B$3,Keys!$E$2:$E$5,0),MATCH($A8,Keys!$F$1:$M$1,0)),0)</f>
        <v>0</v>
      </c>
      <c r="P8">
        <f>IFERROR(INDEX(Calcs!$B$30:$AF$33,MATCH(About!$B$3,Calcs!$A$30:$A$33,0),MATCH(P$1,Calcs!$B$29:$AF$29,0))*INDEX(Keys!$F$2:$M$5,MATCH(About!$B$3,Keys!$E$2:$E$5,0),MATCH($A8,Keys!$F$1:$M$1,0)),0)</f>
        <v>0</v>
      </c>
      <c r="Q8">
        <f>IFERROR(INDEX(Calcs!$B$30:$AF$33,MATCH(About!$B$3,Calcs!$A$30:$A$33,0),MATCH(Q$1,Calcs!$B$29:$AF$29,0))*INDEX(Keys!$F$2:$M$5,MATCH(About!$B$3,Keys!$E$2:$E$5,0),MATCH($A8,Keys!$F$1:$M$1,0)),0)</f>
        <v>0</v>
      </c>
      <c r="R8">
        <f>IFERROR(INDEX(Calcs!$B$30:$AF$33,MATCH(About!$B$3,Calcs!$A$30:$A$33,0),MATCH(R$1,Calcs!$B$29:$AF$29,0))*INDEX(Keys!$F$2:$M$5,MATCH(About!$B$3,Keys!$E$2:$E$5,0),MATCH($A8,Keys!$F$1:$M$1,0)),0)</f>
        <v>0</v>
      </c>
      <c r="S8">
        <f>IFERROR(INDEX(Calcs!$B$30:$AF$33,MATCH(About!$B$3,Calcs!$A$30:$A$33,0),MATCH(S$1,Calcs!$B$29:$AF$29,0))*INDEX(Keys!$F$2:$M$5,MATCH(About!$B$3,Keys!$E$2:$E$5,0),MATCH($A8,Keys!$F$1:$M$1,0)),0)</f>
        <v>0</v>
      </c>
      <c r="T8">
        <f>IFERROR(INDEX(Calcs!$B$30:$AF$33,MATCH(About!$B$3,Calcs!$A$30:$A$33,0),MATCH(T$1,Calcs!$B$29:$AF$29,0))*INDEX(Keys!$F$2:$M$5,MATCH(About!$B$3,Keys!$E$2:$E$5,0),MATCH($A8,Keys!$F$1:$M$1,0)),0)</f>
        <v>0</v>
      </c>
      <c r="U8">
        <f>IFERROR(INDEX(Calcs!$B$30:$AF$33,MATCH(About!$B$3,Calcs!$A$30:$A$33,0),MATCH(U$1,Calcs!$B$29:$AF$29,0))*INDEX(Keys!$F$2:$M$5,MATCH(About!$B$3,Keys!$E$2:$E$5,0),MATCH($A8,Keys!$F$1:$M$1,0)),0)</f>
        <v>0</v>
      </c>
      <c r="V8">
        <f>IFERROR(INDEX(Calcs!$B$30:$AF$33,MATCH(About!$B$3,Calcs!$A$30:$A$33,0),MATCH(V$1,Calcs!$B$29:$AF$29,0))*INDEX(Keys!$F$2:$M$5,MATCH(About!$B$3,Keys!$E$2:$E$5,0),MATCH($A8,Keys!$F$1:$M$1,0)),0)</f>
        <v>0</v>
      </c>
      <c r="W8">
        <f>IFERROR(INDEX(Calcs!$B$30:$AF$33,MATCH(About!$B$3,Calcs!$A$30:$A$33,0),MATCH(W$1,Calcs!$B$29:$AF$29,0))*INDEX(Keys!$F$2:$M$5,MATCH(About!$B$3,Keys!$E$2:$E$5,0),MATCH($A8,Keys!$F$1:$M$1,0)),0)</f>
        <v>0</v>
      </c>
      <c r="X8">
        <f>IFERROR(INDEX(Calcs!$B$30:$AF$33,MATCH(About!$B$3,Calcs!$A$30:$A$33,0),MATCH(X$1,Calcs!$B$29:$AF$29,0))*INDEX(Keys!$F$2:$M$5,MATCH(About!$B$3,Keys!$E$2:$E$5,0),MATCH($A8,Keys!$F$1:$M$1,0)),0)</f>
        <v>0</v>
      </c>
      <c r="Y8">
        <f>IFERROR(INDEX(Calcs!$B$30:$AF$33,MATCH(About!$B$3,Calcs!$A$30:$A$33,0),MATCH(Y$1,Calcs!$B$29:$AF$29,0))*INDEX(Keys!$F$2:$M$5,MATCH(About!$B$3,Keys!$E$2:$E$5,0),MATCH($A8,Keys!$F$1:$M$1,0)),0)</f>
        <v>0</v>
      </c>
      <c r="Z8">
        <f>IFERROR(INDEX(Calcs!$B$30:$AF$33,MATCH(About!$B$3,Calcs!$A$30:$A$33,0),MATCH(Z$1,Calcs!$B$29:$AF$29,0))*INDEX(Keys!$F$2:$M$5,MATCH(About!$B$3,Keys!$E$2:$E$5,0),MATCH($A8,Keys!$F$1:$M$1,0)),0)</f>
        <v>0</v>
      </c>
      <c r="AA8">
        <f>IFERROR(INDEX(Calcs!$B$30:$AF$33,MATCH(About!$B$3,Calcs!$A$30:$A$33,0),MATCH(AA$1,Calcs!$B$29:$AF$29,0))*INDEX(Keys!$F$2:$M$5,MATCH(About!$B$3,Keys!$E$2:$E$5,0),MATCH($A8,Keys!$F$1:$M$1,0)),0)</f>
        <v>0</v>
      </c>
      <c r="AB8">
        <f>IFERROR(INDEX(Calcs!$B$30:$AF$33,MATCH(About!$B$3,Calcs!$A$30:$A$33,0),MATCH(AB$1,Calcs!$B$29:$AF$29,0))*INDEX(Keys!$F$2:$M$5,MATCH(About!$B$3,Keys!$E$2:$E$5,0),MATCH($A8,Keys!$F$1:$M$1,0)),0)</f>
        <v>0</v>
      </c>
      <c r="AC8">
        <f>IFERROR(INDEX(Calcs!$B$30:$AF$33,MATCH(About!$B$3,Calcs!$A$30:$A$33,0),MATCH(AC$1,Calcs!$B$29:$AF$29,0))*INDEX(Keys!$F$2:$M$5,MATCH(About!$B$3,Keys!$E$2:$E$5,0),MATCH($A8,Keys!$F$1:$M$1,0)),0)</f>
        <v>0</v>
      </c>
      <c r="AD8">
        <f>IFERROR(INDEX(Calcs!$B$30:$AF$33,MATCH(About!$B$3,Calcs!$A$30:$A$33,0),MATCH(AD$1,Calcs!$B$29:$AF$29,0))*INDEX(Keys!$F$2:$M$5,MATCH(About!$B$3,Keys!$E$2:$E$5,0),MATCH($A8,Keys!$F$1:$M$1,0)),0)</f>
        <v>0</v>
      </c>
      <c r="AE8">
        <f>IFERROR(INDEX(Calcs!$B$30:$AF$33,MATCH(About!$B$3,Calcs!$A$30:$A$33,0),MATCH(AE$1,Calcs!$B$29:$AF$29,0))*INDEX(Keys!$F$2:$M$5,MATCH(About!$B$3,Keys!$E$2:$E$5,0),MATCH($A8,Keys!$F$1:$M$1,0)),0)</f>
        <v>0</v>
      </c>
      <c r="AF8">
        <f>IFERROR(INDEX(Calcs!$B$30:$AF$33,MATCH(About!$B$3,Calcs!$A$30:$A$33,0),MATCH(AF$1,Calcs!$B$29:$AF$29,0))*INDEX(Keys!$F$2:$M$5,MATCH(About!$B$3,Keys!$E$2:$E$5,0),MATCH($A8,Keys!$F$1:$M$1,0)),0)</f>
        <v>0</v>
      </c>
    </row>
    <row r="9" spans="1:32" x14ac:dyDescent="0.45">
      <c r="A9" t="s">
        <v>69</v>
      </c>
      <c r="B9">
        <f>IFERROR(INDEX(Calcs!$B$30:$AF$33,MATCH(About!$B$3,Calcs!$A$30:$A$33,0),MATCH(B$1,Calcs!$B$29:$AF$29,0))*INDEX(Keys!$F$2:$M$5,MATCH(About!$B$3,Keys!$E$2:$E$5,0),MATCH($A9,Keys!$F$1:$M$1,0)),0)</f>
        <v>0</v>
      </c>
      <c r="C9">
        <f>IFERROR(INDEX(Calcs!$B$30:$AF$33,MATCH(About!$B$3,Calcs!$A$30:$A$33,0),MATCH(C$1,Calcs!$B$29:$AF$29,0))*INDEX(Keys!$F$2:$M$5,MATCH(About!$B$3,Keys!$E$2:$E$5,0),MATCH($A9,Keys!$F$1:$M$1,0)),0)</f>
        <v>0</v>
      </c>
      <c r="D9">
        <f>IFERROR(INDEX(Calcs!$B$30:$AF$33,MATCH(About!$B$3,Calcs!$A$30:$A$33,0),MATCH(D$1,Calcs!$B$29:$AF$29,0))*INDEX(Keys!$F$2:$M$5,MATCH(About!$B$3,Keys!$E$2:$E$5,0),MATCH($A9,Keys!$F$1:$M$1,0)),0)</f>
        <v>0</v>
      </c>
      <c r="E9">
        <f>IFERROR(INDEX(Calcs!$B$30:$AF$33,MATCH(About!$B$3,Calcs!$A$30:$A$33,0),MATCH(E$1,Calcs!$B$29:$AF$29,0))*INDEX(Keys!$F$2:$M$5,MATCH(About!$B$3,Keys!$E$2:$E$5,0),MATCH($A9,Keys!$F$1:$M$1,0)),0)</f>
        <v>0</v>
      </c>
      <c r="F9">
        <f>IFERROR(INDEX(Calcs!$B$30:$AF$33,MATCH(About!$B$3,Calcs!$A$30:$A$33,0),MATCH(F$1,Calcs!$B$29:$AF$29,0))*INDEX(Keys!$F$2:$M$5,MATCH(About!$B$3,Keys!$E$2:$E$5,0),MATCH($A9,Keys!$F$1:$M$1,0)),0)</f>
        <v>0</v>
      </c>
      <c r="G9">
        <f>IFERROR(INDEX(Calcs!$B$30:$AF$33,MATCH(About!$B$3,Calcs!$A$30:$A$33,0),MATCH(G$1,Calcs!$B$29:$AF$29,0))*INDEX(Keys!$F$2:$M$5,MATCH(About!$B$3,Keys!$E$2:$E$5,0),MATCH($A9,Keys!$F$1:$M$1,0)),0)</f>
        <v>0</v>
      </c>
      <c r="H9">
        <f>IFERROR(INDEX(Calcs!$B$30:$AF$33,MATCH(About!$B$3,Calcs!$A$30:$A$33,0),MATCH(H$1,Calcs!$B$29:$AF$29,0))*INDEX(Keys!$F$2:$M$5,MATCH(About!$B$3,Keys!$E$2:$E$5,0),MATCH($A9,Keys!$F$1:$M$1,0)),0)</f>
        <v>0</v>
      </c>
      <c r="I9">
        <f>IFERROR(INDEX(Calcs!$B$30:$AF$33,MATCH(About!$B$3,Calcs!$A$30:$A$33,0),MATCH(I$1,Calcs!$B$29:$AF$29,0))*INDEX(Keys!$F$2:$M$5,MATCH(About!$B$3,Keys!$E$2:$E$5,0),MATCH($A9,Keys!$F$1:$M$1,0)),0)</f>
        <v>0</v>
      </c>
      <c r="J9">
        <f>IFERROR(INDEX(Calcs!$B$30:$AF$33,MATCH(About!$B$3,Calcs!$A$30:$A$33,0),MATCH(J$1,Calcs!$B$29:$AF$29,0))*INDEX(Keys!$F$2:$M$5,MATCH(About!$B$3,Keys!$E$2:$E$5,0),MATCH($A9,Keys!$F$1:$M$1,0)),0)</f>
        <v>0</v>
      </c>
      <c r="K9">
        <f>IFERROR(INDEX(Calcs!$B$30:$AF$33,MATCH(About!$B$3,Calcs!$A$30:$A$33,0),MATCH(K$1,Calcs!$B$29:$AF$29,0))*INDEX(Keys!$F$2:$M$5,MATCH(About!$B$3,Keys!$E$2:$E$5,0),MATCH($A9,Keys!$F$1:$M$1,0)),0)</f>
        <v>0</v>
      </c>
      <c r="L9">
        <f>IFERROR(INDEX(Calcs!$B$30:$AF$33,MATCH(About!$B$3,Calcs!$A$30:$A$33,0),MATCH(L$1,Calcs!$B$29:$AF$29,0))*INDEX(Keys!$F$2:$M$5,MATCH(About!$B$3,Keys!$E$2:$E$5,0),MATCH($A9,Keys!$F$1:$M$1,0)),0)</f>
        <v>0</v>
      </c>
      <c r="M9">
        <f>IFERROR(INDEX(Calcs!$B$30:$AF$33,MATCH(About!$B$3,Calcs!$A$30:$A$33,0),MATCH(M$1,Calcs!$B$29:$AF$29,0))*INDEX(Keys!$F$2:$M$5,MATCH(About!$B$3,Keys!$E$2:$E$5,0),MATCH($A9,Keys!$F$1:$M$1,0)),0)</f>
        <v>0</v>
      </c>
      <c r="N9">
        <f>IFERROR(INDEX(Calcs!$B$30:$AF$33,MATCH(About!$B$3,Calcs!$A$30:$A$33,0),MATCH(N$1,Calcs!$B$29:$AF$29,0))*INDEX(Keys!$F$2:$M$5,MATCH(About!$B$3,Keys!$E$2:$E$5,0),MATCH($A9,Keys!$F$1:$M$1,0)),0)</f>
        <v>0</v>
      </c>
      <c r="O9">
        <f>IFERROR(INDEX(Calcs!$B$30:$AF$33,MATCH(About!$B$3,Calcs!$A$30:$A$33,0),MATCH(O$1,Calcs!$B$29:$AF$29,0))*INDEX(Keys!$F$2:$M$5,MATCH(About!$B$3,Keys!$E$2:$E$5,0),MATCH($A9,Keys!$F$1:$M$1,0)),0)</f>
        <v>0</v>
      </c>
      <c r="P9">
        <f>IFERROR(INDEX(Calcs!$B$30:$AF$33,MATCH(About!$B$3,Calcs!$A$30:$A$33,0),MATCH(P$1,Calcs!$B$29:$AF$29,0))*INDEX(Keys!$F$2:$M$5,MATCH(About!$B$3,Keys!$E$2:$E$5,0),MATCH($A9,Keys!$F$1:$M$1,0)),0)</f>
        <v>0</v>
      </c>
      <c r="Q9">
        <f>IFERROR(INDEX(Calcs!$B$30:$AF$33,MATCH(About!$B$3,Calcs!$A$30:$A$33,0),MATCH(Q$1,Calcs!$B$29:$AF$29,0))*INDEX(Keys!$F$2:$M$5,MATCH(About!$B$3,Keys!$E$2:$E$5,0),MATCH($A9,Keys!$F$1:$M$1,0)),0)</f>
        <v>0</v>
      </c>
      <c r="R9">
        <f>IFERROR(INDEX(Calcs!$B$30:$AF$33,MATCH(About!$B$3,Calcs!$A$30:$A$33,0),MATCH(R$1,Calcs!$B$29:$AF$29,0))*INDEX(Keys!$F$2:$M$5,MATCH(About!$B$3,Keys!$E$2:$E$5,0),MATCH($A9,Keys!$F$1:$M$1,0)),0)</f>
        <v>0</v>
      </c>
      <c r="S9">
        <f>IFERROR(INDEX(Calcs!$B$30:$AF$33,MATCH(About!$B$3,Calcs!$A$30:$A$33,0),MATCH(S$1,Calcs!$B$29:$AF$29,0))*INDEX(Keys!$F$2:$M$5,MATCH(About!$B$3,Keys!$E$2:$E$5,0),MATCH($A9,Keys!$F$1:$M$1,0)),0)</f>
        <v>0</v>
      </c>
      <c r="T9">
        <f>IFERROR(INDEX(Calcs!$B$30:$AF$33,MATCH(About!$B$3,Calcs!$A$30:$A$33,0),MATCH(T$1,Calcs!$B$29:$AF$29,0))*INDEX(Keys!$F$2:$M$5,MATCH(About!$B$3,Keys!$E$2:$E$5,0),MATCH($A9,Keys!$F$1:$M$1,0)),0)</f>
        <v>0</v>
      </c>
      <c r="U9">
        <f>IFERROR(INDEX(Calcs!$B$30:$AF$33,MATCH(About!$B$3,Calcs!$A$30:$A$33,0),MATCH(U$1,Calcs!$B$29:$AF$29,0))*INDEX(Keys!$F$2:$M$5,MATCH(About!$B$3,Keys!$E$2:$E$5,0),MATCH($A9,Keys!$F$1:$M$1,0)),0)</f>
        <v>0</v>
      </c>
      <c r="V9">
        <f>IFERROR(INDEX(Calcs!$B$30:$AF$33,MATCH(About!$B$3,Calcs!$A$30:$A$33,0),MATCH(V$1,Calcs!$B$29:$AF$29,0))*INDEX(Keys!$F$2:$M$5,MATCH(About!$B$3,Keys!$E$2:$E$5,0),MATCH($A9,Keys!$F$1:$M$1,0)),0)</f>
        <v>0</v>
      </c>
      <c r="W9">
        <f>IFERROR(INDEX(Calcs!$B$30:$AF$33,MATCH(About!$B$3,Calcs!$A$30:$A$33,0),MATCH(W$1,Calcs!$B$29:$AF$29,0))*INDEX(Keys!$F$2:$M$5,MATCH(About!$B$3,Keys!$E$2:$E$5,0),MATCH($A9,Keys!$F$1:$M$1,0)),0)</f>
        <v>0</v>
      </c>
      <c r="X9">
        <f>IFERROR(INDEX(Calcs!$B$30:$AF$33,MATCH(About!$B$3,Calcs!$A$30:$A$33,0),MATCH(X$1,Calcs!$B$29:$AF$29,0))*INDEX(Keys!$F$2:$M$5,MATCH(About!$B$3,Keys!$E$2:$E$5,0),MATCH($A9,Keys!$F$1:$M$1,0)),0)</f>
        <v>0</v>
      </c>
      <c r="Y9">
        <f>IFERROR(INDEX(Calcs!$B$30:$AF$33,MATCH(About!$B$3,Calcs!$A$30:$A$33,0),MATCH(Y$1,Calcs!$B$29:$AF$29,0))*INDEX(Keys!$F$2:$M$5,MATCH(About!$B$3,Keys!$E$2:$E$5,0),MATCH($A9,Keys!$F$1:$M$1,0)),0)</f>
        <v>0</v>
      </c>
      <c r="Z9">
        <f>IFERROR(INDEX(Calcs!$B$30:$AF$33,MATCH(About!$B$3,Calcs!$A$30:$A$33,0),MATCH(Z$1,Calcs!$B$29:$AF$29,0))*INDEX(Keys!$F$2:$M$5,MATCH(About!$B$3,Keys!$E$2:$E$5,0),MATCH($A9,Keys!$F$1:$M$1,0)),0)</f>
        <v>0</v>
      </c>
      <c r="AA9">
        <f>IFERROR(INDEX(Calcs!$B$30:$AF$33,MATCH(About!$B$3,Calcs!$A$30:$A$33,0),MATCH(AA$1,Calcs!$B$29:$AF$29,0))*INDEX(Keys!$F$2:$M$5,MATCH(About!$B$3,Keys!$E$2:$E$5,0),MATCH($A9,Keys!$F$1:$M$1,0)),0)</f>
        <v>0</v>
      </c>
      <c r="AB9">
        <f>IFERROR(INDEX(Calcs!$B$30:$AF$33,MATCH(About!$B$3,Calcs!$A$30:$A$33,0),MATCH(AB$1,Calcs!$B$29:$AF$29,0))*INDEX(Keys!$F$2:$M$5,MATCH(About!$B$3,Keys!$E$2:$E$5,0),MATCH($A9,Keys!$F$1:$M$1,0)),0)</f>
        <v>0</v>
      </c>
      <c r="AC9">
        <f>IFERROR(INDEX(Calcs!$B$30:$AF$33,MATCH(About!$B$3,Calcs!$A$30:$A$33,0),MATCH(AC$1,Calcs!$B$29:$AF$29,0))*INDEX(Keys!$F$2:$M$5,MATCH(About!$B$3,Keys!$E$2:$E$5,0),MATCH($A9,Keys!$F$1:$M$1,0)),0)</f>
        <v>0</v>
      </c>
      <c r="AD9">
        <f>IFERROR(INDEX(Calcs!$B$30:$AF$33,MATCH(About!$B$3,Calcs!$A$30:$A$33,0),MATCH(AD$1,Calcs!$B$29:$AF$29,0))*INDEX(Keys!$F$2:$M$5,MATCH(About!$B$3,Keys!$E$2:$E$5,0),MATCH($A9,Keys!$F$1:$M$1,0)),0)</f>
        <v>0</v>
      </c>
      <c r="AE9">
        <f>IFERROR(INDEX(Calcs!$B$30:$AF$33,MATCH(About!$B$3,Calcs!$A$30:$A$33,0),MATCH(AE$1,Calcs!$B$29:$AF$29,0))*INDEX(Keys!$F$2:$M$5,MATCH(About!$B$3,Keys!$E$2:$E$5,0),MATCH($A9,Keys!$F$1:$M$1,0)),0)</f>
        <v>0</v>
      </c>
      <c r="AF9">
        <f>IFERROR(INDEX(Calcs!$B$30:$AF$33,MATCH(About!$B$3,Calcs!$A$30:$A$33,0),MATCH(AF$1,Calcs!$B$29:$AF$29,0))*INDEX(Keys!$F$2:$M$5,MATCH(About!$B$3,Keys!$E$2:$E$5,0),MATCH($A9,Keys!$F$1:$M$1,0)),0)</f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61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  <col min="2" max="2" width="22" customWidth="1"/>
    <col min="3" max="3" width="10" customWidth="1"/>
    <col min="4" max="4" width="16" customWidth="1"/>
    <col min="5" max="5" width="60" customWidth="1"/>
  </cols>
  <sheetData>
    <row r="1" spans="1:13" x14ac:dyDescent="0.45">
      <c r="A1" s="5" t="s">
        <v>70</v>
      </c>
      <c r="B1" s="5" t="s">
        <v>71</v>
      </c>
      <c r="C1" s="5" t="s">
        <v>72</v>
      </c>
      <c r="E1" s="3" t="s">
        <v>72</v>
      </c>
      <c r="F1" s="3" t="s">
        <v>62</v>
      </c>
      <c r="G1" s="3" t="s">
        <v>63</v>
      </c>
      <c r="H1" s="3" t="s">
        <v>64</v>
      </c>
      <c r="I1" s="3" t="s">
        <v>65</v>
      </c>
      <c r="J1" s="3" t="s">
        <v>66</v>
      </c>
      <c r="K1" s="3" t="s">
        <v>67</v>
      </c>
      <c r="L1" s="3" t="s">
        <v>68</v>
      </c>
      <c r="M1" s="3" t="s">
        <v>69</v>
      </c>
    </row>
    <row r="2" spans="1:13" x14ac:dyDescent="0.45">
      <c r="A2" t="s">
        <v>73</v>
      </c>
      <c r="B2" t="s">
        <v>74</v>
      </c>
      <c r="C2" t="s">
        <v>75</v>
      </c>
      <c r="E2" s="3" t="s">
        <v>76</v>
      </c>
      <c r="F2">
        <v>0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 x14ac:dyDescent="0.45">
      <c r="A3" t="s">
        <v>77</v>
      </c>
      <c r="B3" t="s">
        <v>78</v>
      </c>
      <c r="C3" t="s">
        <v>75</v>
      </c>
      <c r="E3" s="3" t="s">
        <v>79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</row>
    <row r="4" spans="1:13" x14ac:dyDescent="0.45">
      <c r="A4" t="s">
        <v>80</v>
      </c>
      <c r="B4" t="s">
        <v>81</v>
      </c>
      <c r="C4" t="s">
        <v>75</v>
      </c>
      <c r="E4" s="3" t="s">
        <v>82</v>
      </c>
      <c r="F4">
        <v>1</v>
      </c>
      <c r="G4">
        <v>1</v>
      </c>
      <c r="H4">
        <v>1</v>
      </c>
      <c r="I4">
        <v>1</v>
      </c>
      <c r="J4">
        <v>0</v>
      </c>
      <c r="K4">
        <v>1</v>
      </c>
      <c r="L4">
        <v>0</v>
      </c>
      <c r="M4">
        <v>1</v>
      </c>
    </row>
    <row r="5" spans="1:13" x14ac:dyDescent="0.45">
      <c r="A5" t="s">
        <v>79</v>
      </c>
      <c r="B5" t="s">
        <v>1</v>
      </c>
      <c r="C5" t="s">
        <v>79</v>
      </c>
      <c r="E5" s="3" t="s">
        <v>75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 x14ac:dyDescent="0.45">
      <c r="A6" t="s">
        <v>83</v>
      </c>
      <c r="B6" t="s">
        <v>84</v>
      </c>
      <c r="C6" t="s">
        <v>75</v>
      </c>
    </row>
    <row r="7" spans="1:13" x14ac:dyDescent="0.45">
      <c r="A7" t="s">
        <v>85</v>
      </c>
      <c r="B7" t="s">
        <v>86</v>
      </c>
      <c r="C7" t="s">
        <v>76</v>
      </c>
    </row>
    <row r="8" spans="1:13" x14ac:dyDescent="0.45">
      <c r="A8" t="s">
        <v>87</v>
      </c>
      <c r="B8" t="s">
        <v>88</v>
      </c>
      <c r="C8" t="s">
        <v>76</v>
      </c>
    </row>
    <row r="9" spans="1:13" x14ac:dyDescent="0.45">
      <c r="A9" t="s">
        <v>89</v>
      </c>
      <c r="B9" t="s">
        <v>90</v>
      </c>
      <c r="C9" t="s">
        <v>75</v>
      </c>
    </row>
    <row r="10" spans="1:13" x14ac:dyDescent="0.45">
      <c r="A10" t="s">
        <v>91</v>
      </c>
      <c r="B10" t="s">
        <v>92</v>
      </c>
      <c r="C10" t="s">
        <v>75</v>
      </c>
    </row>
    <row r="11" spans="1:13" x14ac:dyDescent="0.45">
      <c r="A11" t="s">
        <v>93</v>
      </c>
      <c r="B11" t="s">
        <v>94</v>
      </c>
      <c r="C11" t="s">
        <v>75</v>
      </c>
    </row>
    <row r="12" spans="1:13" x14ac:dyDescent="0.45">
      <c r="A12" t="s">
        <v>95</v>
      </c>
      <c r="B12" t="s">
        <v>96</v>
      </c>
      <c r="C12" t="s">
        <v>75</v>
      </c>
    </row>
    <row r="13" spans="1:13" x14ac:dyDescent="0.45">
      <c r="A13" t="s">
        <v>97</v>
      </c>
      <c r="B13" t="s">
        <v>98</v>
      </c>
      <c r="C13" t="s">
        <v>75</v>
      </c>
    </row>
    <row r="14" spans="1:13" x14ac:dyDescent="0.45">
      <c r="A14" t="s">
        <v>99</v>
      </c>
      <c r="B14" t="s">
        <v>100</v>
      </c>
      <c r="C14" t="s">
        <v>75</v>
      </c>
    </row>
    <row r="15" spans="1:13" x14ac:dyDescent="0.45">
      <c r="A15" t="s">
        <v>101</v>
      </c>
      <c r="B15" t="s">
        <v>102</v>
      </c>
      <c r="C15" t="s">
        <v>75</v>
      </c>
    </row>
    <row r="16" spans="1:13" x14ac:dyDescent="0.45">
      <c r="A16" t="s">
        <v>103</v>
      </c>
      <c r="B16" t="s">
        <v>104</v>
      </c>
      <c r="C16" t="s">
        <v>75</v>
      </c>
    </row>
    <row r="17" spans="1:3" x14ac:dyDescent="0.45">
      <c r="A17" t="s">
        <v>105</v>
      </c>
      <c r="B17" t="s">
        <v>106</v>
      </c>
      <c r="C17" t="s">
        <v>75</v>
      </c>
    </row>
    <row r="18" spans="1:3" x14ac:dyDescent="0.45">
      <c r="A18" t="s">
        <v>107</v>
      </c>
      <c r="B18" t="s">
        <v>108</v>
      </c>
      <c r="C18" t="s">
        <v>76</v>
      </c>
    </row>
    <row r="19" spans="1:3" x14ac:dyDescent="0.45">
      <c r="A19" t="s">
        <v>109</v>
      </c>
      <c r="B19" t="s">
        <v>110</v>
      </c>
      <c r="C19" t="s">
        <v>76</v>
      </c>
    </row>
    <row r="20" spans="1:3" x14ac:dyDescent="0.45">
      <c r="A20" t="s">
        <v>111</v>
      </c>
      <c r="B20" t="s">
        <v>112</v>
      </c>
      <c r="C20" t="s">
        <v>76</v>
      </c>
    </row>
    <row r="21" spans="1:3" x14ac:dyDescent="0.45">
      <c r="A21" t="s">
        <v>113</v>
      </c>
      <c r="B21" t="s">
        <v>114</v>
      </c>
      <c r="C21" t="s">
        <v>75</v>
      </c>
    </row>
    <row r="22" spans="1:3" x14ac:dyDescent="0.45">
      <c r="A22" t="s">
        <v>115</v>
      </c>
      <c r="B22" t="s">
        <v>116</v>
      </c>
      <c r="C22" t="s">
        <v>75</v>
      </c>
    </row>
    <row r="23" spans="1:3" x14ac:dyDescent="0.45">
      <c r="A23" t="s">
        <v>117</v>
      </c>
      <c r="B23" t="s">
        <v>118</v>
      </c>
      <c r="C23" t="s">
        <v>75</v>
      </c>
    </row>
    <row r="24" spans="1:3" x14ac:dyDescent="0.45">
      <c r="A24" t="s">
        <v>119</v>
      </c>
      <c r="B24" t="s">
        <v>120</v>
      </c>
      <c r="C24" t="s">
        <v>75</v>
      </c>
    </row>
    <row r="25" spans="1:3" x14ac:dyDescent="0.45">
      <c r="A25" t="s">
        <v>121</v>
      </c>
      <c r="B25" t="s">
        <v>122</v>
      </c>
      <c r="C25" t="s">
        <v>75</v>
      </c>
    </row>
    <row r="26" spans="1:3" x14ac:dyDescent="0.45">
      <c r="A26" t="s">
        <v>123</v>
      </c>
      <c r="B26" t="s">
        <v>124</v>
      </c>
      <c r="C26" t="s">
        <v>75</v>
      </c>
    </row>
    <row r="27" spans="1:3" x14ac:dyDescent="0.45">
      <c r="A27" t="s">
        <v>125</v>
      </c>
      <c r="B27" t="s">
        <v>126</v>
      </c>
      <c r="C27" t="s">
        <v>75</v>
      </c>
    </row>
    <row r="28" spans="1:3" x14ac:dyDescent="0.45">
      <c r="A28" t="s">
        <v>127</v>
      </c>
      <c r="B28" t="s">
        <v>128</v>
      </c>
      <c r="C28" t="s">
        <v>75</v>
      </c>
    </row>
    <row r="29" spans="1:3" x14ac:dyDescent="0.45">
      <c r="A29" t="s">
        <v>129</v>
      </c>
      <c r="B29" t="s">
        <v>130</v>
      </c>
      <c r="C29" t="s">
        <v>76</v>
      </c>
    </row>
    <row r="30" spans="1:3" x14ac:dyDescent="0.45">
      <c r="A30" t="s">
        <v>131</v>
      </c>
      <c r="B30" t="s">
        <v>132</v>
      </c>
      <c r="C30" t="s">
        <v>76</v>
      </c>
    </row>
    <row r="31" spans="1:3" x14ac:dyDescent="0.45">
      <c r="A31" t="s">
        <v>133</v>
      </c>
      <c r="B31" t="s">
        <v>134</v>
      </c>
      <c r="C31" t="s">
        <v>75</v>
      </c>
    </row>
    <row r="32" spans="1:3" x14ac:dyDescent="0.45">
      <c r="A32" t="s">
        <v>135</v>
      </c>
      <c r="B32" t="s">
        <v>136</v>
      </c>
      <c r="C32" t="s">
        <v>75</v>
      </c>
    </row>
    <row r="33" spans="1:3" x14ac:dyDescent="0.45">
      <c r="A33" t="s">
        <v>137</v>
      </c>
      <c r="B33" t="s">
        <v>138</v>
      </c>
      <c r="C33" t="s">
        <v>76</v>
      </c>
    </row>
    <row r="34" spans="1:3" x14ac:dyDescent="0.45">
      <c r="A34" t="s">
        <v>139</v>
      </c>
      <c r="B34" t="s">
        <v>140</v>
      </c>
      <c r="C34" t="s">
        <v>75</v>
      </c>
    </row>
    <row r="35" spans="1:3" x14ac:dyDescent="0.45">
      <c r="A35" t="s">
        <v>141</v>
      </c>
      <c r="B35" t="s">
        <v>142</v>
      </c>
      <c r="C35" t="s">
        <v>75</v>
      </c>
    </row>
    <row r="36" spans="1:3" x14ac:dyDescent="0.45">
      <c r="A36" t="s">
        <v>143</v>
      </c>
      <c r="B36" t="s">
        <v>144</v>
      </c>
      <c r="C36" t="s">
        <v>75</v>
      </c>
    </row>
    <row r="37" spans="1:3" x14ac:dyDescent="0.45">
      <c r="A37" t="s">
        <v>145</v>
      </c>
      <c r="B37" t="s">
        <v>146</v>
      </c>
      <c r="C37" t="s">
        <v>76</v>
      </c>
    </row>
    <row r="38" spans="1:3" x14ac:dyDescent="0.45">
      <c r="A38" t="s">
        <v>147</v>
      </c>
      <c r="B38" t="s">
        <v>148</v>
      </c>
      <c r="C38" t="s">
        <v>76</v>
      </c>
    </row>
    <row r="39" spans="1:3" x14ac:dyDescent="0.45">
      <c r="A39" t="s">
        <v>149</v>
      </c>
      <c r="B39" t="s">
        <v>150</v>
      </c>
      <c r="C39" t="s">
        <v>75</v>
      </c>
    </row>
    <row r="40" spans="1:3" x14ac:dyDescent="0.45">
      <c r="A40" t="s">
        <v>151</v>
      </c>
      <c r="B40" t="s">
        <v>152</v>
      </c>
      <c r="C40" t="s">
        <v>75</v>
      </c>
    </row>
    <row r="41" spans="1:3" x14ac:dyDescent="0.45">
      <c r="A41" t="s">
        <v>153</v>
      </c>
      <c r="B41" t="s">
        <v>154</v>
      </c>
      <c r="C41" t="s">
        <v>75</v>
      </c>
    </row>
    <row r="42" spans="1:3" x14ac:dyDescent="0.45">
      <c r="A42" t="s">
        <v>155</v>
      </c>
      <c r="B42" t="s">
        <v>156</v>
      </c>
      <c r="C42" t="s">
        <v>75</v>
      </c>
    </row>
    <row r="43" spans="1:3" x14ac:dyDescent="0.45">
      <c r="A43" t="s">
        <v>157</v>
      </c>
      <c r="B43" t="s">
        <v>158</v>
      </c>
      <c r="C43" t="s">
        <v>75</v>
      </c>
    </row>
    <row r="44" spans="1:3" x14ac:dyDescent="0.45">
      <c r="A44" t="s">
        <v>159</v>
      </c>
      <c r="B44" t="s">
        <v>160</v>
      </c>
      <c r="C44" t="s">
        <v>76</v>
      </c>
    </row>
    <row r="45" spans="1:3" x14ac:dyDescent="0.45">
      <c r="A45" t="s">
        <v>161</v>
      </c>
      <c r="B45" t="s">
        <v>162</v>
      </c>
      <c r="C45" t="s">
        <v>76</v>
      </c>
    </row>
    <row r="46" spans="1:3" x14ac:dyDescent="0.45">
      <c r="A46" t="s">
        <v>82</v>
      </c>
      <c r="B46" t="s">
        <v>163</v>
      </c>
      <c r="C46" t="s">
        <v>82</v>
      </c>
    </row>
    <row r="47" spans="1:3" x14ac:dyDescent="0.45">
      <c r="A47" t="s">
        <v>164</v>
      </c>
      <c r="B47" t="s">
        <v>165</v>
      </c>
      <c r="C47" t="s">
        <v>75</v>
      </c>
    </row>
    <row r="48" spans="1:3" x14ac:dyDescent="0.45">
      <c r="A48" t="s">
        <v>166</v>
      </c>
      <c r="B48" t="s">
        <v>167</v>
      </c>
      <c r="C48" t="s">
        <v>75</v>
      </c>
    </row>
    <row r="49" spans="1:5" x14ac:dyDescent="0.45">
      <c r="A49" t="s">
        <v>168</v>
      </c>
      <c r="B49" t="s">
        <v>169</v>
      </c>
      <c r="C49" t="s">
        <v>75</v>
      </c>
    </row>
    <row r="51" spans="1:5" x14ac:dyDescent="0.45">
      <c r="A51" s="3" t="s">
        <v>170</v>
      </c>
    </row>
    <row r="52" spans="1:5" x14ac:dyDescent="0.45">
      <c r="A52" s="3" t="s">
        <v>171</v>
      </c>
      <c r="B52" s="3" t="s">
        <v>172</v>
      </c>
      <c r="D52" s="3" t="s">
        <v>173</v>
      </c>
      <c r="E52" t="s">
        <v>174</v>
      </c>
    </row>
    <row r="53" spans="1:5" x14ac:dyDescent="0.45">
      <c r="A53">
        <v>2018</v>
      </c>
      <c r="B53" s="6">
        <v>0.9143273584567535</v>
      </c>
      <c r="D53" s="6">
        <v>0.90717999999999999</v>
      </c>
    </row>
    <row r="54" spans="1:5" x14ac:dyDescent="0.45">
      <c r="A54">
        <v>2019</v>
      </c>
      <c r="B54" s="6">
        <v>0.89805481563188172</v>
      </c>
    </row>
    <row r="55" spans="1:5" x14ac:dyDescent="0.45">
      <c r="A55">
        <v>2020</v>
      </c>
      <c r="B55" s="6">
        <v>0.88711067149387013</v>
      </c>
    </row>
    <row r="56" spans="1:5" x14ac:dyDescent="0.45">
      <c r="A56">
        <v>2021</v>
      </c>
      <c r="B56" s="6">
        <v>0.84730412960844359</v>
      </c>
    </row>
    <row r="57" spans="1:5" x14ac:dyDescent="0.45">
      <c r="A57">
        <v>2022</v>
      </c>
      <c r="B57" s="6">
        <v>0.78452102304761584</v>
      </c>
    </row>
    <row r="58" spans="1:5" x14ac:dyDescent="0.45">
      <c r="A58">
        <v>2023</v>
      </c>
      <c r="B58" s="6">
        <v>0.75350342301658668</v>
      </c>
    </row>
    <row r="59" spans="1:5" x14ac:dyDescent="0.45">
      <c r="A59">
        <v>2024</v>
      </c>
      <c r="B59" s="6">
        <v>0.73189034108999995</v>
      </c>
    </row>
    <row r="60" spans="1:5" x14ac:dyDescent="0.45">
      <c r="A60">
        <v>2025</v>
      </c>
      <c r="B60" s="6">
        <v>0.71302484472000005</v>
      </c>
    </row>
    <row r="61" spans="1:5" x14ac:dyDescent="0.45">
      <c r="A61">
        <v>2026</v>
      </c>
      <c r="B61" s="6">
        <v>0.68510367835099995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84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8" customWidth="1"/>
    <col min="2" max="3" width="12" customWidth="1"/>
    <col min="4" max="4" width="16" customWidth="1"/>
    <col min="5" max="5" width="12" customWidth="1"/>
    <col min="6" max="7" width="14" customWidth="1"/>
    <col min="8" max="8" width="16" customWidth="1"/>
  </cols>
  <sheetData>
    <row r="1" spans="1:8" x14ac:dyDescent="0.45">
      <c r="A1" s="5" t="s">
        <v>175</v>
      </c>
      <c r="B1" s="5" t="s">
        <v>176</v>
      </c>
      <c r="C1" s="5" t="s">
        <v>177</v>
      </c>
      <c r="D1" s="5" t="s">
        <v>178</v>
      </c>
      <c r="E1" s="5" t="s">
        <v>179</v>
      </c>
      <c r="F1" s="5" t="s">
        <v>180</v>
      </c>
      <c r="G1" s="5" t="s">
        <v>181</v>
      </c>
      <c r="H1" s="5" t="s">
        <v>182</v>
      </c>
    </row>
    <row r="2" spans="1:8" x14ac:dyDescent="0.45">
      <c r="A2">
        <v>2024</v>
      </c>
      <c r="B2" t="s">
        <v>183</v>
      </c>
      <c r="C2" s="7">
        <v>45448</v>
      </c>
      <c r="D2">
        <v>16053188</v>
      </c>
      <c r="E2">
        <v>0</v>
      </c>
      <c r="F2">
        <v>16053188</v>
      </c>
      <c r="G2">
        <v>21.03</v>
      </c>
      <c r="H2">
        <v>337598543.63999999</v>
      </c>
    </row>
    <row r="3" spans="1:8" x14ac:dyDescent="0.45">
      <c r="A3">
        <v>2024</v>
      </c>
      <c r="B3" t="s">
        <v>184</v>
      </c>
      <c r="C3" s="7">
        <v>45364</v>
      </c>
      <c r="D3">
        <v>15855879</v>
      </c>
      <c r="E3">
        <v>8416278</v>
      </c>
      <c r="F3">
        <v>24272157</v>
      </c>
      <c r="G3">
        <v>16</v>
      </c>
      <c r="H3">
        <v>388354512</v>
      </c>
    </row>
    <row r="4" spans="1:8" x14ac:dyDescent="0.45">
      <c r="A4">
        <v>2023</v>
      </c>
      <c r="B4" t="s">
        <v>185</v>
      </c>
      <c r="C4" s="7">
        <v>45266</v>
      </c>
      <c r="D4">
        <v>22090709</v>
      </c>
      <c r="E4">
        <v>5565291</v>
      </c>
      <c r="F4">
        <v>27656000</v>
      </c>
      <c r="G4">
        <v>14.88</v>
      </c>
      <c r="H4">
        <v>411521280</v>
      </c>
    </row>
    <row r="5" spans="1:8" x14ac:dyDescent="0.45">
      <c r="A5">
        <v>2023</v>
      </c>
      <c r="B5" t="s">
        <v>186</v>
      </c>
      <c r="C5" s="7">
        <v>45175</v>
      </c>
      <c r="D5">
        <v>21948358</v>
      </c>
      <c r="E5">
        <v>0</v>
      </c>
      <c r="F5">
        <v>21948358</v>
      </c>
      <c r="G5">
        <v>13.85</v>
      </c>
      <c r="H5">
        <v>303984758.30000001</v>
      </c>
    </row>
    <row r="6" spans="1:8" x14ac:dyDescent="0.45">
      <c r="A6">
        <v>2023</v>
      </c>
      <c r="B6" t="s">
        <v>187</v>
      </c>
      <c r="C6" s="7">
        <v>45084</v>
      </c>
      <c r="D6">
        <v>22026639</v>
      </c>
      <c r="E6">
        <v>0</v>
      </c>
      <c r="F6">
        <v>22026639</v>
      </c>
      <c r="G6">
        <v>12.73</v>
      </c>
      <c r="H6">
        <v>280399114.47000003</v>
      </c>
    </row>
    <row r="7" spans="1:8" x14ac:dyDescent="0.45">
      <c r="A7">
        <v>2023</v>
      </c>
      <c r="B7" t="s">
        <v>188</v>
      </c>
      <c r="C7" s="7">
        <v>44993</v>
      </c>
      <c r="D7">
        <v>21522877</v>
      </c>
      <c r="E7">
        <v>0</v>
      </c>
      <c r="F7">
        <v>21522877</v>
      </c>
      <c r="G7">
        <v>12.5</v>
      </c>
      <c r="H7">
        <v>269035962.5</v>
      </c>
    </row>
    <row r="8" spans="1:8" x14ac:dyDescent="0.45">
      <c r="A8">
        <v>2022</v>
      </c>
      <c r="B8" t="s">
        <v>189</v>
      </c>
      <c r="C8" s="7">
        <v>44902</v>
      </c>
      <c r="D8">
        <v>22233203</v>
      </c>
      <c r="E8">
        <v>0</v>
      </c>
      <c r="F8">
        <v>22233203</v>
      </c>
      <c r="G8">
        <v>12.99</v>
      </c>
      <c r="H8">
        <v>288809306.97000003</v>
      </c>
    </row>
    <row r="9" spans="1:8" x14ac:dyDescent="0.45">
      <c r="A9">
        <v>2022</v>
      </c>
      <c r="B9" t="s">
        <v>190</v>
      </c>
      <c r="C9" s="7">
        <v>44811</v>
      </c>
      <c r="D9">
        <v>22404023</v>
      </c>
      <c r="E9">
        <v>0</v>
      </c>
      <c r="F9">
        <v>22404023</v>
      </c>
      <c r="G9">
        <v>13.45</v>
      </c>
      <c r="H9">
        <v>301334109.35000002</v>
      </c>
    </row>
    <row r="10" spans="1:8" x14ac:dyDescent="0.45">
      <c r="A10">
        <v>2022</v>
      </c>
      <c r="B10" t="s">
        <v>191</v>
      </c>
      <c r="C10" s="7">
        <v>44713</v>
      </c>
      <c r="D10">
        <v>22280473</v>
      </c>
      <c r="E10">
        <v>0</v>
      </c>
      <c r="F10">
        <v>22280473</v>
      </c>
      <c r="G10">
        <v>13.9</v>
      </c>
      <c r="H10">
        <v>309698574.69999999</v>
      </c>
    </row>
    <row r="11" spans="1:8" x14ac:dyDescent="0.45">
      <c r="A11">
        <v>2022</v>
      </c>
      <c r="B11" t="s">
        <v>192</v>
      </c>
      <c r="C11" s="7">
        <v>44629</v>
      </c>
      <c r="D11">
        <v>21761269</v>
      </c>
      <c r="E11">
        <v>0</v>
      </c>
      <c r="F11">
        <v>21761269</v>
      </c>
      <c r="G11">
        <v>13.5</v>
      </c>
      <c r="H11">
        <v>293777131.5</v>
      </c>
    </row>
    <row r="12" spans="1:8" x14ac:dyDescent="0.45">
      <c r="A12">
        <v>2021</v>
      </c>
      <c r="B12" t="s">
        <v>193</v>
      </c>
      <c r="C12" s="7">
        <v>44531</v>
      </c>
      <c r="D12">
        <v>23121518</v>
      </c>
      <c r="E12">
        <v>3919482</v>
      </c>
      <c r="F12">
        <v>27041000</v>
      </c>
      <c r="G12">
        <v>13</v>
      </c>
      <c r="H12">
        <v>351533000</v>
      </c>
    </row>
    <row r="13" spans="1:8" x14ac:dyDescent="0.45">
      <c r="A13">
        <v>2021</v>
      </c>
      <c r="B13" t="s">
        <v>194</v>
      </c>
      <c r="C13" s="7">
        <v>44447</v>
      </c>
      <c r="D13">
        <v>22911423</v>
      </c>
      <c r="E13">
        <v>0</v>
      </c>
      <c r="F13">
        <v>22911423</v>
      </c>
      <c r="G13">
        <v>9.3000000000000007</v>
      </c>
      <c r="H13">
        <v>213076233.90000001</v>
      </c>
    </row>
    <row r="14" spans="1:8" x14ac:dyDescent="0.45">
      <c r="A14">
        <v>2021</v>
      </c>
      <c r="B14" t="s">
        <v>195</v>
      </c>
      <c r="C14" s="7">
        <v>44349</v>
      </c>
      <c r="D14">
        <v>22987719</v>
      </c>
      <c r="E14">
        <v>0</v>
      </c>
      <c r="F14">
        <v>22987719</v>
      </c>
      <c r="G14">
        <v>7.97</v>
      </c>
      <c r="H14">
        <v>183212120.43000001</v>
      </c>
    </row>
    <row r="15" spans="1:8" x14ac:dyDescent="0.45">
      <c r="A15">
        <v>2021</v>
      </c>
      <c r="B15" t="s">
        <v>196</v>
      </c>
      <c r="C15" s="7">
        <v>44258</v>
      </c>
      <c r="D15">
        <v>23467261</v>
      </c>
      <c r="E15">
        <v>0</v>
      </c>
      <c r="F15">
        <v>23467261</v>
      </c>
      <c r="G15">
        <v>7.6</v>
      </c>
      <c r="H15">
        <v>178351183.59999999</v>
      </c>
    </row>
    <row r="16" spans="1:8" x14ac:dyDescent="0.45">
      <c r="A16">
        <v>2020</v>
      </c>
      <c r="B16" t="s">
        <v>197</v>
      </c>
      <c r="C16" s="7">
        <v>44167</v>
      </c>
      <c r="D16">
        <v>16237495</v>
      </c>
      <c r="E16">
        <v>0</v>
      </c>
      <c r="F16">
        <v>16237495</v>
      </c>
      <c r="G16">
        <v>7.41</v>
      </c>
      <c r="H16">
        <v>120319837.95</v>
      </c>
    </row>
    <row r="17" spans="1:8" x14ac:dyDescent="0.45">
      <c r="A17">
        <v>2020</v>
      </c>
      <c r="B17" t="s">
        <v>198</v>
      </c>
      <c r="C17" s="7">
        <v>44076</v>
      </c>
      <c r="D17">
        <v>16192785</v>
      </c>
      <c r="E17">
        <v>0</v>
      </c>
      <c r="F17">
        <v>16192785</v>
      </c>
      <c r="G17">
        <v>6.82</v>
      </c>
      <c r="H17">
        <v>110434793.7</v>
      </c>
    </row>
    <row r="18" spans="1:8" x14ac:dyDescent="0.45">
      <c r="A18">
        <v>2020</v>
      </c>
      <c r="B18" t="s">
        <v>199</v>
      </c>
      <c r="C18" s="7">
        <v>43985</v>
      </c>
      <c r="D18">
        <v>16336298</v>
      </c>
      <c r="E18">
        <v>0</v>
      </c>
      <c r="F18">
        <v>16336298</v>
      </c>
      <c r="G18">
        <v>5.75</v>
      </c>
      <c r="H18">
        <v>93933713.5</v>
      </c>
    </row>
    <row r="19" spans="1:8" x14ac:dyDescent="0.45">
      <c r="A19">
        <v>2020</v>
      </c>
      <c r="B19" t="s">
        <v>200</v>
      </c>
      <c r="C19" s="7">
        <v>43901</v>
      </c>
      <c r="D19">
        <v>16208347</v>
      </c>
      <c r="E19">
        <v>0</v>
      </c>
      <c r="F19">
        <v>16208347</v>
      </c>
      <c r="G19">
        <v>5.65</v>
      </c>
      <c r="H19">
        <v>91577160.549999997</v>
      </c>
    </row>
    <row r="20" spans="1:8" x14ac:dyDescent="0.45">
      <c r="A20">
        <v>2019</v>
      </c>
      <c r="B20" t="s">
        <v>201</v>
      </c>
      <c r="C20" s="7">
        <v>43803</v>
      </c>
      <c r="D20">
        <v>13116444</v>
      </c>
      <c r="E20">
        <v>0</v>
      </c>
      <c r="F20">
        <v>13116444</v>
      </c>
      <c r="G20">
        <v>5.61</v>
      </c>
      <c r="H20">
        <v>73583250.840000004</v>
      </c>
    </row>
    <row r="21" spans="1:8" x14ac:dyDescent="0.45">
      <c r="A21">
        <v>2019</v>
      </c>
      <c r="B21" t="s">
        <v>202</v>
      </c>
      <c r="C21" s="7">
        <v>43712</v>
      </c>
      <c r="D21">
        <v>13116447</v>
      </c>
      <c r="E21">
        <v>0</v>
      </c>
      <c r="F21">
        <v>13116447</v>
      </c>
      <c r="G21">
        <v>5.2</v>
      </c>
      <c r="H21">
        <v>68205524.400000006</v>
      </c>
    </row>
    <row r="22" spans="1:8" x14ac:dyDescent="0.45">
      <c r="A22">
        <v>2019</v>
      </c>
      <c r="B22" t="s">
        <v>203</v>
      </c>
      <c r="C22" s="7">
        <v>43621</v>
      </c>
      <c r="D22">
        <v>13221453</v>
      </c>
      <c r="E22">
        <v>0</v>
      </c>
      <c r="F22">
        <v>13221453</v>
      </c>
      <c r="G22">
        <v>5.62</v>
      </c>
      <c r="H22">
        <v>74304565.859999999</v>
      </c>
    </row>
    <row r="23" spans="1:8" x14ac:dyDescent="0.45">
      <c r="A23">
        <v>2019</v>
      </c>
      <c r="B23" t="s">
        <v>204</v>
      </c>
      <c r="C23" s="7">
        <v>43537</v>
      </c>
      <c r="D23">
        <v>12883436</v>
      </c>
      <c r="E23">
        <v>0</v>
      </c>
      <c r="F23">
        <v>12883436</v>
      </c>
      <c r="G23">
        <v>5.27</v>
      </c>
      <c r="H23">
        <v>67895707.719999999</v>
      </c>
    </row>
    <row r="24" spans="1:8" x14ac:dyDescent="0.45">
      <c r="A24">
        <v>2018</v>
      </c>
      <c r="B24" t="s">
        <v>205</v>
      </c>
      <c r="C24" s="7">
        <v>43439</v>
      </c>
      <c r="D24">
        <v>13360649</v>
      </c>
      <c r="E24">
        <v>0</v>
      </c>
      <c r="F24">
        <v>13360649</v>
      </c>
      <c r="G24">
        <v>5.35</v>
      </c>
      <c r="H24">
        <v>71479472.150000006</v>
      </c>
    </row>
    <row r="25" spans="1:8" x14ac:dyDescent="0.45">
      <c r="A25">
        <v>2018</v>
      </c>
      <c r="B25" t="s">
        <v>206</v>
      </c>
      <c r="C25" s="7">
        <v>43348</v>
      </c>
      <c r="D25">
        <v>13590107</v>
      </c>
      <c r="E25">
        <v>0</v>
      </c>
      <c r="F25">
        <v>13590107</v>
      </c>
      <c r="G25">
        <v>4.5</v>
      </c>
      <c r="H25">
        <v>61155481.5</v>
      </c>
    </row>
    <row r="26" spans="1:8" x14ac:dyDescent="0.45">
      <c r="A26">
        <v>2018</v>
      </c>
      <c r="B26" t="s">
        <v>207</v>
      </c>
      <c r="C26" s="7">
        <v>43264</v>
      </c>
      <c r="D26">
        <v>13771025</v>
      </c>
      <c r="E26">
        <v>0</v>
      </c>
      <c r="F26">
        <v>13771025</v>
      </c>
      <c r="G26">
        <v>4.0199999999999996</v>
      </c>
      <c r="H26">
        <v>55359520.5</v>
      </c>
    </row>
    <row r="27" spans="1:8" x14ac:dyDescent="0.45">
      <c r="A27">
        <v>2018</v>
      </c>
      <c r="B27" t="s">
        <v>208</v>
      </c>
      <c r="C27" s="7">
        <v>43173</v>
      </c>
      <c r="D27">
        <v>13553767</v>
      </c>
      <c r="E27">
        <v>0</v>
      </c>
      <c r="F27">
        <v>13553767</v>
      </c>
      <c r="G27">
        <v>3.79</v>
      </c>
      <c r="H27">
        <v>51368776.93</v>
      </c>
    </row>
    <row r="28" spans="1:8" x14ac:dyDescent="0.45">
      <c r="B28" t="s">
        <v>209</v>
      </c>
      <c r="C28" s="7">
        <v>43075</v>
      </c>
      <c r="D28">
        <v>14687989</v>
      </c>
      <c r="E28">
        <v>0</v>
      </c>
      <c r="F28">
        <v>14687989</v>
      </c>
      <c r="G28">
        <v>3.8</v>
      </c>
      <c r="H28">
        <v>55814358.200000003</v>
      </c>
    </row>
    <row r="29" spans="1:8" x14ac:dyDescent="0.45">
      <c r="B29" t="s">
        <v>210</v>
      </c>
      <c r="C29" s="7">
        <v>42984</v>
      </c>
      <c r="D29">
        <v>14371585</v>
      </c>
      <c r="E29">
        <v>0</v>
      </c>
      <c r="F29">
        <v>14371585</v>
      </c>
      <c r="G29">
        <v>4.3499999999999996</v>
      </c>
      <c r="H29">
        <v>62516394.75</v>
      </c>
    </row>
    <row r="30" spans="1:8" x14ac:dyDescent="0.45">
      <c r="B30" t="s">
        <v>211</v>
      </c>
      <c r="C30" s="7">
        <v>42893</v>
      </c>
      <c r="D30">
        <v>14597470</v>
      </c>
      <c r="E30">
        <v>0</v>
      </c>
      <c r="F30">
        <v>14597470</v>
      </c>
      <c r="G30">
        <v>2.5299999999999998</v>
      </c>
      <c r="H30">
        <v>36931599.100000001</v>
      </c>
    </row>
    <row r="31" spans="1:8" x14ac:dyDescent="0.45">
      <c r="B31" t="s">
        <v>212</v>
      </c>
      <c r="C31" s="7">
        <v>42802</v>
      </c>
      <c r="D31">
        <v>14371300</v>
      </c>
      <c r="E31">
        <v>0</v>
      </c>
      <c r="F31">
        <v>14371300</v>
      </c>
      <c r="G31">
        <v>3</v>
      </c>
      <c r="H31">
        <v>43113900</v>
      </c>
    </row>
    <row r="32" spans="1:8" x14ac:dyDescent="0.45">
      <c r="B32" t="s">
        <v>213</v>
      </c>
      <c r="C32" s="7">
        <v>42711</v>
      </c>
      <c r="D32">
        <v>14791315</v>
      </c>
      <c r="E32">
        <v>0</v>
      </c>
      <c r="F32">
        <v>14791315</v>
      </c>
      <c r="G32">
        <v>3.55</v>
      </c>
      <c r="H32">
        <v>52509168.25</v>
      </c>
    </row>
    <row r="33" spans="2:8" x14ac:dyDescent="0.45">
      <c r="B33" t="s">
        <v>214</v>
      </c>
      <c r="C33" s="7">
        <v>42620</v>
      </c>
      <c r="D33">
        <v>14911315</v>
      </c>
      <c r="E33">
        <v>0</v>
      </c>
      <c r="F33">
        <v>14911315</v>
      </c>
      <c r="G33">
        <v>4.54</v>
      </c>
      <c r="H33">
        <v>67697370.099999994</v>
      </c>
    </row>
    <row r="34" spans="2:8" x14ac:dyDescent="0.45">
      <c r="B34" t="s">
        <v>215</v>
      </c>
      <c r="C34" s="7">
        <v>42522</v>
      </c>
      <c r="D34">
        <v>15089652</v>
      </c>
      <c r="E34">
        <v>0</v>
      </c>
      <c r="F34">
        <v>15089652</v>
      </c>
      <c r="G34">
        <v>4.53</v>
      </c>
      <c r="H34">
        <v>68356123.560000002</v>
      </c>
    </row>
    <row r="35" spans="2:8" x14ac:dyDescent="0.45">
      <c r="B35" t="s">
        <v>216</v>
      </c>
      <c r="C35" s="7">
        <v>42438</v>
      </c>
      <c r="D35">
        <v>14838732</v>
      </c>
      <c r="E35">
        <v>0</v>
      </c>
      <c r="F35">
        <v>14838732</v>
      </c>
      <c r="G35">
        <v>5.25</v>
      </c>
      <c r="H35">
        <v>77903343</v>
      </c>
    </row>
    <row r="36" spans="2:8" x14ac:dyDescent="0.45">
      <c r="B36" t="s">
        <v>217</v>
      </c>
      <c r="C36" s="7">
        <v>42340</v>
      </c>
      <c r="D36">
        <v>15374274</v>
      </c>
      <c r="E36">
        <v>0</v>
      </c>
      <c r="F36">
        <v>15374274</v>
      </c>
      <c r="G36">
        <v>7.5</v>
      </c>
      <c r="H36">
        <v>115307055</v>
      </c>
    </row>
    <row r="37" spans="2:8" x14ac:dyDescent="0.45">
      <c r="B37" t="s">
        <v>218</v>
      </c>
      <c r="C37" s="7">
        <v>42256</v>
      </c>
      <c r="D37">
        <v>15374294</v>
      </c>
      <c r="E37">
        <v>10000000</v>
      </c>
      <c r="F37">
        <v>25374294</v>
      </c>
      <c r="G37">
        <v>6.02</v>
      </c>
      <c r="H37">
        <v>152753249.88</v>
      </c>
    </row>
    <row r="38" spans="2:8" x14ac:dyDescent="0.45">
      <c r="B38" t="s">
        <v>219</v>
      </c>
      <c r="C38" s="7">
        <v>42158</v>
      </c>
      <c r="D38">
        <v>15507571</v>
      </c>
      <c r="E38">
        <v>0</v>
      </c>
      <c r="F38">
        <v>15507571</v>
      </c>
      <c r="G38">
        <v>5.5</v>
      </c>
      <c r="H38">
        <v>85291640.5</v>
      </c>
    </row>
    <row r="39" spans="2:8" x14ac:dyDescent="0.45">
      <c r="B39" t="s">
        <v>220</v>
      </c>
      <c r="C39" s="7">
        <v>42074</v>
      </c>
      <c r="D39">
        <v>15272670</v>
      </c>
      <c r="E39">
        <v>0</v>
      </c>
      <c r="F39">
        <v>15272670</v>
      </c>
      <c r="G39">
        <v>5.41</v>
      </c>
      <c r="H39">
        <v>82625144.700000003</v>
      </c>
    </row>
    <row r="40" spans="2:8" x14ac:dyDescent="0.45">
      <c r="B40" t="s">
        <v>221</v>
      </c>
      <c r="C40" s="7">
        <v>41976</v>
      </c>
      <c r="D40">
        <v>18198685</v>
      </c>
      <c r="E40">
        <v>0</v>
      </c>
      <c r="F40">
        <v>18198685</v>
      </c>
      <c r="G40">
        <v>5.21</v>
      </c>
      <c r="H40">
        <v>94815148.849999994</v>
      </c>
    </row>
    <row r="41" spans="2:8" x14ac:dyDescent="0.45">
      <c r="B41" t="s">
        <v>222</v>
      </c>
      <c r="C41" s="7">
        <v>41885</v>
      </c>
      <c r="D41">
        <v>17998687</v>
      </c>
      <c r="E41">
        <v>0</v>
      </c>
      <c r="F41">
        <v>17998687</v>
      </c>
      <c r="G41">
        <v>4.88</v>
      </c>
      <c r="H41">
        <v>87833592.560000002</v>
      </c>
    </row>
    <row r="42" spans="2:8" x14ac:dyDescent="0.45">
      <c r="B42" t="s">
        <v>223</v>
      </c>
      <c r="C42" s="7">
        <v>41794</v>
      </c>
      <c r="D42">
        <v>18062384</v>
      </c>
      <c r="E42">
        <v>0</v>
      </c>
      <c r="F42">
        <v>18062384</v>
      </c>
      <c r="G42">
        <v>5.0199999999999996</v>
      </c>
      <c r="H42">
        <v>90673167.680000007</v>
      </c>
    </row>
    <row r="43" spans="2:8" x14ac:dyDescent="0.45">
      <c r="B43" t="s">
        <v>224</v>
      </c>
      <c r="C43" s="7">
        <v>41703</v>
      </c>
      <c r="D43">
        <v>18491350</v>
      </c>
      <c r="E43">
        <v>5000000</v>
      </c>
      <c r="F43">
        <v>23491350</v>
      </c>
      <c r="G43">
        <v>4</v>
      </c>
      <c r="H43">
        <v>93965400</v>
      </c>
    </row>
    <row r="44" spans="2:8" x14ac:dyDescent="0.45">
      <c r="B44" t="s">
        <v>225</v>
      </c>
      <c r="C44" s="7">
        <v>41612</v>
      </c>
      <c r="D44">
        <v>38329378</v>
      </c>
      <c r="E44" t="s">
        <v>226</v>
      </c>
      <c r="F44">
        <v>38329378</v>
      </c>
      <c r="G44">
        <v>3</v>
      </c>
      <c r="H44">
        <v>114988134</v>
      </c>
    </row>
    <row r="45" spans="2:8" x14ac:dyDescent="0.45">
      <c r="B45" t="s">
        <v>227</v>
      </c>
      <c r="C45" s="7">
        <v>41521</v>
      </c>
      <c r="D45">
        <v>38409043</v>
      </c>
      <c r="E45" t="s">
        <v>226</v>
      </c>
      <c r="F45">
        <v>38409043</v>
      </c>
      <c r="G45">
        <v>2.67</v>
      </c>
      <c r="H45">
        <v>102552144.81</v>
      </c>
    </row>
    <row r="46" spans="2:8" x14ac:dyDescent="0.45">
      <c r="B46" t="s">
        <v>228</v>
      </c>
      <c r="C46" s="7">
        <v>41430</v>
      </c>
      <c r="D46">
        <v>38782076</v>
      </c>
      <c r="E46" t="s">
        <v>226</v>
      </c>
      <c r="F46">
        <v>38782076</v>
      </c>
      <c r="G46">
        <v>3.21</v>
      </c>
      <c r="H46">
        <v>124490463.95999999</v>
      </c>
    </row>
    <row r="47" spans="2:8" x14ac:dyDescent="0.45">
      <c r="B47" t="s">
        <v>229</v>
      </c>
      <c r="C47" s="7">
        <v>41346</v>
      </c>
      <c r="D47">
        <v>37835405</v>
      </c>
      <c r="E47" t="s">
        <v>226</v>
      </c>
      <c r="F47">
        <v>37835405</v>
      </c>
      <c r="G47">
        <v>2.8</v>
      </c>
      <c r="H47">
        <v>105939134</v>
      </c>
    </row>
    <row r="48" spans="2:8" x14ac:dyDescent="0.45">
      <c r="B48" t="s">
        <v>230</v>
      </c>
      <c r="C48" s="7">
        <v>41248</v>
      </c>
      <c r="D48">
        <v>37563083</v>
      </c>
      <c r="E48" t="s">
        <v>226</v>
      </c>
      <c r="F48">
        <v>19774000</v>
      </c>
      <c r="G48">
        <v>1.93</v>
      </c>
      <c r="H48">
        <v>38163820</v>
      </c>
    </row>
    <row r="49" spans="2:8" x14ac:dyDescent="0.45">
      <c r="B49" t="s">
        <v>231</v>
      </c>
      <c r="C49" s="7">
        <v>41157</v>
      </c>
      <c r="D49">
        <v>37949558</v>
      </c>
      <c r="E49" t="s">
        <v>226</v>
      </c>
      <c r="F49">
        <v>24589000</v>
      </c>
      <c r="G49">
        <v>1.93</v>
      </c>
      <c r="H49">
        <v>47456770</v>
      </c>
    </row>
    <row r="50" spans="2:8" x14ac:dyDescent="0.45">
      <c r="B50" t="s">
        <v>232</v>
      </c>
      <c r="C50" s="7">
        <v>41066</v>
      </c>
      <c r="D50">
        <v>36426008</v>
      </c>
      <c r="E50" t="s">
        <v>226</v>
      </c>
      <c r="F50">
        <v>20941000</v>
      </c>
      <c r="G50">
        <v>1.93</v>
      </c>
      <c r="H50">
        <v>40416130</v>
      </c>
    </row>
    <row r="51" spans="2:8" x14ac:dyDescent="0.45">
      <c r="B51" t="s">
        <v>233</v>
      </c>
      <c r="C51" s="7">
        <v>40982</v>
      </c>
      <c r="D51">
        <v>34843858</v>
      </c>
      <c r="E51" t="s">
        <v>226</v>
      </c>
      <c r="F51">
        <v>21559000</v>
      </c>
      <c r="G51">
        <v>1.93</v>
      </c>
      <c r="H51">
        <v>41608870</v>
      </c>
    </row>
    <row r="52" spans="2:8" x14ac:dyDescent="0.45">
      <c r="B52" t="s">
        <v>234</v>
      </c>
      <c r="C52" s="7">
        <v>40884</v>
      </c>
      <c r="D52">
        <v>42983482</v>
      </c>
      <c r="E52" t="s">
        <v>226</v>
      </c>
      <c r="F52">
        <v>27293000</v>
      </c>
      <c r="G52">
        <v>1.89</v>
      </c>
      <c r="H52">
        <v>51583770</v>
      </c>
    </row>
    <row r="53" spans="2:8" x14ac:dyDescent="0.45">
      <c r="B53" t="s">
        <v>235</v>
      </c>
      <c r="C53" s="7">
        <v>40884</v>
      </c>
      <c r="D53">
        <v>1864951</v>
      </c>
      <c r="E53" t="s">
        <v>226</v>
      </c>
      <c r="F53">
        <v>0</v>
      </c>
      <c r="G53" t="s">
        <v>226</v>
      </c>
      <c r="H53" t="s">
        <v>226</v>
      </c>
    </row>
    <row r="54" spans="2:8" x14ac:dyDescent="0.45">
      <c r="B54" t="s">
        <v>236</v>
      </c>
      <c r="C54" s="7">
        <v>40793</v>
      </c>
      <c r="D54">
        <v>42189685</v>
      </c>
      <c r="E54" t="s">
        <v>226</v>
      </c>
      <c r="F54">
        <v>7487000</v>
      </c>
      <c r="G54">
        <v>1.89</v>
      </c>
      <c r="H54">
        <v>14150430</v>
      </c>
    </row>
    <row r="55" spans="2:8" x14ac:dyDescent="0.45">
      <c r="B55" t="s">
        <v>237</v>
      </c>
      <c r="C55" s="7">
        <v>40793</v>
      </c>
      <c r="D55">
        <v>1864951</v>
      </c>
      <c r="E55" t="s">
        <v>226</v>
      </c>
      <c r="F55">
        <v>0</v>
      </c>
      <c r="G55" t="s">
        <v>226</v>
      </c>
      <c r="H55" t="s">
        <v>226</v>
      </c>
    </row>
    <row r="56" spans="2:8" x14ac:dyDescent="0.45">
      <c r="B56" t="s">
        <v>238</v>
      </c>
      <c r="C56" s="7">
        <v>40702</v>
      </c>
      <c r="D56">
        <v>42034184</v>
      </c>
      <c r="E56" t="s">
        <v>226</v>
      </c>
      <c r="F56">
        <v>12537000</v>
      </c>
      <c r="G56">
        <v>1.89</v>
      </c>
      <c r="H56">
        <v>25477200</v>
      </c>
    </row>
    <row r="57" spans="2:8" x14ac:dyDescent="0.45">
      <c r="B57" t="s">
        <v>239</v>
      </c>
      <c r="C57" s="7">
        <v>40702</v>
      </c>
      <c r="D57">
        <v>1864952</v>
      </c>
      <c r="E57" t="s">
        <v>226</v>
      </c>
      <c r="F57">
        <v>943000</v>
      </c>
      <c r="G57">
        <v>1.89</v>
      </c>
      <c r="H57" t="s">
        <v>226</v>
      </c>
    </row>
    <row r="58" spans="2:8" x14ac:dyDescent="0.45">
      <c r="B58" t="s">
        <v>240</v>
      </c>
      <c r="C58" s="7">
        <v>40611</v>
      </c>
      <c r="D58">
        <v>41995813</v>
      </c>
      <c r="E58" t="s">
        <v>226</v>
      </c>
      <c r="F58">
        <v>41995813</v>
      </c>
      <c r="G58">
        <v>1.89</v>
      </c>
      <c r="H58">
        <v>83425588.469999999</v>
      </c>
    </row>
    <row r="59" spans="2:8" x14ac:dyDescent="0.45">
      <c r="B59" t="s">
        <v>241</v>
      </c>
      <c r="C59" s="7">
        <v>40611</v>
      </c>
      <c r="D59">
        <v>2144710</v>
      </c>
      <c r="E59" t="s">
        <v>226</v>
      </c>
      <c r="F59">
        <v>2144710</v>
      </c>
      <c r="G59">
        <v>1.89</v>
      </c>
      <c r="H59" t="s">
        <v>226</v>
      </c>
    </row>
    <row r="60" spans="2:8" x14ac:dyDescent="0.45">
      <c r="B60" t="s">
        <v>242</v>
      </c>
      <c r="C60" s="7">
        <v>40513</v>
      </c>
      <c r="D60">
        <v>43173648</v>
      </c>
      <c r="E60" t="s">
        <v>226</v>
      </c>
      <c r="F60">
        <v>24755000</v>
      </c>
      <c r="G60">
        <v>1.86</v>
      </c>
      <c r="H60">
        <v>48224220</v>
      </c>
    </row>
    <row r="61" spans="2:8" x14ac:dyDescent="0.45">
      <c r="B61" t="s">
        <v>243</v>
      </c>
      <c r="C61" s="7">
        <v>40513</v>
      </c>
      <c r="D61">
        <v>2137991</v>
      </c>
      <c r="E61" t="s">
        <v>226</v>
      </c>
      <c r="F61">
        <v>1172000</v>
      </c>
      <c r="G61">
        <v>1.86</v>
      </c>
      <c r="H61" t="s">
        <v>226</v>
      </c>
    </row>
    <row r="62" spans="2:8" x14ac:dyDescent="0.45">
      <c r="B62" t="s">
        <v>244</v>
      </c>
      <c r="C62" s="7">
        <v>40429</v>
      </c>
      <c r="D62">
        <v>45595968</v>
      </c>
      <c r="E62" t="s">
        <v>226</v>
      </c>
      <c r="F62">
        <v>34407000</v>
      </c>
      <c r="G62">
        <v>1.86</v>
      </c>
      <c r="H62">
        <v>66437340</v>
      </c>
    </row>
    <row r="63" spans="2:8" x14ac:dyDescent="0.45">
      <c r="B63" t="s">
        <v>245</v>
      </c>
      <c r="C63" s="7">
        <v>40429</v>
      </c>
      <c r="D63">
        <v>2137992</v>
      </c>
      <c r="E63" t="s">
        <v>226</v>
      </c>
      <c r="F63">
        <v>1312000</v>
      </c>
      <c r="G63">
        <v>1.86</v>
      </c>
      <c r="H63" t="s">
        <v>226</v>
      </c>
    </row>
    <row r="64" spans="2:8" x14ac:dyDescent="0.45">
      <c r="B64" t="s">
        <v>246</v>
      </c>
      <c r="C64" s="7">
        <v>40338</v>
      </c>
      <c r="D64">
        <v>40685585</v>
      </c>
      <c r="E64" t="s">
        <v>226</v>
      </c>
      <c r="F64">
        <v>40685585</v>
      </c>
      <c r="G64">
        <v>1.88</v>
      </c>
      <c r="H64">
        <v>80465566.780000001</v>
      </c>
    </row>
    <row r="65" spans="1:8" x14ac:dyDescent="0.45">
      <c r="B65" t="s">
        <v>247</v>
      </c>
      <c r="C65" s="7">
        <v>40338</v>
      </c>
      <c r="D65">
        <v>2137993</v>
      </c>
      <c r="E65" t="s">
        <v>226</v>
      </c>
      <c r="F65">
        <v>2137993</v>
      </c>
      <c r="G65">
        <v>1.86</v>
      </c>
      <c r="H65" t="s">
        <v>226</v>
      </c>
    </row>
    <row r="66" spans="1:8" x14ac:dyDescent="0.45">
      <c r="B66" t="s">
        <v>248</v>
      </c>
      <c r="C66" s="7">
        <v>40247</v>
      </c>
      <c r="D66">
        <v>40612408</v>
      </c>
      <c r="E66" t="s">
        <v>226</v>
      </c>
      <c r="F66">
        <v>40612408</v>
      </c>
      <c r="G66">
        <v>2.0699999999999998</v>
      </c>
      <c r="H66">
        <v>87956944.560000002</v>
      </c>
    </row>
    <row r="67" spans="1:8" x14ac:dyDescent="0.45">
      <c r="B67" t="s">
        <v>249</v>
      </c>
      <c r="C67" s="7">
        <v>40247</v>
      </c>
      <c r="D67">
        <v>2137992</v>
      </c>
      <c r="E67" t="s">
        <v>226</v>
      </c>
      <c r="F67">
        <v>2091000</v>
      </c>
      <c r="G67">
        <v>1.86</v>
      </c>
      <c r="H67" t="s">
        <v>226</v>
      </c>
    </row>
    <row r="68" spans="1:8" x14ac:dyDescent="0.45">
      <c r="B68" t="s">
        <v>250</v>
      </c>
      <c r="C68" s="7">
        <v>40149</v>
      </c>
      <c r="D68">
        <v>28591698</v>
      </c>
      <c r="E68" t="s">
        <v>226</v>
      </c>
      <c r="F68">
        <v>28591698</v>
      </c>
      <c r="G68">
        <v>2.0499999999999998</v>
      </c>
      <c r="H68">
        <v>61587120.899999999</v>
      </c>
    </row>
    <row r="69" spans="1:8" x14ac:dyDescent="0.45">
      <c r="B69" t="s">
        <v>251</v>
      </c>
      <c r="C69" s="7">
        <v>40149</v>
      </c>
      <c r="D69">
        <v>2172540</v>
      </c>
      <c r="E69" t="s">
        <v>226</v>
      </c>
      <c r="F69">
        <v>1599000</v>
      </c>
      <c r="G69">
        <v>1.86</v>
      </c>
      <c r="H69" t="s">
        <v>226</v>
      </c>
    </row>
    <row r="70" spans="1:8" x14ac:dyDescent="0.45">
      <c r="B70" t="s">
        <v>252</v>
      </c>
      <c r="C70" s="7">
        <v>40065</v>
      </c>
      <c r="D70">
        <v>28408945</v>
      </c>
      <c r="E70" t="s">
        <v>226</v>
      </c>
      <c r="F70">
        <v>28408945</v>
      </c>
      <c r="G70">
        <v>2.19</v>
      </c>
      <c r="H70">
        <v>66278239.350000001</v>
      </c>
    </row>
    <row r="71" spans="1:8" x14ac:dyDescent="0.45">
      <c r="B71" t="s">
        <v>253</v>
      </c>
      <c r="C71" s="7">
        <v>40065</v>
      </c>
      <c r="D71">
        <v>2172540</v>
      </c>
      <c r="E71" t="s">
        <v>226</v>
      </c>
      <c r="F71">
        <v>2172540</v>
      </c>
      <c r="G71">
        <v>1.87</v>
      </c>
      <c r="H71" t="s">
        <v>226</v>
      </c>
    </row>
    <row r="72" spans="1:8" x14ac:dyDescent="0.45">
      <c r="B72" t="s">
        <v>254</v>
      </c>
      <c r="C72" s="7">
        <v>39981</v>
      </c>
      <c r="D72">
        <v>30887620</v>
      </c>
      <c r="E72" t="s">
        <v>226</v>
      </c>
      <c r="F72">
        <v>30887620</v>
      </c>
      <c r="G72">
        <v>3.23</v>
      </c>
      <c r="H72">
        <v>104242445</v>
      </c>
    </row>
    <row r="73" spans="1:8" x14ac:dyDescent="0.45">
      <c r="B73" t="s">
        <v>255</v>
      </c>
      <c r="C73" s="7">
        <v>39981</v>
      </c>
      <c r="D73">
        <v>2172540</v>
      </c>
      <c r="E73" t="s">
        <v>226</v>
      </c>
      <c r="F73">
        <v>2172540</v>
      </c>
      <c r="G73">
        <v>2.06</v>
      </c>
      <c r="H73" t="s">
        <v>226</v>
      </c>
    </row>
    <row r="74" spans="1:8" x14ac:dyDescent="0.45">
      <c r="B74" t="s">
        <v>256</v>
      </c>
      <c r="C74" s="7">
        <v>39890</v>
      </c>
      <c r="D74">
        <v>31513765</v>
      </c>
      <c r="E74" t="s">
        <v>226</v>
      </c>
      <c r="F74">
        <v>31513765</v>
      </c>
      <c r="G74">
        <v>3.51</v>
      </c>
      <c r="H74">
        <v>117248629.8</v>
      </c>
    </row>
    <row r="75" spans="1:8" x14ac:dyDescent="0.45">
      <c r="B75" t="s">
        <v>257</v>
      </c>
      <c r="C75" s="7">
        <v>39890</v>
      </c>
      <c r="D75">
        <v>2175513</v>
      </c>
      <c r="E75" t="s">
        <v>226</v>
      </c>
      <c r="F75">
        <v>2175513</v>
      </c>
      <c r="G75">
        <v>3.05</v>
      </c>
      <c r="H75" t="s">
        <v>226</v>
      </c>
    </row>
    <row r="76" spans="1:8" x14ac:dyDescent="0.45">
      <c r="B76" t="s">
        <v>258</v>
      </c>
      <c r="C76" s="7">
        <v>39799</v>
      </c>
      <c r="D76">
        <v>31505898</v>
      </c>
      <c r="E76" t="s">
        <v>226</v>
      </c>
      <c r="F76">
        <v>31505898</v>
      </c>
      <c r="G76">
        <v>3.38</v>
      </c>
      <c r="H76">
        <v>106489935.23999999</v>
      </c>
    </row>
    <row r="77" spans="1:8" x14ac:dyDescent="0.45">
      <c r="B77" t="s">
        <v>259</v>
      </c>
      <c r="C77" s="7">
        <v>39716</v>
      </c>
      <c r="D77">
        <v>12565387</v>
      </c>
      <c r="E77" t="s">
        <v>226</v>
      </c>
      <c r="F77">
        <v>12565387</v>
      </c>
      <c r="G77">
        <v>3.07</v>
      </c>
      <c r="H77">
        <v>38575738.090000004</v>
      </c>
    </row>
    <row r="78" spans="1:8" x14ac:dyDescent="0.45">
      <c r="A78">
        <v>2024</v>
      </c>
      <c r="B78" t="s">
        <v>260</v>
      </c>
      <c r="C78" s="7">
        <v>45539</v>
      </c>
      <c r="G78">
        <v>25.75</v>
      </c>
    </row>
    <row r="79" spans="1:8" x14ac:dyDescent="0.45">
      <c r="A79">
        <v>2024</v>
      </c>
      <c r="B79" t="s">
        <v>261</v>
      </c>
      <c r="C79" s="7">
        <v>45630</v>
      </c>
      <c r="G79">
        <v>20.05</v>
      </c>
    </row>
    <row r="80" spans="1:8" x14ac:dyDescent="0.45">
      <c r="A80">
        <v>2025</v>
      </c>
      <c r="B80" t="s">
        <v>262</v>
      </c>
      <c r="C80" s="7">
        <v>45728</v>
      </c>
      <c r="G80">
        <v>19.760000000000002</v>
      </c>
    </row>
    <row r="81" spans="1:7" x14ac:dyDescent="0.45">
      <c r="A81">
        <v>2025</v>
      </c>
      <c r="B81" t="s">
        <v>263</v>
      </c>
      <c r="C81" s="7">
        <v>45812</v>
      </c>
      <c r="G81">
        <v>19.63</v>
      </c>
    </row>
    <row r="82" spans="1:7" x14ac:dyDescent="0.45">
      <c r="A82">
        <v>2025</v>
      </c>
      <c r="B82" t="s">
        <v>264</v>
      </c>
      <c r="C82" s="7">
        <v>45903</v>
      </c>
      <c r="G82">
        <v>22.25</v>
      </c>
    </row>
    <row r="83" spans="1:7" x14ac:dyDescent="0.45">
      <c r="A83">
        <v>2025</v>
      </c>
      <c r="B83" t="s">
        <v>265</v>
      </c>
      <c r="C83" s="7">
        <v>45994</v>
      </c>
      <c r="G83">
        <v>26.73</v>
      </c>
    </row>
    <row r="84" spans="1:7" x14ac:dyDescent="0.45">
      <c r="A84">
        <v>2026</v>
      </c>
      <c r="B84" t="s">
        <v>266</v>
      </c>
      <c r="C84" s="7">
        <v>46092</v>
      </c>
      <c r="G84">
        <v>24.99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60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8" customWidth="1"/>
    <col min="2" max="2" width="34" customWidth="1"/>
    <col min="3" max="4" width="16" customWidth="1"/>
    <col min="5" max="5" width="18" customWidth="1"/>
    <col min="6" max="6" width="14" customWidth="1"/>
    <col min="7" max="7" width="12" customWidth="1"/>
    <col min="8" max="8" width="16" customWidth="1"/>
  </cols>
  <sheetData>
    <row r="1" spans="1:8" x14ac:dyDescent="0.45">
      <c r="A1" s="5" t="s">
        <v>175</v>
      </c>
      <c r="B1" s="5" t="s">
        <v>267</v>
      </c>
      <c r="C1" s="5" t="s">
        <v>268</v>
      </c>
      <c r="D1" s="5" t="s">
        <v>269</v>
      </c>
      <c r="E1" s="5" t="s">
        <v>270</v>
      </c>
      <c r="F1" s="5" t="s">
        <v>271</v>
      </c>
      <c r="G1" s="5" t="s">
        <v>272</v>
      </c>
      <c r="H1" s="5" t="s">
        <v>273</v>
      </c>
    </row>
    <row r="2" spans="1:8" x14ac:dyDescent="0.45">
      <c r="A2" s="8"/>
      <c r="B2" s="9" t="s">
        <v>274</v>
      </c>
      <c r="C2" s="8"/>
      <c r="D2" s="8"/>
      <c r="E2" s="8"/>
      <c r="F2" s="8"/>
      <c r="G2" s="8"/>
      <c r="H2" s="8"/>
    </row>
    <row r="3" spans="1:8" x14ac:dyDescent="0.45">
      <c r="A3">
        <v>2026</v>
      </c>
      <c r="B3" t="s">
        <v>275</v>
      </c>
      <c r="C3">
        <v>49647415</v>
      </c>
      <c r="D3">
        <v>49647415</v>
      </c>
      <c r="E3">
        <v>28.81</v>
      </c>
      <c r="F3">
        <v>6481750</v>
      </c>
      <c r="G3">
        <v>6481750</v>
      </c>
      <c r="H3">
        <v>28.76</v>
      </c>
    </row>
    <row r="4" spans="1:8" x14ac:dyDescent="0.45">
      <c r="A4">
        <v>2026</v>
      </c>
      <c r="B4" t="s">
        <v>276</v>
      </c>
      <c r="C4">
        <v>54975757</v>
      </c>
      <c r="D4">
        <v>54975757</v>
      </c>
      <c r="E4">
        <v>27.94</v>
      </c>
      <c r="F4">
        <v>6481750</v>
      </c>
      <c r="G4">
        <v>6263000</v>
      </c>
      <c r="H4">
        <v>27.94</v>
      </c>
    </row>
    <row r="5" spans="1:8" x14ac:dyDescent="0.45">
      <c r="A5">
        <v>2025</v>
      </c>
      <c r="B5" t="s">
        <v>277</v>
      </c>
      <c r="C5">
        <v>51253305</v>
      </c>
      <c r="D5">
        <v>51253305</v>
      </c>
      <c r="E5">
        <v>28.32</v>
      </c>
      <c r="F5">
        <v>6847750</v>
      </c>
      <c r="G5">
        <v>6847750</v>
      </c>
      <c r="H5">
        <v>29.61</v>
      </c>
    </row>
    <row r="6" spans="1:8" x14ac:dyDescent="0.45">
      <c r="A6">
        <v>2025</v>
      </c>
      <c r="B6" t="s">
        <v>278</v>
      </c>
      <c r="C6">
        <v>51883970</v>
      </c>
      <c r="D6">
        <v>51883970</v>
      </c>
      <c r="E6">
        <v>28.76</v>
      </c>
      <c r="F6">
        <v>6847750</v>
      </c>
      <c r="G6">
        <v>6847750</v>
      </c>
      <c r="H6">
        <v>28.5</v>
      </c>
    </row>
    <row r="7" spans="1:8" x14ac:dyDescent="0.45">
      <c r="A7">
        <v>2025</v>
      </c>
      <c r="B7" t="s">
        <v>279</v>
      </c>
      <c r="C7">
        <v>51069285</v>
      </c>
      <c r="D7">
        <v>43865000</v>
      </c>
      <c r="E7">
        <v>25.87</v>
      </c>
      <c r="F7">
        <v>6847750</v>
      </c>
      <c r="G7">
        <v>6847750</v>
      </c>
      <c r="H7">
        <v>26.15</v>
      </c>
    </row>
    <row r="8" spans="1:8" x14ac:dyDescent="0.45">
      <c r="A8">
        <v>2025</v>
      </c>
      <c r="B8" t="s">
        <v>280</v>
      </c>
      <c r="C8">
        <v>51466028</v>
      </c>
      <c r="D8">
        <v>51466028</v>
      </c>
      <c r="E8">
        <v>29.27</v>
      </c>
      <c r="F8">
        <v>6847750</v>
      </c>
      <c r="G8">
        <v>6847750</v>
      </c>
      <c r="H8">
        <v>28</v>
      </c>
    </row>
    <row r="9" spans="1:8" x14ac:dyDescent="0.45">
      <c r="A9">
        <v>2024</v>
      </c>
      <c r="B9" t="s">
        <v>281</v>
      </c>
      <c r="C9">
        <v>52629612</v>
      </c>
      <c r="D9">
        <v>52629612</v>
      </c>
      <c r="E9">
        <v>31.91</v>
      </c>
      <c r="F9">
        <v>7211000</v>
      </c>
      <c r="G9">
        <v>7211000</v>
      </c>
      <c r="H9">
        <v>30.16</v>
      </c>
    </row>
    <row r="10" spans="1:8" x14ac:dyDescent="0.45">
      <c r="A10">
        <v>2024</v>
      </c>
      <c r="B10" t="s">
        <v>282</v>
      </c>
      <c r="C10">
        <v>51179715</v>
      </c>
      <c r="D10">
        <v>51179715</v>
      </c>
      <c r="E10">
        <v>30.24</v>
      </c>
      <c r="F10">
        <v>7211000</v>
      </c>
      <c r="G10">
        <v>7211000</v>
      </c>
      <c r="H10">
        <v>29.75</v>
      </c>
    </row>
    <row r="11" spans="1:8" x14ac:dyDescent="0.45">
      <c r="A11">
        <v>2024</v>
      </c>
      <c r="B11" t="s">
        <v>283</v>
      </c>
      <c r="C11">
        <v>51589488</v>
      </c>
      <c r="D11">
        <v>51589488</v>
      </c>
      <c r="E11">
        <v>37.020000000000003</v>
      </c>
      <c r="F11">
        <v>7211000</v>
      </c>
      <c r="G11">
        <v>7211000</v>
      </c>
      <c r="H11">
        <v>38.35</v>
      </c>
    </row>
    <row r="12" spans="1:8" x14ac:dyDescent="0.45">
      <c r="A12">
        <v>2024</v>
      </c>
      <c r="B12" t="s">
        <v>284</v>
      </c>
      <c r="C12">
        <v>51216056</v>
      </c>
      <c r="D12">
        <v>51216056</v>
      </c>
      <c r="E12">
        <v>41.76</v>
      </c>
      <c r="F12">
        <v>7211000</v>
      </c>
      <c r="G12">
        <v>7211000</v>
      </c>
      <c r="H12">
        <v>41</v>
      </c>
    </row>
    <row r="13" spans="1:8" x14ac:dyDescent="0.45">
      <c r="A13">
        <v>2023</v>
      </c>
      <c r="B13" t="s">
        <v>285</v>
      </c>
      <c r="C13">
        <v>57617565</v>
      </c>
      <c r="D13">
        <v>57617565</v>
      </c>
      <c r="E13">
        <v>38.729999999999997</v>
      </c>
      <c r="F13">
        <v>7577000</v>
      </c>
      <c r="G13">
        <v>7577000</v>
      </c>
      <c r="H13">
        <v>37.4</v>
      </c>
    </row>
    <row r="14" spans="1:8" x14ac:dyDescent="0.45">
      <c r="A14">
        <v>2023</v>
      </c>
      <c r="B14" t="s">
        <v>286</v>
      </c>
      <c r="C14">
        <v>55760384</v>
      </c>
      <c r="D14">
        <v>55760384</v>
      </c>
      <c r="E14">
        <v>35.200000000000003</v>
      </c>
      <c r="F14">
        <v>7577000</v>
      </c>
      <c r="G14">
        <v>7577000</v>
      </c>
      <c r="H14">
        <v>34.159999999999997</v>
      </c>
    </row>
    <row r="15" spans="1:8" x14ac:dyDescent="0.45">
      <c r="A15">
        <v>2023</v>
      </c>
      <c r="B15" t="s">
        <v>287</v>
      </c>
      <c r="C15">
        <v>56084237</v>
      </c>
      <c r="D15">
        <v>56084237</v>
      </c>
      <c r="E15">
        <v>30.33</v>
      </c>
      <c r="F15">
        <v>7577000</v>
      </c>
      <c r="G15">
        <v>7577000</v>
      </c>
      <c r="H15">
        <v>30.05</v>
      </c>
    </row>
    <row r="16" spans="1:8" x14ac:dyDescent="0.45">
      <c r="A16">
        <v>2023</v>
      </c>
      <c r="B16" t="s">
        <v>288</v>
      </c>
      <c r="C16">
        <v>56395720</v>
      </c>
      <c r="D16">
        <v>56395720</v>
      </c>
      <c r="E16">
        <v>27.85</v>
      </c>
      <c r="F16">
        <v>7577000</v>
      </c>
      <c r="G16">
        <v>7577000</v>
      </c>
      <c r="H16">
        <v>27.01</v>
      </c>
    </row>
    <row r="17" spans="1:8" x14ac:dyDescent="0.45">
      <c r="A17">
        <v>2022</v>
      </c>
      <c r="B17" t="s">
        <v>289</v>
      </c>
      <c r="C17">
        <v>58020854</v>
      </c>
      <c r="D17">
        <v>58020854</v>
      </c>
      <c r="E17">
        <v>26.8</v>
      </c>
      <c r="F17">
        <v>7942750</v>
      </c>
      <c r="G17">
        <v>7942750</v>
      </c>
      <c r="H17">
        <v>26</v>
      </c>
    </row>
    <row r="18" spans="1:8" x14ac:dyDescent="0.45">
      <c r="A18">
        <v>2022</v>
      </c>
      <c r="B18" t="s">
        <v>290</v>
      </c>
      <c r="C18">
        <v>56956085</v>
      </c>
      <c r="D18">
        <v>56956085</v>
      </c>
      <c r="E18">
        <v>27</v>
      </c>
      <c r="F18">
        <v>7942750</v>
      </c>
      <c r="G18">
        <v>7942750</v>
      </c>
      <c r="H18">
        <v>30</v>
      </c>
    </row>
    <row r="19" spans="1:8" x14ac:dyDescent="0.45">
      <c r="A19">
        <v>2022</v>
      </c>
      <c r="B19" t="s">
        <v>291</v>
      </c>
      <c r="C19">
        <v>58331300</v>
      </c>
      <c r="D19">
        <v>58331300</v>
      </c>
      <c r="E19">
        <v>30.85</v>
      </c>
      <c r="F19">
        <v>7942750</v>
      </c>
      <c r="G19">
        <v>7942750</v>
      </c>
      <c r="H19">
        <v>28.13</v>
      </c>
    </row>
    <row r="20" spans="1:8" x14ac:dyDescent="0.45">
      <c r="A20">
        <v>2022</v>
      </c>
      <c r="B20" t="s">
        <v>292</v>
      </c>
      <c r="C20">
        <v>58527697</v>
      </c>
      <c r="D20">
        <v>58527697</v>
      </c>
      <c r="E20">
        <v>29.15</v>
      </c>
      <c r="F20">
        <v>7942750</v>
      </c>
      <c r="G20">
        <v>7079000</v>
      </c>
      <c r="H20">
        <v>19.7</v>
      </c>
    </row>
    <row r="21" spans="1:8" x14ac:dyDescent="0.45">
      <c r="A21">
        <v>2021</v>
      </c>
      <c r="B21" t="s">
        <v>293</v>
      </c>
      <c r="C21">
        <v>68598217</v>
      </c>
      <c r="D21">
        <v>68598217</v>
      </c>
      <c r="E21">
        <v>28.26</v>
      </c>
      <c r="F21">
        <v>8306250</v>
      </c>
      <c r="G21">
        <v>8306250</v>
      </c>
      <c r="H21">
        <v>34.01</v>
      </c>
    </row>
    <row r="22" spans="1:8" x14ac:dyDescent="0.45">
      <c r="A22">
        <v>2021</v>
      </c>
      <c r="B22" t="s">
        <v>294</v>
      </c>
      <c r="C22">
        <v>71261536</v>
      </c>
      <c r="D22">
        <v>71261536</v>
      </c>
      <c r="E22">
        <v>23.3</v>
      </c>
      <c r="F22">
        <v>8306250</v>
      </c>
      <c r="G22">
        <v>8306250</v>
      </c>
      <c r="H22">
        <v>23.69</v>
      </c>
    </row>
    <row r="23" spans="1:8" x14ac:dyDescent="0.45">
      <c r="A23">
        <v>2021</v>
      </c>
      <c r="B23" t="s">
        <v>295</v>
      </c>
      <c r="C23">
        <v>71647138</v>
      </c>
      <c r="D23">
        <v>71647138</v>
      </c>
      <c r="E23">
        <v>18.8</v>
      </c>
      <c r="F23">
        <v>8306250</v>
      </c>
      <c r="G23">
        <v>8306250</v>
      </c>
      <c r="H23">
        <v>19.04</v>
      </c>
    </row>
    <row r="24" spans="1:8" x14ac:dyDescent="0.45">
      <c r="A24">
        <v>2021</v>
      </c>
      <c r="B24" t="s">
        <v>296</v>
      </c>
      <c r="C24">
        <v>54773607</v>
      </c>
      <c r="D24">
        <v>54773607</v>
      </c>
      <c r="E24">
        <v>17.8</v>
      </c>
      <c r="F24">
        <v>8306250</v>
      </c>
      <c r="G24">
        <v>8306250</v>
      </c>
      <c r="H24">
        <v>18.010000000000002</v>
      </c>
    </row>
    <row r="25" spans="1:8" x14ac:dyDescent="0.45">
      <c r="A25">
        <v>2020</v>
      </c>
      <c r="B25" t="s">
        <v>297</v>
      </c>
      <c r="C25">
        <v>56366432</v>
      </c>
      <c r="D25">
        <v>56366432</v>
      </c>
      <c r="E25">
        <v>16.93</v>
      </c>
      <c r="F25">
        <v>8672250</v>
      </c>
      <c r="G25">
        <v>8672250</v>
      </c>
      <c r="H25">
        <v>17.350000000000001</v>
      </c>
    </row>
    <row r="26" spans="1:8" x14ac:dyDescent="0.45">
      <c r="A26">
        <v>2020</v>
      </c>
      <c r="B26" t="s">
        <v>298</v>
      </c>
      <c r="C26">
        <v>59250484</v>
      </c>
      <c r="D26">
        <v>52627000</v>
      </c>
      <c r="E26">
        <v>16.68</v>
      </c>
      <c r="F26">
        <v>8672250</v>
      </c>
      <c r="G26">
        <v>8672250</v>
      </c>
      <c r="H26">
        <v>16.73</v>
      </c>
    </row>
    <row r="27" spans="1:8" x14ac:dyDescent="0.45">
      <c r="A27">
        <v>2020</v>
      </c>
      <c r="B27" t="s">
        <v>299</v>
      </c>
      <c r="C27">
        <v>57540731</v>
      </c>
      <c r="D27">
        <v>21161000</v>
      </c>
      <c r="E27">
        <v>16.68</v>
      </c>
      <c r="F27">
        <v>8672250</v>
      </c>
      <c r="G27">
        <v>1763000</v>
      </c>
      <c r="H27">
        <v>16.68</v>
      </c>
    </row>
    <row r="28" spans="1:8" x14ac:dyDescent="0.45">
      <c r="A28">
        <v>2020</v>
      </c>
      <c r="B28" t="s">
        <v>300</v>
      </c>
      <c r="C28">
        <v>57090077</v>
      </c>
      <c r="D28">
        <v>57090077</v>
      </c>
      <c r="E28">
        <v>17.87</v>
      </c>
      <c r="F28">
        <v>8672250</v>
      </c>
      <c r="G28">
        <v>8672250</v>
      </c>
      <c r="H28">
        <v>18</v>
      </c>
    </row>
    <row r="29" spans="1:8" x14ac:dyDescent="0.45">
      <c r="A29">
        <v>2019</v>
      </c>
      <c r="B29" t="s">
        <v>301</v>
      </c>
      <c r="C29">
        <v>67435661</v>
      </c>
      <c r="D29">
        <v>67435661</v>
      </c>
      <c r="E29">
        <v>17</v>
      </c>
      <c r="F29">
        <v>9038000</v>
      </c>
      <c r="G29">
        <v>9038000</v>
      </c>
      <c r="H29">
        <v>16.8</v>
      </c>
    </row>
    <row r="30" spans="1:8" x14ac:dyDescent="0.45">
      <c r="A30">
        <v>2019</v>
      </c>
      <c r="B30" t="s">
        <v>302</v>
      </c>
      <c r="C30">
        <v>66289515</v>
      </c>
      <c r="D30">
        <v>66289515</v>
      </c>
      <c r="E30">
        <v>17.16</v>
      </c>
      <c r="F30">
        <v>9038000</v>
      </c>
      <c r="G30">
        <v>9038000</v>
      </c>
      <c r="H30">
        <v>16.850000000000001</v>
      </c>
    </row>
    <row r="31" spans="1:8" x14ac:dyDescent="0.45">
      <c r="A31">
        <v>2019</v>
      </c>
      <c r="B31" t="s">
        <v>303</v>
      </c>
      <c r="C31">
        <v>66321122</v>
      </c>
      <c r="D31">
        <v>66321122</v>
      </c>
      <c r="E31">
        <v>17.45</v>
      </c>
      <c r="F31">
        <v>9038000</v>
      </c>
      <c r="G31">
        <v>9038000</v>
      </c>
      <c r="H31">
        <v>17.399999999999999</v>
      </c>
    </row>
    <row r="32" spans="1:8" x14ac:dyDescent="0.45">
      <c r="A32">
        <v>2019</v>
      </c>
      <c r="B32" t="s">
        <v>304</v>
      </c>
      <c r="C32">
        <v>80847404</v>
      </c>
      <c r="D32">
        <v>80847404</v>
      </c>
      <c r="E32">
        <v>15.73</v>
      </c>
      <c r="F32">
        <v>9038000</v>
      </c>
      <c r="G32">
        <v>5983000</v>
      </c>
      <c r="H32">
        <v>15.62</v>
      </c>
    </row>
    <row r="33" spans="1:8" x14ac:dyDescent="0.45">
      <c r="A33">
        <v>2018</v>
      </c>
      <c r="B33" t="s">
        <v>305</v>
      </c>
      <c r="C33">
        <v>78825717</v>
      </c>
      <c r="D33">
        <v>78825717</v>
      </c>
      <c r="E33">
        <v>15.31</v>
      </c>
      <c r="F33">
        <v>9401500</v>
      </c>
      <c r="G33">
        <v>9401500</v>
      </c>
      <c r="H33">
        <v>15.33</v>
      </c>
    </row>
    <row r="34" spans="1:8" x14ac:dyDescent="0.45">
      <c r="A34">
        <v>2018</v>
      </c>
      <c r="B34" t="s">
        <v>306</v>
      </c>
      <c r="C34">
        <v>79421265</v>
      </c>
      <c r="D34">
        <v>79421265</v>
      </c>
      <c r="E34">
        <v>15.05</v>
      </c>
      <c r="F34">
        <v>9401500</v>
      </c>
      <c r="G34">
        <v>9401500</v>
      </c>
      <c r="H34">
        <v>14.9</v>
      </c>
    </row>
    <row r="35" spans="1:8" x14ac:dyDescent="0.45">
      <c r="A35" s="8"/>
      <c r="B35" s="9" t="s">
        <v>307</v>
      </c>
      <c r="C35" s="8"/>
      <c r="D35" s="8"/>
      <c r="E35" s="8"/>
      <c r="F35" s="8"/>
      <c r="G35" s="8"/>
      <c r="H35" s="8"/>
    </row>
    <row r="36" spans="1:8" x14ac:dyDescent="0.45">
      <c r="A36">
        <v>2018</v>
      </c>
      <c r="B36" t="s">
        <v>308</v>
      </c>
      <c r="C36">
        <v>90587738</v>
      </c>
      <c r="D36">
        <v>90587738</v>
      </c>
      <c r="E36">
        <v>14.65</v>
      </c>
      <c r="F36">
        <v>12427950</v>
      </c>
      <c r="G36">
        <v>6057000</v>
      </c>
      <c r="H36">
        <v>14.53</v>
      </c>
    </row>
    <row r="37" spans="1:8" x14ac:dyDescent="0.45">
      <c r="A37">
        <v>2018</v>
      </c>
      <c r="B37" t="s">
        <v>309</v>
      </c>
      <c r="C37">
        <v>98215920</v>
      </c>
      <c r="D37">
        <v>98215920</v>
      </c>
      <c r="E37">
        <v>14.61</v>
      </c>
      <c r="F37">
        <v>12427950</v>
      </c>
      <c r="G37">
        <v>8576000</v>
      </c>
      <c r="H37">
        <v>14.53</v>
      </c>
    </row>
    <row r="38" spans="1:8" x14ac:dyDescent="0.45">
      <c r="A38" s="8"/>
      <c r="B38" s="9" t="s">
        <v>310</v>
      </c>
      <c r="C38" s="8"/>
      <c r="D38" s="8"/>
      <c r="E38" s="8"/>
      <c r="F38" s="8"/>
      <c r="G38" s="8"/>
      <c r="H38" s="8"/>
    </row>
    <row r="39" spans="1:8" x14ac:dyDescent="0.45">
      <c r="A39">
        <v>2017</v>
      </c>
      <c r="B39" t="s">
        <v>311</v>
      </c>
      <c r="C39">
        <v>79548286</v>
      </c>
      <c r="D39">
        <v>79548286</v>
      </c>
      <c r="E39">
        <v>15.06</v>
      </c>
      <c r="F39">
        <v>9723500</v>
      </c>
      <c r="G39">
        <v>9723500</v>
      </c>
      <c r="H39">
        <v>14.76</v>
      </c>
    </row>
    <row r="40" spans="1:8" x14ac:dyDescent="0.45">
      <c r="A40">
        <v>2017</v>
      </c>
      <c r="B40" t="s">
        <v>312</v>
      </c>
      <c r="C40">
        <v>63887833</v>
      </c>
      <c r="D40">
        <v>63887833</v>
      </c>
      <c r="E40">
        <v>14.75</v>
      </c>
      <c r="F40">
        <v>9723500</v>
      </c>
      <c r="G40">
        <v>9723500</v>
      </c>
      <c r="H40">
        <v>14.55</v>
      </c>
    </row>
    <row r="41" spans="1:8" x14ac:dyDescent="0.45">
      <c r="A41">
        <v>2017</v>
      </c>
      <c r="B41" t="s">
        <v>313</v>
      </c>
      <c r="C41">
        <v>75311960</v>
      </c>
      <c r="D41">
        <v>75311960</v>
      </c>
      <c r="E41">
        <v>13.8</v>
      </c>
      <c r="F41">
        <v>9723500</v>
      </c>
      <c r="G41">
        <v>2117000</v>
      </c>
      <c r="H41">
        <v>13.57</v>
      </c>
    </row>
    <row r="42" spans="1:8" x14ac:dyDescent="0.45">
      <c r="A42">
        <v>2017</v>
      </c>
      <c r="B42" t="s">
        <v>314</v>
      </c>
      <c r="C42">
        <v>65104273</v>
      </c>
      <c r="D42">
        <v>11673000</v>
      </c>
      <c r="E42">
        <v>13.57</v>
      </c>
      <c r="F42">
        <v>9723500</v>
      </c>
      <c r="G42">
        <v>701000</v>
      </c>
      <c r="H42">
        <v>13.57</v>
      </c>
    </row>
    <row r="43" spans="1:8" x14ac:dyDescent="0.45">
      <c r="A43">
        <v>2016</v>
      </c>
      <c r="B43" t="s">
        <v>315</v>
      </c>
      <c r="C43">
        <v>87069495</v>
      </c>
      <c r="D43">
        <v>76960000</v>
      </c>
      <c r="E43">
        <v>12.73</v>
      </c>
      <c r="F43">
        <v>10078750</v>
      </c>
      <c r="G43">
        <v>1020000</v>
      </c>
      <c r="H43">
        <v>12.73</v>
      </c>
    </row>
    <row r="44" spans="1:8" x14ac:dyDescent="0.45">
      <c r="A44">
        <v>2016</v>
      </c>
      <c r="B44" t="s">
        <v>316</v>
      </c>
      <c r="C44">
        <v>86278410</v>
      </c>
      <c r="D44">
        <v>30021000</v>
      </c>
      <c r="E44">
        <v>12.73</v>
      </c>
      <c r="F44">
        <v>10078750</v>
      </c>
      <c r="G44">
        <v>769000</v>
      </c>
      <c r="H44">
        <v>12.73</v>
      </c>
    </row>
    <row r="45" spans="1:8" x14ac:dyDescent="0.45">
      <c r="A45">
        <v>2016</v>
      </c>
      <c r="B45" t="s">
        <v>317</v>
      </c>
      <c r="C45">
        <v>67675951</v>
      </c>
      <c r="D45">
        <v>7260000</v>
      </c>
      <c r="E45">
        <v>12.73</v>
      </c>
      <c r="F45">
        <v>10078750</v>
      </c>
      <c r="G45">
        <v>914000</v>
      </c>
      <c r="H45">
        <v>12.73</v>
      </c>
    </row>
    <row r="46" spans="1:8" x14ac:dyDescent="0.45">
      <c r="A46">
        <v>2016</v>
      </c>
      <c r="B46" t="s">
        <v>318</v>
      </c>
      <c r="C46">
        <v>71555827</v>
      </c>
      <c r="D46">
        <v>68026000</v>
      </c>
      <c r="E46">
        <v>12.73</v>
      </c>
      <c r="F46">
        <v>10078750</v>
      </c>
      <c r="G46">
        <v>9361000</v>
      </c>
      <c r="H46">
        <v>12.73</v>
      </c>
    </row>
    <row r="47" spans="1:8" x14ac:dyDescent="0.45">
      <c r="A47">
        <v>2015</v>
      </c>
      <c r="B47" t="s">
        <v>319</v>
      </c>
      <c r="C47">
        <v>75113008</v>
      </c>
      <c r="D47">
        <v>75113008</v>
      </c>
      <c r="E47">
        <v>12.73</v>
      </c>
      <c r="F47">
        <v>10431500</v>
      </c>
      <c r="G47">
        <v>10431500</v>
      </c>
      <c r="H47">
        <v>12.65</v>
      </c>
    </row>
    <row r="48" spans="1:8" x14ac:dyDescent="0.45">
      <c r="A48">
        <v>2015</v>
      </c>
      <c r="B48" t="s">
        <v>320</v>
      </c>
      <c r="C48">
        <v>73429360</v>
      </c>
      <c r="D48">
        <v>73429360</v>
      </c>
      <c r="E48">
        <v>12.52</v>
      </c>
      <c r="F48">
        <v>10431500</v>
      </c>
      <c r="G48">
        <v>10431500</v>
      </c>
      <c r="H48">
        <v>12.3</v>
      </c>
    </row>
    <row r="49" spans="1:8" x14ac:dyDescent="0.45">
      <c r="A49">
        <v>2015</v>
      </c>
      <c r="B49" t="s">
        <v>321</v>
      </c>
      <c r="C49">
        <v>76931627</v>
      </c>
      <c r="D49">
        <v>76931627</v>
      </c>
      <c r="E49">
        <v>12.29</v>
      </c>
      <c r="F49">
        <v>10431500</v>
      </c>
      <c r="G49">
        <v>9812000</v>
      </c>
      <c r="H49">
        <v>12.1</v>
      </c>
    </row>
    <row r="50" spans="1:8" x14ac:dyDescent="0.45">
      <c r="A50">
        <v>2015</v>
      </c>
      <c r="B50" t="s">
        <v>322</v>
      </c>
      <c r="C50">
        <v>73610528</v>
      </c>
      <c r="D50">
        <v>73610528</v>
      </c>
      <c r="E50">
        <v>12.21</v>
      </c>
      <c r="F50">
        <v>10431500</v>
      </c>
      <c r="G50">
        <v>10431500</v>
      </c>
      <c r="H50">
        <v>12.1</v>
      </c>
    </row>
    <row r="51" spans="1:8" x14ac:dyDescent="0.45">
      <c r="A51">
        <v>2014</v>
      </c>
      <c r="B51" t="s">
        <v>323</v>
      </c>
      <c r="C51">
        <v>23070987</v>
      </c>
      <c r="D51">
        <v>23070987</v>
      </c>
      <c r="E51">
        <v>12.1</v>
      </c>
      <c r="F51">
        <v>10787000</v>
      </c>
      <c r="G51">
        <v>10787000</v>
      </c>
      <c r="H51">
        <v>11.86</v>
      </c>
    </row>
    <row r="52" spans="1:8" x14ac:dyDescent="0.45">
      <c r="A52" s="8"/>
      <c r="B52" s="9" t="s">
        <v>324</v>
      </c>
      <c r="C52" s="8"/>
      <c r="D52" s="8"/>
      <c r="E52" s="8"/>
      <c r="F52" s="8"/>
      <c r="G52" s="8"/>
      <c r="H52" s="8"/>
    </row>
    <row r="53" spans="1:8" x14ac:dyDescent="0.45">
      <c r="A53">
        <v>2014</v>
      </c>
      <c r="B53" t="s">
        <v>325</v>
      </c>
      <c r="C53">
        <v>22473043</v>
      </c>
      <c r="D53">
        <v>22473043</v>
      </c>
      <c r="E53">
        <v>11.5</v>
      </c>
      <c r="F53">
        <v>9260000</v>
      </c>
      <c r="G53">
        <v>6470000</v>
      </c>
      <c r="H53">
        <v>11.34</v>
      </c>
    </row>
    <row r="54" spans="1:8" x14ac:dyDescent="0.45">
      <c r="A54">
        <v>2014</v>
      </c>
      <c r="B54" t="s">
        <v>326</v>
      </c>
      <c r="C54">
        <v>16947080</v>
      </c>
      <c r="D54">
        <v>16947080</v>
      </c>
      <c r="E54">
        <v>11.5</v>
      </c>
      <c r="F54">
        <v>9260000</v>
      </c>
      <c r="G54">
        <v>4036000</v>
      </c>
      <c r="H54">
        <v>11.34</v>
      </c>
    </row>
    <row r="55" spans="1:8" x14ac:dyDescent="0.45">
      <c r="A55">
        <v>2014</v>
      </c>
      <c r="B55" t="s">
        <v>327</v>
      </c>
      <c r="C55">
        <v>19538695</v>
      </c>
      <c r="D55">
        <v>19538695</v>
      </c>
      <c r="E55">
        <v>11.48</v>
      </c>
      <c r="F55">
        <v>9260000</v>
      </c>
      <c r="G55">
        <v>9260000</v>
      </c>
      <c r="H55">
        <v>11.38</v>
      </c>
    </row>
    <row r="56" spans="1:8" x14ac:dyDescent="0.45">
      <c r="A56">
        <v>2013</v>
      </c>
      <c r="B56" t="s">
        <v>328</v>
      </c>
      <c r="C56">
        <v>16614526</v>
      </c>
      <c r="D56">
        <v>16614526</v>
      </c>
      <c r="E56">
        <v>11.48</v>
      </c>
      <c r="F56">
        <v>9560000</v>
      </c>
      <c r="G56">
        <v>9560000</v>
      </c>
      <c r="H56">
        <v>11.1</v>
      </c>
    </row>
    <row r="57" spans="1:8" x14ac:dyDescent="0.45">
      <c r="A57">
        <v>2013</v>
      </c>
      <c r="B57" t="s">
        <v>329</v>
      </c>
      <c r="C57">
        <v>13865422</v>
      </c>
      <c r="D57">
        <v>13865422</v>
      </c>
      <c r="E57">
        <v>12.22</v>
      </c>
      <c r="F57">
        <v>9560000</v>
      </c>
      <c r="G57">
        <v>9560000</v>
      </c>
      <c r="H57">
        <v>11.1</v>
      </c>
    </row>
    <row r="58" spans="1:8" x14ac:dyDescent="0.45">
      <c r="A58">
        <v>2013</v>
      </c>
      <c r="B58" t="s">
        <v>330</v>
      </c>
      <c r="C58">
        <v>14522048</v>
      </c>
      <c r="D58">
        <v>14522048</v>
      </c>
      <c r="E58">
        <v>14</v>
      </c>
      <c r="F58">
        <v>9560000</v>
      </c>
      <c r="G58">
        <v>7515000</v>
      </c>
      <c r="H58">
        <v>10.71</v>
      </c>
    </row>
    <row r="59" spans="1:8" x14ac:dyDescent="0.45">
      <c r="A59">
        <v>2013</v>
      </c>
      <c r="B59" t="s">
        <v>331</v>
      </c>
      <c r="C59">
        <v>12924822</v>
      </c>
      <c r="D59">
        <v>12924822</v>
      </c>
      <c r="E59">
        <v>13.62</v>
      </c>
      <c r="F59">
        <v>9560000</v>
      </c>
      <c r="G59">
        <v>4440000</v>
      </c>
      <c r="H59">
        <v>10.71</v>
      </c>
    </row>
    <row r="60" spans="1:8" x14ac:dyDescent="0.45">
      <c r="A60">
        <v>2012</v>
      </c>
      <c r="B60" t="s">
        <v>332</v>
      </c>
      <c r="C60">
        <v>23126110</v>
      </c>
      <c r="D60">
        <v>23126110</v>
      </c>
      <c r="E60">
        <v>10.09</v>
      </c>
      <c r="F60">
        <v>39450000</v>
      </c>
      <c r="G60">
        <v>5576000</v>
      </c>
      <c r="H60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5"/>
  <sheetViews>
    <sheetView workbookViewId="0">
      <pane ySplit="2" topLeftCell="A3" activePane="bottomLeft" state="frozen"/>
      <selection pane="bottomLeft"/>
    </sheetView>
  </sheetViews>
  <sheetFormatPr defaultRowHeight="14.25" x14ac:dyDescent="0.45"/>
  <cols>
    <col min="1" max="1" width="34" customWidth="1"/>
    <col min="2" max="2" width="20" customWidth="1"/>
    <col min="3" max="3" width="26" customWidth="1"/>
    <col min="4" max="4" width="18" customWidth="1"/>
    <col min="5" max="5" width="28" customWidth="1"/>
  </cols>
  <sheetData>
    <row r="1" spans="1:5" x14ac:dyDescent="0.45">
      <c r="A1" s="3" t="s">
        <v>333</v>
      </c>
    </row>
    <row r="2" spans="1:5" x14ac:dyDescent="0.45">
      <c r="A2" s="5" t="s">
        <v>334</v>
      </c>
      <c r="B2" s="5" t="s">
        <v>335</v>
      </c>
      <c r="C2" s="5" t="s">
        <v>336</v>
      </c>
      <c r="D2" s="5" t="s">
        <v>337</v>
      </c>
      <c r="E2" s="5" t="s">
        <v>338</v>
      </c>
    </row>
    <row r="3" spans="1:5" x14ac:dyDescent="0.45">
      <c r="A3" t="s">
        <v>86</v>
      </c>
      <c r="B3">
        <v>870037</v>
      </c>
      <c r="C3">
        <v>86481149</v>
      </c>
      <c r="D3">
        <v>17444241.850000001</v>
      </c>
      <c r="E3">
        <v>469873669.97000003</v>
      </c>
    </row>
    <row r="4" spans="1:5" x14ac:dyDescent="0.45">
      <c r="A4" t="s">
        <v>88</v>
      </c>
      <c r="B4">
        <v>634114</v>
      </c>
      <c r="C4">
        <v>51272316</v>
      </c>
      <c r="D4">
        <v>12713985.699999999</v>
      </c>
      <c r="E4">
        <v>310413724.97000003</v>
      </c>
    </row>
    <row r="5" spans="1:5" x14ac:dyDescent="0.45">
      <c r="A5" t="s">
        <v>112</v>
      </c>
      <c r="B5">
        <v>502730</v>
      </c>
      <c r="C5">
        <v>43590682</v>
      </c>
      <c r="D5">
        <v>10079736.5</v>
      </c>
      <c r="E5">
        <v>246136191.65000001</v>
      </c>
    </row>
    <row r="6" spans="1:5" x14ac:dyDescent="0.45">
      <c r="A6" t="s">
        <v>110</v>
      </c>
      <c r="B6">
        <v>2782327</v>
      </c>
      <c r="C6">
        <v>264974892</v>
      </c>
      <c r="D6">
        <v>55785656.350000001</v>
      </c>
      <c r="E6">
        <v>1413913325.47</v>
      </c>
    </row>
    <row r="7" spans="1:5" x14ac:dyDescent="0.45">
      <c r="A7" t="s">
        <v>108</v>
      </c>
      <c r="B7">
        <v>2150772</v>
      </c>
      <c r="C7">
        <v>216223402</v>
      </c>
      <c r="D7">
        <v>43122978.600000001</v>
      </c>
      <c r="E7">
        <v>1162142982.9000001</v>
      </c>
    </row>
    <row r="8" spans="1:5" x14ac:dyDescent="0.45">
      <c r="A8" t="s">
        <v>130</v>
      </c>
      <c r="B8">
        <v>725342</v>
      </c>
      <c r="C8">
        <v>61911412</v>
      </c>
      <c r="D8">
        <v>14543107.1</v>
      </c>
      <c r="E8">
        <v>362646811.13999999</v>
      </c>
    </row>
    <row r="9" spans="1:5" x14ac:dyDescent="0.45">
      <c r="A9" t="s">
        <v>132</v>
      </c>
      <c r="B9">
        <v>2984471</v>
      </c>
      <c r="C9">
        <v>114644934</v>
      </c>
      <c r="D9">
        <v>59838643.549999997</v>
      </c>
      <c r="E9">
        <v>945340434.19000006</v>
      </c>
    </row>
    <row r="10" spans="1:5" x14ac:dyDescent="0.45">
      <c r="A10" t="s">
        <v>138</v>
      </c>
      <c r="B10">
        <v>4845845</v>
      </c>
      <c r="C10">
        <v>494923792</v>
      </c>
      <c r="D10">
        <v>97159192.25</v>
      </c>
      <c r="E10">
        <v>2650686753.3899999</v>
      </c>
    </row>
    <row r="11" spans="1:5" x14ac:dyDescent="0.45">
      <c r="A11" t="s">
        <v>148</v>
      </c>
      <c r="B11">
        <v>347656</v>
      </c>
      <c r="C11">
        <v>28268588</v>
      </c>
      <c r="D11">
        <v>6970502.7999999998</v>
      </c>
      <c r="E11">
        <v>173899940.56999999</v>
      </c>
    </row>
    <row r="12" spans="1:5" x14ac:dyDescent="0.45">
      <c r="A12" t="s">
        <v>162</v>
      </c>
      <c r="B12">
        <v>100314</v>
      </c>
      <c r="C12">
        <v>9952168</v>
      </c>
      <c r="D12">
        <v>2011295.7</v>
      </c>
      <c r="E12">
        <v>53611148.880000003</v>
      </c>
    </row>
    <row r="13" spans="1:5" x14ac:dyDescent="0.45">
      <c r="A13" s="3" t="s">
        <v>339</v>
      </c>
      <c r="B13" s="3">
        <v>15943608</v>
      </c>
      <c r="C13" s="3">
        <v>1372243335</v>
      </c>
      <c r="D13" s="3">
        <v>319669340.39999998</v>
      </c>
      <c r="E13" s="3">
        <v>7788664983.1300001</v>
      </c>
    </row>
    <row r="14" spans="1:5" x14ac:dyDescent="0.45">
      <c r="A14" s="3" t="s">
        <v>340</v>
      </c>
      <c r="B14" s="3"/>
      <c r="C14" s="3">
        <v>68122314</v>
      </c>
      <c r="D14" s="3"/>
      <c r="E14" s="3">
        <v>827721191.32000005</v>
      </c>
    </row>
    <row r="15" spans="1:5" x14ac:dyDescent="0.45">
      <c r="A15" s="3" t="s">
        <v>341</v>
      </c>
      <c r="B15" s="3"/>
      <c r="C15" s="3">
        <v>1440365649</v>
      </c>
      <c r="D15" s="3"/>
      <c r="E15" s="3">
        <v>8616386174.4500008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9"/>
  <sheetViews>
    <sheetView workbookViewId="0"/>
  </sheetViews>
  <sheetFormatPr defaultRowHeight="14.25" x14ac:dyDescent="0.45"/>
  <cols>
    <col min="1" max="1" width="56" customWidth="1"/>
    <col min="2" max="2" width="40" customWidth="1"/>
  </cols>
  <sheetData>
    <row r="1" spans="1:2" x14ac:dyDescent="0.45">
      <c r="A1" s="3" t="s">
        <v>342</v>
      </c>
    </row>
    <row r="2" spans="1:2" x14ac:dyDescent="0.45">
      <c r="A2" t="s">
        <v>176</v>
      </c>
      <c r="B2" t="s">
        <v>343</v>
      </c>
    </row>
    <row r="3" spans="1:2" x14ac:dyDescent="0.45">
      <c r="A3" t="s">
        <v>344</v>
      </c>
      <c r="B3" s="7">
        <v>46177</v>
      </c>
    </row>
    <row r="4" spans="1:2" x14ac:dyDescent="0.45">
      <c r="A4" t="s">
        <v>345</v>
      </c>
      <c r="B4" s="10">
        <v>64.56</v>
      </c>
    </row>
    <row r="5" spans="1:2" x14ac:dyDescent="0.45">
      <c r="A5" t="s">
        <v>346</v>
      </c>
      <c r="B5">
        <f>Keys!$B$61</f>
        <v>0.68510367835099995</v>
      </c>
    </row>
    <row r="6" spans="1:2" x14ac:dyDescent="0.45">
      <c r="A6" t="s">
        <v>347</v>
      </c>
      <c r="B6" s="3">
        <f>B4*B5</f>
        <v>44.230293474340556</v>
      </c>
    </row>
    <row r="7" spans="1:2" x14ac:dyDescent="0.45">
      <c r="A7" t="s">
        <v>348</v>
      </c>
      <c r="B7">
        <v>30</v>
      </c>
    </row>
    <row r="8" spans="1:2" x14ac:dyDescent="0.45">
      <c r="A8" t="s">
        <v>349</v>
      </c>
      <c r="B8">
        <v>2023</v>
      </c>
    </row>
    <row r="9" spans="1:2" x14ac:dyDescent="0.45">
      <c r="A9" t="s">
        <v>350</v>
      </c>
      <c r="B9" t="s">
        <v>351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F33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44" customWidth="1"/>
    <col min="2" max="4" width="16" customWidth="1"/>
  </cols>
  <sheetData>
    <row r="1" spans="1:4" x14ac:dyDescent="0.45">
      <c r="A1" s="3" t="s">
        <v>352</v>
      </c>
    </row>
    <row r="2" spans="1:4" x14ac:dyDescent="0.45">
      <c r="A2" s="3" t="s">
        <v>171</v>
      </c>
      <c r="B2" s="3" t="s">
        <v>353</v>
      </c>
      <c r="C2" s="3" t="s">
        <v>354</v>
      </c>
      <c r="D2" s="3" t="s">
        <v>355</v>
      </c>
    </row>
    <row r="3" spans="1:4" x14ac:dyDescent="0.45">
      <c r="A3">
        <v>2018</v>
      </c>
      <c r="B3">
        <f>AVERAGEIFS(RGGI_auctions!$G:$G,RGGI_auctions!$A:$A,A3)</f>
        <v>4.415</v>
      </c>
      <c r="C3">
        <f>B3*Keys!$B$53</f>
        <v>4.0367552875865664</v>
      </c>
      <c r="D3">
        <f>C3*Keys!$D$53</f>
        <v>3.6620636617927813</v>
      </c>
    </row>
    <row r="4" spans="1:4" x14ac:dyDescent="0.45">
      <c r="A4">
        <v>2019</v>
      </c>
      <c r="B4">
        <f>AVERAGEIFS(RGGI_auctions!$G:$G,RGGI_auctions!$A:$A,A4)</f>
        <v>5.4249999999999998</v>
      </c>
      <c r="C4">
        <f>B4*Keys!$B$54</f>
        <v>4.871947374802958</v>
      </c>
      <c r="D4">
        <f>C4*Keys!$D$53</f>
        <v>4.4197332194737475</v>
      </c>
    </row>
    <row r="5" spans="1:4" x14ac:dyDescent="0.45">
      <c r="A5">
        <v>2020</v>
      </c>
      <c r="B5">
        <f>AVERAGEIFS(RGGI_auctions!$G:$G,RGGI_auctions!$A:$A,A5)</f>
        <v>6.4075000000000006</v>
      </c>
      <c r="C5">
        <f>B5*Keys!$B$55</f>
        <v>5.6841616275969731</v>
      </c>
      <c r="D5">
        <f>C5*Keys!$D$53</f>
        <v>5.1565577453234219</v>
      </c>
    </row>
    <row r="6" spans="1:4" x14ac:dyDescent="0.45">
      <c r="A6">
        <v>2021</v>
      </c>
      <c r="B6">
        <f>AVERAGEIFS(RGGI_auctions!$G:$G,RGGI_auctions!$A:$A,A6)</f>
        <v>9.4674999999999994</v>
      </c>
      <c r="C6">
        <f>B6*Keys!$B$56</f>
        <v>8.0218518470679392</v>
      </c>
      <c r="D6">
        <f>C6*Keys!$D$53</f>
        <v>7.2772635586230932</v>
      </c>
    </row>
    <row r="7" spans="1:4" x14ac:dyDescent="0.45">
      <c r="A7">
        <v>2022</v>
      </c>
      <c r="B7">
        <f>AVERAGEIFS(RGGI_auctions!$G:$G,RGGI_auctions!$A:$A,A7)</f>
        <v>13.459999999999999</v>
      </c>
      <c r="C7">
        <f>B7*Keys!$B$57</f>
        <v>10.559652970220908</v>
      </c>
      <c r="D7">
        <f>C7*Keys!$D$53</f>
        <v>9.5795059815250028</v>
      </c>
    </row>
    <row r="8" spans="1:4" x14ac:dyDescent="0.45">
      <c r="A8">
        <v>2023</v>
      </c>
      <c r="B8">
        <f>AVERAGEIFS(RGGI_auctions!$G:$G,RGGI_auctions!$A:$A,A8)</f>
        <v>13.49</v>
      </c>
      <c r="C8">
        <f>B8*Keys!$B$58</f>
        <v>10.164761176493755</v>
      </c>
      <c r="D8">
        <f>C8*Keys!$D$53</f>
        <v>9.2212680440916053</v>
      </c>
    </row>
    <row r="9" spans="1:4" x14ac:dyDescent="0.45">
      <c r="A9">
        <v>2024</v>
      </c>
      <c r="B9">
        <f>AVERAGEIFS(RGGI_auctions!$G:$G,RGGI_auctions!$A:$A,A9)</f>
        <v>20.7075</v>
      </c>
      <c r="C9">
        <f>B9*Keys!$B$59</f>
        <v>15.155619238121174</v>
      </c>
      <c r="D9">
        <f>C9*Keys!$D$53</f>
        <v>13.748874660438766</v>
      </c>
    </row>
    <row r="10" spans="1:4" x14ac:dyDescent="0.45">
      <c r="A10">
        <v>2025</v>
      </c>
      <c r="B10">
        <f>AVERAGEIFS(RGGI_auctions!$G:$G,RGGI_auctions!$A:$A,A10)</f>
        <v>22.092500000000001</v>
      </c>
      <c r="C10">
        <f>B10*Keys!$B$60</f>
        <v>15.752501381976602</v>
      </c>
      <c r="D10">
        <f>C10*Keys!$D$53</f>
        <v>14.290354203701533</v>
      </c>
    </row>
    <row r="12" spans="1:4" x14ac:dyDescent="0.45">
      <c r="A12" t="s">
        <v>356</v>
      </c>
      <c r="B12">
        <f>SLOPE(D3:D10,A3:A10)</f>
        <v>1.6135727894927716</v>
      </c>
    </row>
    <row r="13" spans="1:4" x14ac:dyDescent="0.45">
      <c r="A13" t="s">
        <v>357</v>
      </c>
      <c r="B13">
        <f>INTERCEPT(D3:D10,A3:A10)</f>
        <v>-3253.4179413252664</v>
      </c>
    </row>
    <row r="15" spans="1:4" x14ac:dyDescent="0.45">
      <c r="A15" s="3" t="s">
        <v>358</v>
      </c>
    </row>
    <row r="16" spans="1:4" x14ac:dyDescent="0.45">
      <c r="A16" s="3" t="s">
        <v>171</v>
      </c>
      <c r="B16" s="3" t="s">
        <v>359</v>
      </c>
      <c r="C16" s="3" t="s">
        <v>355</v>
      </c>
    </row>
    <row r="17" spans="1:32" x14ac:dyDescent="0.45">
      <c r="A17">
        <v>2018</v>
      </c>
      <c r="B17">
        <f>AVERAGEIFS(CA_auctions!$E:$E,CA_auctions!$A:$A,A17)</f>
        <v>14.904999999999999</v>
      </c>
      <c r="C17">
        <f>B17*Keys!$B$53</f>
        <v>13.62804927779791</v>
      </c>
    </row>
    <row r="18" spans="1:32" x14ac:dyDescent="0.45">
      <c r="A18">
        <v>2019</v>
      </c>
      <c r="B18">
        <f>AVERAGEIFS(CA_auctions!$E:$E,CA_auctions!$A:$A,A18)</f>
        <v>16.835000000000001</v>
      </c>
      <c r="C18">
        <f>B18*Keys!$B$54</f>
        <v>15.11875282116273</v>
      </c>
    </row>
    <row r="19" spans="1:32" x14ac:dyDescent="0.45">
      <c r="A19">
        <v>2020</v>
      </c>
      <c r="B19">
        <f>AVERAGEIFS(CA_auctions!$E:$E,CA_auctions!$A:$A,A19)</f>
        <v>17.04</v>
      </c>
      <c r="C19">
        <f>B19*Keys!$B$55</f>
        <v>15.116365842255545</v>
      </c>
    </row>
    <row r="20" spans="1:32" x14ac:dyDescent="0.45">
      <c r="A20">
        <v>2021</v>
      </c>
      <c r="B20">
        <f>AVERAGEIFS(CA_auctions!$E:$E,CA_auctions!$A:$A,A20)</f>
        <v>22.04</v>
      </c>
      <c r="C20">
        <f>B20*Keys!$B$56</f>
        <v>18.674583016570097</v>
      </c>
    </row>
    <row r="21" spans="1:32" x14ac:dyDescent="0.45">
      <c r="A21">
        <v>2022</v>
      </c>
      <c r="B21">
        <f>AVERAGEIFS(CA_auctions!$E:$E,CA_auctions!$A:$A,A21)</f>
        <v>28.450000000000003</v>
      </c>
      <c r="C21">
        <f>B21*Keys!$B$57</f>
        <v>22.319623105704672</v>
      </c>
    </row>
    <row r="22" spans="1:32" x14ac:dyDescent="0.45">
      <c r="A22">
        <v>2023</v>
      </c>
      <c r="B22">
        <f>AVERAGEIFS(CA_auctions!$E:$E,CA_auctions!$A:$A,A22)</f>
        <v>33.027500000000003</v>
      </c>
      <c r="C22">
        <f>B22*Keys!$B$58</f>
        <v>24.886334303680318</v>
      </c>
    </row>
    <row r="23" spans="1:32" x14ac:dyDescent="0.45">
      <c r="A23">
        <v>2024</v>
      </c>
      <c r="B23">
        <f>AVERAGEIFS(CA_auctions!$E:$E,CA_auctions!$A:$A,A23)</f>
        <v>35.232500000000002</v>
      </c>
      <c r="C23">
        <f>B23*Keys!$B$59</f>
        <v>25.786326442453426</v>
      </c>
    </row>
    <row r="24" spans="1:32" x14ac:dyDescent="0.45">
      <c r="A24">
        <v>2025</v>
      </c>
      <c r="B24">
        <f>AVERAGEIFS(CA_auctions!$E:$E,CA_auctions!$A:$A,A24)</f>
        <v>28.055</v>
      </c>
      <c r="C24">
        <f>B24*Keys!$B$60</f>
        <v>20.003912018619602</v>
      </c>
    </row>
    <row r="25" spans="1:32" x14ac:dyDescent="0.45">
      <c r="A25" t="s">
        <v>356</v>
      </c>
      <c r="B25">
        <f>SLOPE(C17:C24,A17:A24)</f>
        <v>1.5586172948287402</v>
      </c>
    </row>
    <row r="26" spans="1:32" x14ac:dyDescent="0.45">
      <c r="A26" t="s">
        <v>357</v>
      </c>
      <c r="B26">
        <f>INTERCEPT(C17:C24,A17:A24)</f>
        <v>-3131.3031181427677</v>
      </c>
    </row>
    <row r="28" spans="1:32" x14ac:dyDescent="0.45">
      <c r="A28" s="3" t="s">
        <v>360</v>
      </c>
    </row>
    <row r="29" spans="1:32" x14ac:dyDescent="0.45">
      <c r="A29" s="3" t="s">
        <v>72</v>
      </c>
      <c r="B29" s="3">
        <v>2020</v>
      </c>
      <c r="C29" s="3">
        <v>2021</v>
      </c>
      <c r="D29" s="3">
        <v>2022</v>
      </c>
      <c r="E29" s="3">
        <v>2023</v>
      </c>
      <c r="F29" s="3">
        <v>2024</v>
      </c>
      <c r="G29" s="3">
        <v>2025</v>
      </c>
      <c r="H29" s="3">
        <v>2026</v>
      </c>
      <c r="I29" s="3">
        <v>2027</v>
      </c>
      <c r="J29" s="3">
        <v>2028</v>
      </c>
      <c r="K29" s="3">
        <v>2029</v>
      </c>
      <c r="L29" s="3">
        <v>2030</v>
      </c>
      <c r="M29" s="3">
        <v>2031</v>
      </c>
      <c r="N29" s="3">
        <v>2032</v>
      </c>
      <c r="O29" s="3">
        <v>2033</v>
      </c>
      <c r="P29" s="3">
        <v>2034</v>
      </c>
      <c r="Q29" s="3">
        <v>2035</v>
      </c>
      <c r="R29" s="3">
        <v>2036</v>
      </c>
      <c r="S29" s="3">
        <v>2037</v>
      </c>
      <c r="T29" s="3">
        <v>2038</v>
      </c>
      <c r="U29" s="3">
        <v>2039</v>
      </c>
      <c r="V29" s="3">
        <v>2040</v>
      </c>
      <c r="W29" s="3">
        <v>2041</v>
      </c>
      <c r="X29" s="3">
        <v>2042</v>
      </c>
      <c r="Y29" s="3">
        <v>2043</v>
      </c>
      <c r="Z29" s="3">
        <v>2044</v>
      </c>
      <c r="AA29" s="3">
        <v>2045</v>
      </c>
      <c r="AB29" s="3">
        <v>2046</v>
      </c>
      <c r="AC29" s="3">
        <v>2047</v>
      </c>
      <c r="AD29" s="3">
        <v>2048</v>
      </c>
      <c r="AE29" s="3">
        <v>2049</v>
      </c>
      <c r="AF29" s="3">
        <v>2050</v>
      </c>
    </row>
    <row r="30" spans="1:32" x14ac:dyDescent="0.45">
      <c r="A30" s="3" t="s">
        <v>76</v>
      </c>
      <c r="B30">
        <f>D5</f>
        <v>5.1565577453234219</v>
      </c>
      <c r="C30">
        <f>D6</f>
        <v>7.2772635586230932</v>
      </c>
      <c r="D30">
        <f>D7</f>
        <v>9.5795059815250028</v>
      </c>
      <c r="E30">
        <f>D8</f>
        <v>9.2212680440916053</v>
      </c>
      <c r="F30">
        <f>D9</f>
        <v>13.748874660438766</v>
      </c>
      <c r="G30">
        <f>D10</f>
        <v>14.290354203701533</v>
      </c>
      <c r="H30">
        <f>2026*$B$12+$B$13</f>
        <v>15.680530187089062</v>
      </c>
      <c r="I30">
        <f>2027*$B$12+$B$13</f>
        <v>17.294102976581598</v>
      </c>
      <c r="J30">
        <f>2028*$B$12+$B$13</f>
        <v>18.90767576607459</v>
      </c>
      <c r="K30">
        <f>2029*$B$12+$B$13</f>
        <v>20.521248555567126</v>
      </c>
      <c r="L30">
        <f>2030*$B$12+$B$13</f>
        <v>22.134821345060118</v>
      </c>
      <c r="M30">
        <f>2031*$B$12+$B$13</f>
        <v>23.748394134552655</v>
      </c>
      <c r="N30">
        <f>2032*$B$12+$B$13</f>
        <v>25.361966924045646</v>
      </c>
      <c r="O30">
        <f>2033*$B$12+$B$13</f>
        <v>26.975539713538183</v>
      </c>
      <c r="P30">
        <f>2034*$B$12+$B$13</f>
        <v>28.589112503031174</v>
      </c>
      <c r="Q30">
        <f>2035*$B$12+$B$13</f>
        <v>30.202685292523711</v>
      </c>
      <c r="R30">
        <f>2036*$B$12+$B$13</f>
        <v>31.816258082016702</v>
      </c>
      <c r="S30">
        <f>2037*$B$12+$B$13</f>
        <v>33.429830871509239</v>
      </c>
      <c r="T30">
        <f>2038*$B$12+$B$13</f>
        <v>35.04340366100223</v>
      </c>
      <c r="U30">
        <f>2039*$B$12+$B$13</f>
        <v>36.656976450494767</v>
      </c>
      <c r="V30">
        <f>2040*$B$12+$B$13</f>
        <v>38.270549239987758</v>
      </c>
      <c r="W30">
        <f>2041*$B$12+$B$13</f>
        <v>39.884122029480295</v>
      </c>
      <c r="X30">
        <f>2042*$B$12+$B$13</f>
        <v>41.497694818973287</v>
      </c>
      <c r="Y30">
        <f>2043*$B$12+$B$13</f>
        <v>43.111267608465823</v>
      </c>
      <c r="Z30">
        <f>2044*$B$12+$B$13</f>
        <v>44.724840397958815</v>
      </c>
      <c r="AA30">
        <f>2045*$B$12+$B$13</f>
        <v>46.338413187451351</v>
      </c>
      <c r="AB30">
        <f>2046*$B$12+$B$13</f>
        <v>47.951985976944343</v>
      </c>
      <c r="AC30">
        <f>2047*$B$12+$B$13</f>
        <v>49.56555876643688</v>
      </c>
      <c r="AD30">
        <f>2048*$B$12+$B$13</f>
        <v>51.179131555929871</v>
      </c>
      <c r="AE30">
        <f>2049*$B$12+$B$13</f>
        <v>52.792704345422862</v>
      </c>
      <c r="AF30">
        <f>2050*$B$12+$B$13</f>
        <v>54.406277134915399</v>
      </c>
    </row>
    <row r="31" spans="1:32" x14ac:dyDescent="0.45">
      <c r="A31" s="3" t="s">
        <v>79</v>
      </c>
      <c r="B31">
        <f>C19</f>
        <v>15.116365842255545</v>
      </c>
      <c r="C31">
        <f>C20</f>
        <v>18.674583016570097</v>
      </c>
      <c r="D31">
        <f>C21</f>
        <v>22.319623105704672</v>
      </c>
      <c r="E31">
        <f>C22</f>
        <v>24.886334303680318</v>
      </c>
      <c r="F31">
        <f>C23</f>
        <v>25.786326442453426</v>
      </c>
      <c r="G31">
        <f>C24</f>
        <v>20.003912018619602</v>
      </c>
      <c r="H31">
        <f>2026*$B$25+$B$26</f>
        <v>26.455521180259893</v>
      </c>
      <c r="I31">
        <f>2027*$B$25+$B$26</f>
        <v>28.014138475088657</v>
      </c>
      <c r="J31">
        <f>2028*$B$25+$B$26</f>
        <v>29.572755769917421</v>
      </c>
      <c r="K31">
        <f>2029*$B$25+$B$26</f>
        <v>31.131373064746185</v>
      </c>
      <c r="L31">
        <f>2030*$B$25+$B$26</f>
        <v>32.689990359574949</v>
      </c>
      <c r="M31">
        <f t="shared" ref="M31:AF31" si="0">L31</f>
        <v>32.689990359574949</v>
      </c>
      <c r="N31">
        <f t="shared" si="0"/>
        <v>32.689990359574949</v>
      </c>
      <c r="O31">
        <f t="shared" si="0"/>
        <v>32.689990359574949</v>
      </c>
      <c r="P31">
        <f t="shared" si="0"/>
        <v>32.689990359574949</v>
      </c>
      <c r="Q31">
        <f t="shared" si="0"/>
        <v>32.689990359574949</v>
      </c>
      <c r="R31">
        <f t="shared" si="0"/>
        <v>32.689990359574949</v>
      </c>
      <c r="S31">
        <f t="shared" si="0"/>
        <v>32.689990359574949</v>
      </c>
      <c r="T31">
        <f t="shared" si="0"/>
        <v>32.689990359574949</v>
      </c>
      <c r="U31">
        <f t="shared" si="0"/>
        <v>32.689990359574949</v>
      </c>
      <c r="V31">
        <f t="shared" si="0"/>
        <v>32.689990359574949</v>
      </c>
      <c r="W31">
        <f t="shared" si="0"/>
        <v>32.689990359574949</v>
      </c>
      <c r="X31">
        <f t="shared" si="0"/>
        <v>32.689990359574949</v>
      </c>
      <c r="Y31">
        <f t="shared" si="0"/>
        <v>32.689990359574949</v>
      </c>
      <c r="Z31">
        <f t="shared" si="0"/>
        <v>32.689990359574949</v>
      </c>
      <c r="AA31">
        <f t="shared" si="0"/>
        <v>32.689990359574949</v>
      </c>
      <c r="AB31">
        <f t="shared" si="0"/>
        <v>32.689990359574949</v>
      </c>
      <c r="AC31">
        <f t="shared" si="0"/>
        <v>32.689990359574949</v>
      </c>
      <c r="AD31">
        <f t="shared" si="0"/>
        <v>32.689990359574949</v>
      </c>
      <c r="AE31">
        <f t="shared" si="0"/>
        <v>32.689990359574949</v>
      </c>
      <c r="AF31">
        <f t="shared" si="0"/>
        <v>32.689990359574949</v>
      </c>
    </row>
    <row r="32" spans="1:32" x14ac:dyDescent="0.45">
      <c r="A32" s="3" t="s">
        <v>82</v>
      </c>
      <c r="B32">
        <v>0</v>
      </c>
      <c r="C32">
        <v>0</v>
      </c>
      <c r="D32">
        <v>0</v>
      </c>
      <c r="E32">
        <f>WA_prices!$B$6</f>
        <v>44.230293474340556</v>
      </c>
      <c r="F32">
        <f>WA_prices!$B$6</f>
        <v>44.230293474340556</v>
      </c>
      <c r="G32">
        <f>WA_prices!$B$6</f>
        <v>44.230293474340556</v>
      </c>
      <c r="H32">
        <f>WA_prices!$B$6</f>
        <v>44.230293474340556</v>
      </c>
      <c r="I32">
        <f>WA_prices!$B$6</f>
        <v>44.230293474340556</v>
      </c>
      <c r="J32">
        <f>WA_prices!$B$6</f>
        <v>44.230293474340556</v>
      </c>
      <c r="K32">
        <f>WA_prices!$B$6</f>
        <v>44.230293474340556</v>
      </c>
      <c r="L32">
        <f>WA_prices!$B$6</f>
        <v>44.230293474340556</v>
      </c>
      <c r="M32">
        <f>WA_prices!$B$6</f>
        <v>44.230293474340556</v>
      </c>
      <c r="N32">
        <f>WA_prices!$B$6</f>
        <v>44.230293474340556</v>
      </c>
      <c r="O32">
        <f>WA_prices!$B$6</f>
        <v>44.230293474340556</v>
      </c>
      <c r="P32">
        <f>WA_prices!$B$6</f>
        <v>44.230293474340556</v>
      </c>
      <c r="Q32">
        <f>WA_prices!$B$6</f>
        <v>44.230293474340556</v>
      </c>
      <c r="R32">
        <f>WA_prices!$B$6</f>
        <v>44.230293474340556</v>
      </c>
      <c r="S32">
        <f>WA_prices!$B$6</f>
        <v>44.230293474340556</v>
      </c>
      <c r="T32">
        <f>WA_prices!$B$6</f>
        <v>44.230293474340556</v>
      </c>
      <c r="U32">
        <f>WA_prices!$B$6</f>
        <v>44.230293474340556</v>
      </c>
      <c r="V32">
        <f>WA_prices!$B$6</f>
        <v>44.230293474340556</v>
      </c>
      <c r="W32">
        <f>WA_prices!$B$6</f>
        <v>44.230293474340556</v>
      </c>
      <c r="X32">
        <f>WA_prices!$B$6</f>
        <v>44.230293474340556</v>
      </c>
      <c r="Y32">
        <f>WA_prices!$B$6</f>
        <v>44.230293474340556</v>
      </c>
      <c r="Z32">
        <f>WA_prices!$B$6</f>
        <v>44.230293474340556</v>
      </c>
      <c r="AA32">
        <f>WA_prices!$B$6</f>
        <v>44.230293474340556</v>
      </c>
      <c r="AB32">
        <f>WA_prices!$B$6</f>
        <v>44.230293474340556</v>
      </c>
      <c r="AC32">
        <f>WA_prices!$B$6</f>
        <v>44.230293474340556</v>
      </c>
      <c r="AD32">
        <f>WA_prices!$B$6</f>
        <v>44.230293474340556</v>
      </c>
      <c r="AE32">
        <f>WA_prices!$B$6</f>
        <v>44.230293474340556</v>
      </c>
      <c r="AF32">
        <f>WA_prices!$B$6</f>
        <v>44.230293474340556</v>
      </c>
    </row>
    <row r="33" spans="1:32" x14ac:dyDescent="0.45">
      <c r="A33" s="3" t="s">
        <v>75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About</vt:lpstr>
      <vt:lpstr>BCTR</vt:lpstr>
      <vt:lpstr>Keys</vt:lpstr>
      <vt:lpstr>RGGI_auctions</vt:lpstr>
      <vt:lpstr>CA_auctions</vt:lpstr>
      <vt:lpstr>RGGI_Auction66_states</vt:lpstr>
      <vt:lpstr>WA_prices</vt:lpstr>
      <vt:lpstr>Calcs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Olivia Ashmoore</cp:lastModifiedBy>
  <dcterms:created xsi:type="dcterms:W3CDTF">2026-06-17T15:52:47Z</dcterms:created>
  <dcterms:modified xsi:type="dcterms:W3CDTF">2026-06-17T16:05:53Z</dcterms:modified>
</cp:coreProperties>
</file>