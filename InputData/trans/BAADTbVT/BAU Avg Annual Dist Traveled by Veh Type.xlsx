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AADTbVT\"/>
    </mc:Choice>
  </mc:AlternateContent>
  <xr:revisionPtr revIDLastSave="0" documentId="8_{8254843B-0406-4613-929D-1629A9EF417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<sst xmlns="http://schemas.openxmlformats.org/spreadsheetml/2006/main" count="55499" uniqueCount="1966">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</sst>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106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ND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4929000000000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46312000000000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47832000000000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58524116075880.758</v>
      </c>
      <c r="F21" s="26">
        <f t="shared" ref="F21" si="0">IFERROR(F101*F117*F132/F86,0)</f>
        <v>555950730565.78296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137608940820.17175</v>
      </c>
      <c r="F22" s="33">
        <f t="shared" si="1"/>
        <v>900592828792.97058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1033041339577.5074</v>
      </c>
      <c r="F25" s="90">
        <f t="shared" si="1"/>
        <v>251838549914.08646</v>
      </c>
      <c r="G25" s="22"/>
    </row>
    <row r="26" spans="2:9">
      <c r="D26" s="23" t="s">
        <v>43</v>
      </c>
      <c r="E26" s="28">
        <f t="shared" si="1"/>
        <v>270776329026.38654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1981923227613.5139</v>
      </c>
      <c r="F27" s="29">
        <f t="shared" si="1"/>
        <v>1764417514213.2488</v>
      </c>
      <c r="G27" s="20"/>
    </row>
    <row r="28" spans="2:9">
      <c r="D28" s="21" t="s">
        <v>50</v>
      </c>
      <c r="E28" s="33">
        <f t="shared" si="1"/>
        <v>173443727028.44662</v>
      </c>
      <c r="F28" s="33">
        <f t="shared" si="1"/>
        <v>22175393747598.344</v>
      </c>
      <c r="G28" s="22"/>
    </row>
    <row r="29" spans="2:9">
      <c r="D29" s="21" t="s">
        <v>73</v>
      </c>
      <c r="E29" s="33"/>
      <c r="F29" s="33"/>
      <c r="G29" s="22">
        <f t="shared" si="1"/>
        <v>801072661459.93835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3895147955130.0635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62120909639946.781</v>
      </c>
      <c r="F32" s="92">
        <f t="shared" ref="F32:G32" si="2">SUM(F21:F31)</f>
        <v>29543341326214.496</v>
      </c>
      <c r="G32" s="92">
        <f t="shared" si="2"/>
        <v>6812344850608.4355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0.94210011435902885</v>
      </c>
      <c r="F37" s="94">
        <f t="shared" ref="F37:G37" si="3">F21/F$32</f>
        <v>1.881813991271444E-2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2.2151791018153811E-3</v>
      </c>
      <c r="F38" s="110">
        <f t="shared" ref="F38:G47" si="5">F22/F$32</f>
        <v>3.048378376869151E-2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0.88240867439522064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1.6629526926843507E-2</v>
      </c>
      <c r="F41" s="37">
        <f t="shared" si="5"/>
        <v>8.5243760051820616E-3</v>
      </c>
      <c r="G41" s="96">
        <f t="shared" si="5"/>
        <v>0</v>
      </c>
    </row>
    <row r="42" spans="3:41">
      <c r="D42" s="23" t="s">
        <v>43</v>
      </c>
      <c r="E42" s="113">
        <f t="shared" si="4"/>
        <v>4.3588596914598968E-3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3.1904285354170676E-2</v>
      </c>
      <c r="F43" s="94">
        <f t="shared" si="5"/>
        <v>5.9723018284585164E-2</v>
      </c>
      <c r="G43" s="95">
        <f t="shared" si="5"/>
        <v>0</v>
      </c>
    </row>
    <row r="44" spans="3:41">
      <c r="D44" s="21" t="s">
        <v>50</v>
      </c>
      <c r="E44" s="37">
        <f t="shared" si="4"/>
        <v>2.7920345666817767E-3</v>
      </c>
      <c r="F44" s="110">
        <f t="shared" si="5"/>
        <v>0.75060547494408159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0.11759132560477933</v>
      </c>
    </row>
    <row r="46" spans="3:41">
      <c r="D46" s="21" t="s">
        <v>55</v>
      </c>
      <c r="E46" s="37">
        <f t="shared" si="4"/>
        <v>0</v>
      </c>
      <c r="F46" s="110">
        <f t="shared" si="5"/>
        <v>0.13184520708474529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45062532670021.07</v>
      </c>
      <c r="F53" s="89">
        <f>F37*$E$12</f>
        <v>871505695637.6311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105956446798.03331</v>
      </c>
      <c r="F54" s="100">
        <f t="shared" ref="F54:F62" si="8">F38*$E$12</f>
        <v>1411764993895.6411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4349392356094.0425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795423531964.77856</v>
      </c>
      <c r="F57" s="100">
        <f t="shared" si="8"/>
        <v>394780901551.99164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208492976761.90979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1526045777060.6919</v>
      </c>
      <c r="F59" s="89">
        <f t="shared" si="8"/>
        <v>2765892422795.708</v>
      </c>
      <c r="G59" s="99">
        <f t="shared" si="9"/>
        <v>0</v>
      </c>
    </row>
    <row r="60" spans="3:41">
      <c r="D60" s="21" t="s">
        <v>50</v>
      </c>
      <c r="E60" s="100">
        <f t="shared" si="7"/>
        <v>133548597393.52274</v>
      </c>
      <c r="F60" s="100">
        <f t="shared" si="8"/>
        <v>34762040755610.305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579607643905.9574</v>
      </c>
    </row>
    <row r="62" spans="3:41">
      <c r="D62" s="21" t="s">
        <v>55</v>
      </c>
      <c r="E62" s="100">
        <f t="shared" si="7"/>
        <v>0</v>
      </c>
      <c r="F62" s="100">
        <f t="shared" si="8"/>
        <v>6106015230508.7236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8742.3788728742329</v>
      </c>
      <c r="F69" s="104">
        <f t="shared" si="10"/>
        <v>17798.475879687372</v>
      </c>
      <c r="G69" s="105">
        <f t="shared" si="10"/>
        <v>0</v>
      </c>
    </row>
    <row r="70" spans="2:41">
      <c r="D70" s="21" t="s">
        <v>51</v>
      </c>
      <c r="E70" s="78">
        <f t="shared" si="10"/>
        <v>12597.680177831191</v>
      </c>
      <c r="F70" s="117">
        <f t="shared" si="10"/>
        <v>25647.42503677692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495626.66909007734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149.37656344350896</v>
      </c>
      <c r="F73" s="78">
        <f t="shared" si="10"/>
        <v>304.11346843925941</v>
      </c>
      <c r="G73" s="106">
        <f t="shared" si="10"/>
        <v>0</v>
      </c>
    </row>
    <row r="74" spans="2:41">
      <c r="D74" s="23" t="s">
        <v>43</v>
      </c>
      <c r="E74" s="119">
        <f t="shared" si="10"/>
        <v>6773.5341681059208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7543.5164538972049</v>
      </c>
      <c r="F75" s="104">
        <f t="shared" si="10"/>
        <v>15357.730156182601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27099.526548424223</v>
      </c>
      <c r="F76" s="117">
        <f t="shared" si="10"/>
        <v>55171.512998555329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643531.14898586692</v>
      </c>
    </row>
    <row r="78" spans="2:41">
      <c r="D78" s="21" t="s">
        <v>55</v>
      </c>
      <c r="E78" s="78">
        <f t="shared" si="10"/>
        <v>0</v>
      </c>
      <c r="F78" s="117">
        <f t="shared" si="10"/>
        <v>26656.956344379414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951004</v>
      </c>
      <c r="F101" s="76">
        <f>SUMIFS('all_csv_SYVbT-passenger'!F:F,'all_csv_SYVbT-passenger'!$B:$B,$D101,'all_csv_SYVbT-passenger'!$A:$A,About!$B$2)</f>
        <v>10249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338</v>
      </c>
      <c r="F102" s="78">
        <f>SUMIFS('all_csv_SYVbT-passenger'!F:F,'all_csv_SYVbT-passenger'!$B:$B,$D102,'all_csv_SYVbT-passenger'!$A:$A,About!$B$2)</f>
        <v>2683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63220</v>
      </c>
      <c r="F105" s="78">
        <f>SUMIFS('all_csv_SYVbT-passenger'!F:F,'all_csv_SYVbT-passenger'!$B:$B,$D105,'all_csv_SYVbT-passenger'!$A:$A,About!$B$2)</f>
        <v>15412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44166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18879</v>
      </c>
      <c r="F107" s="194">
        <f>SUMIFS('all_csv_SYVbT-freight'!F:F,'all_csv_SYVbT-freight'!$B:$B,$D107,'all_csv_SYVbT-freight'!$A:$A,About!$B$2)</f>
        <v>16135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207</v>
      </c>
      <c r="F108" s="197">
        <f>SUMIFS('all_csv_SYVbT-freight'!F:F,'all_csv_SYVbT-freight'!$B:$B,$D108,'all_csv_SYVbT-freight'!$A:$A,About!$B$2)</f>
        <v>29558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</v>
      </c>
      <c r="G109" s="198">
        <f>F109</f>
        <v>2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220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45062532670021.07</v>
      </c>
      <c r="F149" s="26">
        <f t="shared" si="18"/>
        <v>871505695637.63086</v>
      </c>
      <c r="G149" s="20"/>
    </row>
    <row r="150" spans="2:7">
      <c r="D150" s="21" t="s">
        <v>51</v>
      </c>
      <c r="E150" s="33">
        <f t="shared" si="18"/>
        <v>105956446798.03333</v>
      </c>
      <c r="F150" s="33">
        <f t="shared" si="18"/>
        <v>1411764993895.6411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4349392356094.0425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795423531964.77856</v>
      </c>
      <c r="F153" s="90">
        <f t="shared" si="18"/>
        <v>394780901551.99164</v>
      </c>
      <c r="G153" s="22"/>
    </row>
    <row r="154" spans="2:7">
      <c r="D154" s="23" t="s">
        <v>43</v>
      </c>
      <c r="E154" s="28">
        <f t="shared" si="18"/>
        <v>208492976761.90976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1526045777060.6919</v>
      </c>
      <c r="F155" s="29">
        <f t="shared" si="18"/>
        <v>2765892422795.708</v>
      </c>
      <c r="G155" s="20"/>
    </row>
    <row r="156" spans="2:7">
      <c r="D156" s="21" t="s">
        <v>50</v>
      </c>
      <c r="E156" s="33">
        <f t="shared" si="18"/>
        <v>133548597393.52275</v>
      </c>
      <c r="F156" s="33">
        <f t="shared" si="18"/>
        <v>34762040755610.305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579607643905.9574</v>
      </c>
    </row>
    <row r="158" spans="2:7">
      <c r="D158" s="21" t="s">
        <v>55</v>
      </c>
      <c r="E158" s="33">
        <f t="shared" si="18"/>
        <v>0</v>
      </c>
      <c r="F158" s="33">
        <f t="shared" si="18"/>
        <v>6106015230508.7246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47832000000000.008</v>
      </c>
      <c r="F160" s="92">
        <f>SUM(F149:F159)</f>
        <v>46312000000000</v>
      </c>
      <c r="G160" s="92">
        <f t="shared" ref="G160" si="19">SUM(G149:G159)</f>
        <v>4929000000000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8742.3788728742329</v>
      </c>
    </row>
    <row r="3" spans="1:2">
      <c r="A3" t="s">
        <v>39</v>
      </c>
      <c r="B3" s="8">
        <f>'BAADTbVT-passengers'!D3</f>
        <v>25647.42503677692</v>
      </c>
    </row>
    <row r="4" spans="1:2">
      <c r="A4" t="s">
        <v>40</v>
      </c>
      <c r="B4" s="8">
        <f>'BAADTbVT-passengers'!D4</f>
        <v>495626.66909007734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149.37656344350896</v>
      </c>
    </row>
    <row r="7" spans="1:2">
      <c r="A7" t="s">
        <v>43</v>
      </c>
      <c r="B7" s="8">
        <f>'BAADTbVT-passengers'!D7</f>
        <v>6773.5341681059208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7543.5164538972049</v>
      </c>
    </row>
    <row r="3" spans="1:2">
      <c r="A3" t="s">
        <v>39</v>
      </c>
      <c r="B3">
        <f>'BAADTbVT-freight'!D3</f>
        <v>55171.512998555329</v>
      </c>
    </row>
    <row r="4" spans="1:2">
      <c r="A4" t="s">
        <v>40</v>
      </c>
      <c r="B4">
        <f>'BAADTbVT-freight'!D4</f>
        <v>643531.14898586692</v>
      </c>
    </row>
    <row r="5" spans="1:2">
      <c r="A5" t="s">
        <v>41</v>
      </c>
      <c r="B5">
        <f>'BAADTbVT-freight'!D5</f>
        <v>26656.956344379414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8742.3788728742329</v>
      </c>
      <c r="C2" s="8">
        <f t="shared" ref="C2:L3" si="0">$B2</f>
        <v>8742.3788728742329</v>
      </c>
      <c r="D2" s="8">
        <f t="shared" si="0"/>
        <v>8742.3788728742329</v>
      </c>
      <c r="E2" s="8">
        <f t="shared" si="0"/>
        <v>8742.3788728742329</v>
      </c>
      <c r="F2" s="8">
        <f t="shared" si="0"/>
        <v>8742.3788728742329</v>
      </c>
      <c r="G2" s="8">
        <f t="shared" si="0"/>
        <v>8742.3788728742329</v>
      </c>
      <c r="H2" s="8">
        <f t="shared" si="0"/>
        <v>8742.3788728742329</v>
      </c>
      <c r="I2" s="8">
        <f t="shared" si="0"/>
        <v>8742.3788728742329</v>
      </c>
      <c r="J2" s="8">
        <f t="shared" si="0"/>
        <v>8742.3788728742329</v>
      </c>
      <c r="K2" s="8">
        <f t="shared" si="0"/>
        <v>8742.3788728742329</v>
      </c>
      <c r="L2" s="8">
        <f t="shared" si="0"/>
        <v>8742.3788728742329</v>
      </c>
      <c r="M2" s="8">
        <f t="shared" ref="M2:V3" si="1">$B2</f>
        <v>8742.3788728742329</v>
      </c>
      <c r="N2" s="8">
        <f t="shared" si="1"/>
        <v>8742.3788728742329</v>
      </c>
      <c r="O2" s="8">
        <f t="shared" si="1"/>
        <v>8742.3788728742329</v>
      </c>
      <c r="P2" s="8">
        <f t="shared" si="1"/>
        <v>8742.3788728742329</v>
      </c>
      <c r="Q2" s="8">
        <f t="shared" si="1"/>
        <v>8742.3788728742329</v>
      </c>
      <c r="R2" s="8">
        <f t="shared" si="1"/>
        <v>8742.3788728742329</v>
      </c>
      <c r="S2" s="8">
        <f t="shared" si="1"/>
        <v>8742.3788728742329</v>
      </c>
      <c r="T2" s="8">
        <f t="shared" si="1"/>
        <v>8742.3788728742329</v>
      </c>
      <c r="U2" s="8">
        <f t="shared" si="1"/>
        <v>8742.3788728742329</v>
      </c>
      <c r="V2" s="8">
        <f t="shared" si="1"/>
        <v>8742.3788728742329</v>
      </c>
      <c r="W2" s="8">
        <f t="shared" ref="W2:AB3" si="2">$B2</f>
        <v>8742.3788728742329</v>
      </c>
      <c r="X2" s="8">
        <f t="shared" si="2"/>
        <v>8742.3788728742329</v>
      </c>
      <c r="Y2" s="8">
        <f t="shared" si="2"/>
        <v>8742.3788728742329</v>
      </c>
      <c r="Z2" s="8">
        <f t="shared" si="2"/>
        <v>8742.3788728742329</v>
      </c>
      <c r="AA2" s="8">
        <f t="shared" si="2"/>
        <v>8742.3788728742329</v>
      </c>
      <c r="AB2" s="8">
        <f t="shared" si="2"/>
        <v>8742.3788728742329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25647.42503677692</v>
      </c>
      <c r="C3" s="8">
        <f t="shared" si="0"/>
        <v>25647.42503677692</v>
      </c>
      <c r="D3" s="8">
        <f t="shared" si="0"/>
        <v>25647.42503677692</v>
      </c>
      <c r="E3" s="8">
        <f t="shared" si="0"/>
        <v>25647.42503677692</v>
      </c>
      <c r="F3" s="8">
        <f t="shared" si="0"/>
        <v>25647.42503677692</v>
      </c>
      <c r="G3" s="8">
        <f t="shared" si="0"/>
        <v>25647.42503677692</v>
      </c>
      <c r="H3" s="8">
        <f t="shared" si="0"/>
        <v>25647.42503677692</v>
      </c>
      <c r="I3" s="8">
        <f t="shared" si="0"/>
        <v>25647.42503677692</v>
      </c>
      <c r="J3" s="8">
        <f t="shared" si="0"/>
        <v>25647.42503677692</v>
      </c>
      <c r="K3" s="8">
        <f t="shared" si="0"/>
        <v>25647.42503677692</v>
      </c>
      <c r="L3" s="8">
        <f t="shared" si="0"/>
        <v>25647.42503677692</v>
      </c>
      <c r="M3" s="8">
        <f t="shared" si="1"/>
        <v>25647.42503677692</v>
      </c>
      <c r="N3" s="8">
        <f t="shared" si="1"/>
        <v>25647.42503677692</v>
      </c>
      <c r="O3" s="8">
        <f t="shared" si="1"/>
        <v>25647.42503677692</v>
      </c>
      <c r="P3" s="8">
        <f t="shared" si="1"/>
        <v>25647.42503677692</v>
      </c>
      <c r="Q3" s="8">
        <f t="shared" si="1"/>
        <v>25647.42503677692</v>
      </c>
      <c r="R3" s="8">
        <f t="shared" si="1"/>
        <v>25647.42503677692</v>
      </c>
      <c r="S3" s="8">
        <f t="shared" si="1"/>
        <v>25647.42503677692</v>
      </c>
      <c r="T3" s="8">
        <f t="shared" si="1"/>
        <v>25647.42503677692</v>
      </c>
      <c r="U3" s="8">
        <f t="shared" si="1"/>
        <v>25647.42503677692</v>
      </c>
      <c r="V3" s="8">
        <f t="shared" si="1"/>
        <v>25647.42503677692</v>
      </c>
      <c r="W3" s="8">
        <f t="shared" si="2"/>
        <v>25647.42503677692</v>
      </c>
      <c r="X3" s="8">
        <f t="shared" si="2"/>
        <v>25647.42503677692</v>
      </c>
      <c r="Y3" s="8">
        <f t="shared" si="2"/>
        <v>25647.42503677692</v>
      </c>
      <c r="Z3" s="8">
        <f t="shared" si="2"/>
        <v>25647.42503677692</v>
      </c>
      <c r="AA3" s="8">
        <f t="shared" si="2"/>
        <v>25647.42503677692</v>
      </c>
      <c r="AB3" s="8">
        <f t="shared" si="2"/>
        <v>25647.42503677692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495626.66909007734</v>
      </c>
      <c r="C4" s="8">
        <f t="shared" ref="C4:AB4" si="3">$B$4</f>
        <v>495626.66909007734</v>
      </c>
      <c r="D4" s="8">
        <f t="shared" si="3"/>
        <v>495626.66909007734</v>
      </c>
      <c r="E4" s="8">
        <f t="shared" si="3"/>
        <v>495626.66909007734</v>
      </c>
      <c r="F4" s="8">
        <f t="shared" si="3"/>
        <v>495626.66909007734</v>
      </c>
      <c r="G4" s="8">
        <f t="shared" si="3"/>
        <v>495626.66909007734</v>
      </c>
      <c r="H4" s="8">
        <f t="shared" si="3"/>
        <v>495626.66909007734</v>
      </c>
      <c r="I4" s="8">
        <f t="shared" si="3"/>
        <v>495626.66909007734</v>
      </c>
      <c r="J4" s="8">
        <f t="shared" si="3"/>
        <v>495626.66909007734</v>
      </c>
      <c r="K4" s="8">
        <f t="shared" si="3"/>
        <v>495626.66909007734</v>
      </c>
      <c r="L4" s="8">
        <f t="shared" si="3"/>
        <v>495626.66909007734</v>
      </c>
      <c r="M4" s="8">
        <f t="shared" si="3"/>
        <v>495626.66909007734</v>
      </c>
      <c r="N4" s="8">
        <f t="shared" si="3"/>
        <v>495626.66909007734</v>
      </c>
      <c r="O4" s="8">
        <f t="shared" si="3"/>
        <v>495626.66909007734</v>
      </c>
      <c r="P4" s="8">
        <f t="shared" si="3"/>
        <v>495626.66909007734</v>
      </c>
      <c r="Q4" s="8">
        <f t="shared" si="3"/>
        <v>495626.66909007734</v>
      </c>
      <c r="R4" s="8">
        <f t="shared" si="3"/>
        <v>495626.66909007734</v>
      </c>
      <c r="S4" s="8">
        <f t="shared" si="3"/>
        <v>495626.66909007734</v>
      </c>
      <c r="T4" s="8">
        <f t="shared" si="3"/>
        <v>495626.66909007734</v>
      </c>
      <c r="U4" s="8">
        <f t="shared" si="3"/>
        <v>495626.66909007734</v>
      </c>
      <c r="V4" s="8">
        <f t="shared" si="3"/>
        <v>495626.66909007734</v>
      </c>
      <c r="W4" s="8">
        <f t="shared" si="3"/>
        <v>495626.66909007734</v>
      </c>
      <c r="X4" s="8">
        <f t="shared" si="3"/>
        <v>495626.66909007734</v>
      </c>
      <c r="Y4" s="8">
        <f t="shared" si="3"/>
        <v>495626.66909007734</v>
      </c>
      <c r="Z4" s="8">
        <f t="shared" si="3"/>
        <v>495626.66909007734</v>
      </c>
      <c r="AA4" s="8">
        <f t="shared" si="3"/>
        <v>495626.66909007734</v>
      </c>
      <c r="AB4" s="8">
        <f t="shared" si="3"/>
        <v>495626.66909007734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149.37656344350896</v>
      </c>
      <c r="C6" s="8">
        <f t="shared" si="4"/>
        <v>149.37656344350896</v>
      </c>
      <c r="D6" s="8">
        <f t="shared" si="4"/>
        <v>149.37656344350896</v>
      </c>
      <c r="E6" s="8">
        <f t="shared" si="4"/>
        <v>149.37656344350896</v>
      </c>
      <c r="F6" s="8">
        <f t="shared" si="4"/>
        <v>149.37656344350896</v>
      </c>
      <c r="G6" s="8">
        <f t="shared" si="4"/>
        <v>149.37656344350896</v>
      </c>
      <c r="H6" s="8">
        <f t="shared" si="4"/>
        <v>149.37656344350896</v>
      </c>
      <c r="I6" s="8">
        <f t="shared" si="4"/>
        <v>149.37656344350896</v>
      </c>
      <c r="J6" s="8">
        <f t="shared" si="4"/>
        <v>149.37656344350896</v>
      </c>
      <c r="K6" s="8">
        <f t="shared" si="4"/>
        <v>149.37656344350896</v>
      </c>
      <c r="L6" s="8">
        <f t="shared" si="4"/>
        <v>149.37656344350896</v>
      </c>
      <c r="M6" s="8">
        <f t="shared" si="5"/>
        <v>149.37656344350896</v>
      </c>
      <c r="N6" s="8">
        <f t="shared" si="5"/>
        <v>149.37656344350896</v>
      </c>
      <c r="O6" s="8">
        <f t="shared" si="5"/>
        <v>149.37656344350896</v>
      </c>
      <c r="P6" s="8">
        <f t="shared" si="5"/>
        <v>149.37656344350896</v>
      </c>
      <c r="Q6" s="8">
        <f t="shared" si="5"/>
        <v>149.37656344350896</v>
      </c>
      <c r="R6" s="8">
        <f t="shared" si="5"/>
        <v>149.37656344350896</v>
      </c>
      <c r="S6" s="8">
        <f t="shared" si="5"/>
        <v>149.37656344350896</v>
      </c>
      <c r="T6" s="8">
        <f t="shared" si="5"/>
        <v>149.37656344350896</v>
      </c>
      <c r="U6" s="8">
        <f t="shared" si="5"/>
        <v>149.37656344350896</v>
      </c>
      <c r="V6" s="8">
        <f t="shared" si="5"/>
        <v>149.37656344350896</v>
      </c>
      <c r="W6" s="8">
        <f t="shared" si="6"/>
        <v>149.37656344350896</v>
      </c>
      <c r="X6" s="8">
        <f t="shared" si="6"/>
        <v>149.37656344350896</v>
      </c>
      <c r="Y6" s="8">
        <f t="shared" si="6"/>
        <v>149.37656344350896</v>
      </c>
      <c r="Z6" s="8">
        <f t="shared" si="6"/>
        <v>149.37656344350896</v>
      </c>
      <c r="AA6" s="8">
        <f t="shared" si="6"/>
        <v>149.37656344350896</v>
      </c>
      <c r="AB6" s="8">
        <f t="shared" si="6"/>
        <v>149.37656344350896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6773.5341681059208</v>
      </c>
      <c r="C7" s="8">
        <f t="shared" si="4"/>
        <v>6773.5341681059208</v>
      </c>
      <c r="D7" s="8">
        <f t="shared" si="4"/>
        <v>6773.5341681059208</v>
      </c>
      <c r="E7" s="8">
        <f t="shared" si="4"/>
        <v>6773.5341681059208</v>
      </c>
      <c r="F7" s="8">
        <f t="shared" si="4"/>
        <v>6773.5341681059208</v>
      </c>
      <c r="G7" s="8">
        <f t="shared" si="4"/>
        <v>6773.5341681059208</v>
      </c>
      <c r="H7" s="8">
        <f t="shared" si="4"/>
        <v>6773.5341681059208</v>
      </c>
      <c r="I7" s="8">
        <f t="shared" si="4"/>
        <v>6773.5341681059208</v>
      </c>
      <c r="J7" s="8">
        <f t="shared" si="4"/>
        <v>6773.5341681059208</v>
      </c>
      <c r="K7" s="8">
        <f t="shared" si="4"/>
        <v>6773.5341681059208</v>
      </c>
      <c r="L7" s="8">
        <f t="shared" si="4"/>
        <v>6773.5341681059208</v>
      </c>
      <c r="M7" s="8">
        <f t="shared" si="5"/>
        <v>6773.5341681059208</v>
      </c>
      <c r="N7" s="8">
        <f t="shared" si="5"/>
        <v>6773.5341681059208</v>
      </c>
      <c r="O7" s="8">
        <f t="shared" si="5"/>
        <v>6773.5341681059208</v>
      </c>
      <c r="P7" s="8">
        <f t="shared" si="5"/>
        <v>6773.5341681059208</v>
      </c>
      <c r="Q7" s="8">
        <f t="shared" si="5"/>
        <v>6773.5341681059208</v>
      </c>
      <c r="R7" s="8">
        <f t="shared" si="5"/>
        <v>6773.5341681059208</v>
      </c>
      <c r="S7" s="8">
        <f t="shared" si="5"/>
        <v>6773.5341681059208</v>
      </c>
      <c r="T7" s="8">
        <f t="shared" si="5"/>
        <v>6773.5341681059208</v>
      </c>
      <c r="U7" s="8">
        <f t="shared" si="5"/>
        <v>6773.5341681059208</v>
      </c>
      <c r="V7" s="8">
        <f t="shared" si="5"/>
        <v>6773.5341681059208</v>
      </c>
      <c r="W7" s="8">
        <f t="shared" si="6"/>
        <v>6773.5341681059208</v>
      </c>
      <c r="X7" s="8">
        <f t="shared" si="6"/>
        <v>6773.5341681059208</v>
      </c>
      <c r="Y7" s="8">
        <f t="shared" si="6"/>
        <v>6773.5341681059208</v>
      </c>
      <c r="Z7" s="8">
        <f t="shared" si="6"/>
        <v>6773.5341681059208</v>
      </c>
      <c r="AA7" s="8">
        <f t="shared" si="6"/>
        <v>6773.5341681059208</v>
      </c>
      <c r="AB7" s="8">
        <f t="shared" si="6"/>
        <v>6773.5341681059208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7543.5164538972049</v>
      </c>
      <c r="C2" s="8">
        <f t="shared" ref="C2:AB2" si="0">B2</f>
        <v>7543.5164538972049</v>
      </c>
      <c r="D2" s="8">
        <f t="shared" si="0"/>
        <v>7543.5164538972049</v>
      </c>
      <c r="E2" s="8">
        <f t="shared" si="0"/>
        <v>7543.5164538972049</v>
      </c>
      <c r="F2" s="8">
        <f t="shared" si="0"/>
        <v>7543.5164538972049</v>
      </c>
      <c r="G2" s="8">
        <f t="shared" si="0"/>
        <v>7543.5164538972049</v>
      </c>
      <c r="H2" s="8">
        <f t="shared" si="0"/>
        <v>7543.5164538972049</v>
      </c>
      <c r="I2" s="8">
        <f t="shared" si="0"/>
        <v>7543.5164538972049</v>
      </c>
      <c r="J2" s="8">
        <f t="shared" si="0"/>
        <v>7543.5164538972049</v>
      </c>
      <c r="K2" s="8">
        <f t="shared" si="0"/>
        <v>7543.5164538972049</v>
      </c>
      <c r="L2" s="8">
        <f t="shared" si="0"/>
        <v>7543.5164538972049</v>
      </c>
      <c r="M2" s="8">
        <f t="shared" si="0"/>
        <v>7543.5164538972049</v>
      </c>
      <c r="N2" s="8">
        <f t="shared" si="0"/>
        <v>7543.5164538972049</v>
      </c>
      <c r="O2" s="8">
        <f t="shared" si="0"/>
        <v>7543.5164538972049</v>
      </c>
      <c r="P2" s="8">
        <f t="shared" si="0"/>
        <v>7543.5164538972049</v>
      </c>
      <c r="Q2" s="8">
        <f t="shared" si="0"/>
        <v>7543.5164538972049</v>
      </c>
      <c r="R2" s="8">
        <f t="shared" si="0"/>
        <v>7543.5164538972049</v>
      </c>
      <c r="S2" s="8">
        <f t="shared" si="0"/>
        <v>7543.5164538972049</v>
      </c>
      <c r="T2" s="8">
        <f t="shared" si="0"/>
        <v>7543.5164538972049</v>
      </c>
      <c r="U2" s="8">
        <f t="shared" si="0"/>
        <v>7543.5164538972049</v>
      </c>
      <c r="V2" s="8">
        <f t="shared" si="0"/>
        <v>7543.5164538972049</v>
      </c>
      <c r="W2" s="8">
        <f t="shared" si="0"/>
        <v>7543.5164538972049</v>
      </c>
      <c r="X2" s="8">
        <f t="shared" si="0"/>
        <v>7543.5164538972049</v>
      </c>
      <c r="Y2" s="8">
        <f t="shared" si="0"/>
        <v>7543.5164538972049</v>
      </c>
      <c r="Z2" s="8">
        <f t="shared" si="0"/>
        <v>7543.5164538972049</v>
      </c>
      <c r="AA2" s="8">
        <f t="shared" si="0"/>
        <v>7543.5164538972049</v>
      </c>
      <c r="AB2" s="8">
        <f t="shared" si="0"/>
        <v>7543.5164538972049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55171.512998555329</v>
      </c>
      <c r="C3" s="8">
        <f t="shared" ref="C3:AB3" si="1">B3</f>
        <v>55171.512998555329</v>
      </c>
      <c r="D3" s="8">
        <f t="shared" si="1"/>
        <v>55171.512998555329</v>
      </c>
      <c r="E3" s="8">
        <f t="shared" si="1"/>
        <v>55171.512998555329</v>
      </c>
      <c r="F3" s="8">
        <f t="shared" si="1"/>
        <v>55171.512998555329</v>
      </c>
      <c r="G3" s="8">
        <f t="shared" si="1"/>
        <v>55171.512998555329</v>
      </c>
      <c r="H3" s="8">
        <f t="shared" si="1"/>
        <v>55171.512998555329</v>
      </c>
      <c r="I3" s="8">
        <f t="shared" si="1"/>
        <v>55171.512998555329</v>
      </c>
      <c r="J3" s="8">
        <f t="shared" si="1"/>
        <v>55171.512998555329</v>
      </c>
      <c r="K3" s="8">
        <f t="shared" si="1"/>
        <v>55171.512998555329</v>
      </c>
      <c r="L3" s="8">
        <f t="shared" si="1"/>
        <v>55171.512998555329</v>
      </c>
      <c r="M3" s="8">
        <f t="shared" si="1"/>
        <v>55171.512998555329</v>
      </c>
      <c r="N3" s="8">
        <f t="shared" si="1"/>
        <v>55171.512998555329</v>
      </c>
      <c r="O3" s="8">
        <f t="shared" si="1"/>
        <v>55171.512998555329</v>
      </c>
      <c r="P3" s="8">
        <f t="shared" si="1"/>
        <v>55171.512998555329</v>
      </c>
      <c r="Q3" s="8">
        <f t="shared" si="1"/>
        <v>55171.512998555329</v>
      </c>
      <c r="R3" s="8">
        <f t="shared" si="1"/>
        <v>55171.512998555329</v>
      </c>
      <c r="S3" s="8">
        <f t="shared" si="1"/>
        <v>55171.512998555329</v>
      </c>
      <c r="T3" s="8">
        <f t="shared" si="1"/>
        <v>55171.512998555329</v>
      </c>
      <c r="U3" s="8">
        <f t="shared" si="1"/>
        <v>55171.512998555329</v>
      </c>
      <c r="V3" s="8">
        <f t="shared" si="1"/>
        <v>55171.512998555329</v>
      </c>
      <c r="W3" s="8">
        <f t="shared" si="1"/>
        <v>55171.512998555329</v>
      </c>
      <c r="X3" s="8">
        <f t="shared" si="1"/>
        <v>55171.512998555329</v>
      </c>
      <c r="Y3" s="8">
        <f t="shared" si="1"/>
        <v>55171.512998555329</v>
      </c>
      <c r="Z3" s="8">
        <f t="shared" si="1"/>
        <v>55171.512998555329</v>
      </c>
      <c r="AA3" s="8">
        <f t="shared" si="1"/>
        <v>55171.512998555329</v>
      </c>
      <c r="AB3" s="8">
        <f t="shared" si="1"/>
        <v>55171.512998555329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643531.14898586692</v>
      </c>
      <c r="C4" s="8">
        <f t="shared" ref="C4:AB4" si="2">B4</f>
        <v>643531.14898586692</v>
      </c>
      <c r="D4" s="8">
        <f t="shared" si="2"/>
        <v>643531.14898586692</v>
      </c>
      <c r="E4" s="8">
        <f t="shared" si="2"/>
        <v>643531.14898586692</v>
      </c>
      <c r="F4" s="8">
        <f t="shared" si="2"/>
        <v>643531.14898586692</v>
      </c>
      <c r="G4" s="8">
        <f t="shared" si="2"/>
        <v>643531.14898586692</v>
      </c>
      <c r="H4" s="8">
        <f t="shared" si="2"/>
        <v>643531.14898586692</v>
      </c>
      <c r="I4" s="8">
        <f t="shared" si="2"/>
        <v>643531.14898586692</v>
      </c>
      <c r="J4" s="8">
        <f t="shared" si="2"/>
        <v>643531.14898586692</v>
      </c>
      <c r="K4" s="8">
        <f t="shared" si="2"/>
        <v>643531.14898586692</v>
      </c>
      <c r="L4" s="8">
        <f t="shared" si="2"/>
        <v>643531.14898586692</v>
      </c>
      <c r="M4" s="8">
        <f t="shared" si="2"/>
        <v>643531.14898586692</v>
      </c>
      <c r="N4" s="8">
        <f t="shared" si="2"/>
        <v>643531.14898586692</v>
      </c>
      <c r="O4" s="8">
        <f t="shared" si="2"/>
        <v>643531.14898586692</v>
      </c>
      <c r="P4" s="8">
        <f t="shared" si="2"/>
        <v>643531.14898586692</v>
      </c>
      <c r="Q4" s="8">
        <f t="shared" si="2"/>
        <v>643531.14898586692</v>
      </c>
      <c r="R4" s="8">
        <f t="shared" si="2"/>
        <v>643531.14898586692</v>
      </c>
      <c r="S4" s="8">
        <f t="shared" si="2"/>
        <v>643531.14898586692</v>
      </c>
      <c r="T4" s="8">
        <f t="shared" si="2"/>
        <v>643531.14898586692</v>
      </c>
      <c r="U4" s="8">
        <f t="shared" si="2"/>
        <v>643531.14898586692</v>
      </c>
      <c r="V4" s="8">
        <f t="shared" si="2"/>
        <v>643531.14898586692</v>
      </c>
      <c r="W4" s="8">
        <f t="shared" si="2"/>
        <v>643531.14898586692</v>
      </c>
      <c r="X4" s="8">
        <f t="shared" si="2"/>
        <v>643531.14898586692</v>
      </c>
      <c r="Y4" s="8">
        <f t="shared" si="2"/>
        <v>643531.14898586692</v>
      </c>
      <c r="Z4" s="8">
        <f t="shared" si="2"/>
        <v>643531.14898586692</v>
      </c>
      <c r="AA4" s="8">
        <f t="shared" si="2"/>
        <v>643531.14898586692</v>
      </c>
      <c r="AB4" s="8">
        <f t="shared" si="2"/>
        <v>643531.14898586692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26656.956344379414</v>
      </c>
      <c r="C5" s="8">
        <f t="shared" ref="C5:AB5" si="3">B5</f>
        <v>26656.956344379414</v>
      </c>
      <c r="D5" s="8">
        <f t="shared" si="3"/>
        <v>26656.956344379414</v>
      </c>
      <c r="E5" s="8">
        <f t="shared" si="3"/>
        <v>26656.956344379414</v>
      </c>
      <c r="F5" s="8">
        <f t="shared" si="3"/>
        <v>26656.956344379414</v>
      </c>
      <c r="G5" s="8">
        <f t="shared" si="3"/>
        <v>26656.956344379414</v>
      </c>
      <c r="H5" s="8">
        <f t="shared" si="3"/>
        <v>26656.956344379414</v>
      </c>
      <c r="I5" s="8">
        <f t="shared" si="3"/>
        <v>26656.956344379414</v>
      </c>
      <c r="J5" s="8">
        <f t="shared" si="3"/>
        <v>26656.956344379414</v>
      </c>
      <c r="K5" s="8">
        <f t="shared" si="3"/>
        <v>26656.956344379414</v>
      </c>
      <c r="L5" s="8">
        <f t="shared" si="3"/>
        <v>26656.956344379414</v>
      </c>
      <c r="M5" s="8">
        <f t="shared" si="3"/>
        <v>26656.956344379414</v>
      </c>
      <c r="N5" s="8">
        <f t="shared" si="3"/>
        <v>26656.956344379414</v>
      </c>
      <c r="O5" s="8">
        <f t="shared" si="3"/>
        <v>26656.956344379414</v>
      </c>
      <c r="P5" s="8">
        <f t="shared" si="3"/>
        <v>26656.956344379414</v>
      </c>
      <c r="Q5" s="8">
        <f t="shared" si="3"/>
        <v>26656.956344379414</v>
      </c>
      <c r="R5" s="8">
        <f t="shared" si="3"/>
        <v>26656.956344379414</v>
      </c>
      <c r="S5" s="8">
        <f t="shared" si="3"/>
        <v>26656.956344379414</v>
      </c>
      <c r="T5" s="8">
        <f t="shared" si="3"/>
        <v>26656.956344379414</v>
      </c>
      <c r="U5" s="8">
        <f t="shared" si="3"/>
        <v>26656.956344379414</v>
      </c>
      <c r="V5" s="8">
        <f t="shared" si="3"/>
        <v>26656.956344379414</v>
      </c>
      <c r="W5" s="8">
        <f t="shared" si="3"/>
        <v>26656.956344379414</v>
      </c>
      <c r="X5" s="8">
        <f t="shared" si="3"/>
        <v>26656.956344379414</v>
      </c>
      <c r="Y5" s="8">
        <f t="shared" si="3"/>
        <v>26656.956344379414</v>
      </c>
      <c r="Z5" s="8">
        <f t="shared" si="3"/>
        <v>26656.956344379414</v>
      </c>
      <c r="AA5" s="8">
        <f t="shared" si="3"/>
        <v>26656.956344379414</v>
      </c>
      <c r="AB5" s="8">
        <f t="shared" si="3"/>
        <v>26656.956344379414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2026-08-11T22:28:37Z</dcterms:modified>
</cp:coreProperties>
</file>