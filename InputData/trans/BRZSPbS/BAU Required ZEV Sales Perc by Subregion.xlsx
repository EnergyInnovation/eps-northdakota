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trans\BRZSPbS\"/>
    </mc:Choice>
  </mc:AlternateContent>
  <xr:revisionPtr revIDLastSave="0" documentId="8_{77F5360C-6899-45DD-B231-20332068B9C4}" xr6:coauthVersionLast="47" xr6:coauthVersionMax="47" xr10:uidLastSave="{00000000-0000-0000-0000-000000000000}"/>
  <bookViews>
    <workbookView xWindow="-120" yWindow="-120" windowWidth="29040" windowHeight="17520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BRZSPbS-psgr-ldv-all" sheetId="29" r:id="rId10"/>
    <sheet name="BRZSPbS-psgr-ldv" sheetId="2" r:id="rId11"/>
    <sheet name="BRZSPbS-psgr-hdv-all" sheetId="30" r:id="rId12"/>
    <sheet name="BRZSPbS-psgr-hdv" sheetId="3" r:id="rId13"/>
    <sheet name="BRZSPbS-psgr-aircraft" sheetId="13" r:id="rId14"/>
    <sheet name="BRZSPbS-psgr-rail" sheetId="14" r:id="rId15"/>
    <sheet name="BRZSPbS-psgr-ships" sheetId="15" r:id="rId16"/>
    <sheet name="BRZSPbS-psgr-mtrbk" sheetId="4" r:id="rId17"/>
    <sheet name="BRZSPbS-frgt-ldv-all" sheetId="31" r:id="rId18"/>
    <sheet name="BRZSPbS-frgt-ldv" sheetId="5" r:id="rId19"/>
    <sheet name="BRZSPbS-frgt-hdv-all" sheetId="32" r:id="rId20"/>
    <sheet name="BRZSPbS-frgt-hdv" sheetId="6" r:id="rId21"/>
    <sheet name="BRZSPbS-frgt-aircraft" sheetId="16" r:id="rId22"/>
    <sheet name="BRZSPbS-frgt-rail" sheetId="17" r:id="rId23"/>
    <sheet name="BRZSPbS-frgt-ships" sheetId="18" r:id="rId24"/>
    <sheet name="B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9" i="10" l="1"/>
  <c r="E2" i="29"/>
  <c r="F2" i="29"/>
  <c r="G2" i="29"/>
  <c r="H2" i="29"/>
  <c r="I2" i="29"/>
  <c r="J2" i="29"/>
  <c r="K2" i="29"/>
  <c r="L2" i="29"/>
  <c r="M2" i="29"/>
  <c r="N2" i="29"/>
  <c r="O2" i="29"/>
  <c r="P2" i="29"/>
  <c r="Q2" i="29"/>
  <c r="R2" i="29"/>
  <c r="S2" i="29"/>
  <c r="T2" i="29"/>
  <c r="U2" i="29"/>
  <c r="V2" i="29"/>
  <c r="W2" i="29"/>
  <c r="X2" i="29"/>
  <c r="Y2" i="29"/>
  <c r="Z2" i="29"/>
  <c r="AA2" i="29"/>
  <c r="AB2" i="29"/>
  <c r="AC2" i="29"/>
  <c r="E3" i="29"/>
  <c r="F3" i="29"/>
  <c r="G3" i="29"/>
  <c r="H3" i="29"/>
  <c r="I3" i="29"/>
  <c r="J3" i="29"/>
  <c r="K3" i="29"/>
  <c r="L3" i="29"/>
  <c r="M3" i="29"/>
  <c r="N3" i="29"/>
  <c r="O3" i="29"/>
  <c r="P3" i="29"/>
  <c r="Q3" i="29"/>
  <c r="R3" i="29"/>
  <c r="S3" i="29"/>
  <c r="T3" i="29"/>
  <c r="U3" i="29"/>
  <c r="V3" i="29"/>
  <c r="W3" i="29"/>
  <c r="X3" i="29"/>
  <c r="Y3" i="29"/>
  <c r="Z3" i="29"/>
  <c r="AA3" i="29"/>
  <c r="AB3" i="29"/>
  <c r="AC3" i="29"/>
  <c r="E4" i="29"/>
  <c r="F4" i="29"/>
  <c r="G4" i="29"/>
  <c r="H4" i="29"/>
  <c r="I4" i="29"/>
  <c r="J4" i="29"/>
  <c r="K4" i="29"/>
  <c r="L4" i="29"/>
  <c r="M4" i="29"/>
  <c r="N4" i="29"/>
  <c r="O4" i="29"/>
  <c r="P4" i="29"/>
  <c r="Q4" i="29"/>
  <c r="R4" i="29"/>
  <c r="S4" i="29"/>
  <c r="T4" i="29"/>
  <c r="U4" i="29"/>
  <c r="V4" i="29"/>
  <c r="W4" i="29"/>
  <c r="X4" i="29"/>
  <c r="Y4" i="29"/>
  <c r="Z4" i="29"/>
  <c r="AA4" i="29"/>
  <c r="AB4" i="29"/>
  <c r="AC4" i="29"/>
  <c r="E5" i="29"/>
  <c r="F5" i="29"/>
  <c r="G5" i="29"/>
  <c r="H5" i="29"/>
  <c r="I5" i="29"/>
  <c r="J5" i="29"/>
  <c r="K5" i="29"/>
  <c r="L5" i="29"/>
  <c r="M5" i="29"/>
  <c r="N5" i="29"/>
  <c r="O5" i="29"/>
  <c r="P5" i="29"/>
  <c r="Q5" i="29"/>
  <c r="R5" i="29"/>
  <c r="S5" i="29"/>
  <c r="T5" i="29"/>
  <c r="U5" i="29"/>
  <c r="V5" i="29"/>
  <c r="W5" i="29"/>
  <c r="X5" i="29"/>
  <c r="Y5" i="29"/>
  <c r="Z5" i="29"/>
  <c r="AA5" i="29"/>
  <c r="AB5" i="29"/>
  <c r="AC5" i="29"/>
  <c r="E6" i="29"/>
  <c r="F6" i="29"/>
  <c r="G6" i="29"/>
  <c r="H6" i="29"/>
  <c r="I6" i="29"/>
  <c r="J6" i="29"/>
  <c r="K6" i="29"/>
  <c r="L6" i="29"/>
  <c r="M6" i="29"/>
  <c r="N6" i="29"/>
  <c r="O6" i="29"/>
  <c r="P6" i="29"/>
  <c r="Q6" i="29"/>
  <c r="R6" i="29"/>
  <c r="S6" i="29"/>
  <c r="T6" i="29"/>
  <c r="U6" i="29"/>
  <c r="V6" i="29"/>
  <c r="W6" i="29"/>
  <c r="X6" i="29"/>
  <c r="Y6" i="29"/>
  <c r="Z6" i="29"/>
  <c r="AA6" i="29"/>
  <c r="AB6" i="29"/>
  <c r="AC6" i="29"/>
  <c r="E7" i="29"/>
  <c r="F7" i="29"/>
  <c r="G7" i="29"/>
  <c r="H7" i="29"/>
  <c r="I7" i="29"/>
  <c r="J7" i="29"/>
  <c r="K7" i="29"/>
  <c r="L7" i="29"/>
  <c r="M7" i="29"/>
  <c r="N7" i="29"/>
  <c r="O7" i="29"/>
  <c r="P7" i="29"/>
  <c r="Q7" i="29"/>
  <c r="R7" i="29"/>
  <c r="S7" i="29"/>
  <c r="T7" i="29"/>
  <c r="U7" i="29"/>
  <c r="V7" i="29"/>
  <c r="W7" i="29"/>
  <c r="X7" i="29"/>
  <c r="Y7" i="29"/>
  <c r="Z7" i="29"/>
  <c r="AA7" i="29"/>
  <c r="AB7" i="29"/>
  <c r="AC7" i="29"/>
  <c r="E8" i="29"/>
  <c r="F8" i="29"/>
  <c r="G8" i="29"/>
  <c r="H8" i="29"/>
  <c r="I8" i="29"/>
  <c r="J8" i="29"/>
  <c r="K8" i="29"/>
  <c r="L8" i="29"/>
  <c r="M8" i="29"/>
  <c r="N8" i="29"/>
  <c r="O8" i="29"/>
  <c r="P8" i="29"/>
  <c r="Q8" i="29"/>
  <c r="R8" i="29"/>
  <c r="S8" i="29"/>
  <c r="T8" i="29"/>
  <c r="U8" i="29"/>
  <c r="V8" i="29"/>
  <c r="W8" i="29"/>
  <c r="X8" i="29"/>
  <c r="Y8" i="29"/>
  <c r="Z8" i="29"/>
  <c r="AA8" i="29"/>
  <c r="AB8" i="29"/>
  <c r="AC8" i="29"/>
  <c r="E9" i="29"/>
  <c r="F9" i="29"/>
  <c r="G9" i="29"/>
  <c r="H9" i="29"/>
  <c r="I9" i="29"/>
  <c r="J9" i="29"/>
  <c r="K9" i="29"/>
  <c r="L9" i="29"/>
  <c r="M9" i="29"/>
  <c r="N9" i="29"/>
  <c r="O9" i="29"/>
  <c r="P9" i="29"/>
  <c r="Q9" i="29"/>
  <c r="R9" i="29"/>
  <c r="S9" i="29"/>
  <c r="T9" i="29"/>
  <c r="U9" i="29"/>
  <c r="V9" i="29"/>
  <c r="W9" i="29"/>
  <c r="X9" i="29"/>
  <c r="Y9" i="29"/>
  <c r="Z9" i="29"/>
  <c r="AA9" i="29"/>
  <c r="AB9" i="29"/>
  <c r="AC9" i="29"/>
  <c r="E10" i="29"/>
  <c r="F10" i="29"/>
  <c r="G10" i="29"/>
  <c r="H10" i="29"/>
  <c r="I10" i="29"/>
  <c r="J10" i="29"/>
  <c r="K10" i="29"/>
  <c r="L10" i="29"/>
  <c r="M10" i="29"/>
  <c r="N10" i="29"/>
  <c r="O10" i="29"/>
  <c r="P10" i="29"/>
  <c r="Q10" i="29"/>
  <c r="R10" i="29"/>
  <c r="S10" i="29"/>
  <c r="T10" i="29"/>
  <c r="U10" i="29"/>
  <c r="V10" i="29"/>
  <c r="W10" i="29"/>
  <c r="X10" i="29"/>
  <c r="Y10" i="29"/>
  <c r="Z10" i="29"/>
  <c r="AA10" i="29"/>
  <c r="AB10" i="29"/>
  <c r="AC10" i="29"/>
  <c r="E11" i="29"/>
  <c r="F11" i="29"/>
  <c r="G11" i="29"/>
  <c r="H11" i="29"/>
  <c r="I11" i="29"/>
  <c r="J11" i="29"/>
  <c r="K11" i="29"/>
  <c r="L11" i="29"/>
  <c r="M11" i="29"/>
  <c r="N11" i="29"/>
  <c r="O11" i="29"/>
  <c r="P11" i="29"/>
  <c r="Q11" i="29"/>
  <c r="R11" i="29"/>
  <c r="S11" i="29"/>
  <c r="T11" i="29"/>
  <c r="U11" i="29"/>
  <c r="V11" i="29"/>
  <c r="W11" i="29"/>
  <c r="X11" i="29"/>
  <c r="Y11" i="29"/>
  <c r="Z11" i="29"/>
  <c r="AA11" i="29"/>
  <c r="AB11" i="29"/>
  <c r="AC11" i="29"/>
  <c r="E12" i="29"/>
  <c r="F12" i="29"/>
  <c r="G12" i="29"/>
  <c r="H12" i="29"/>
  <c r="I12" i="29"/>
  <c r="J12" i="29"/>
  <c r="K12" i="29"/>
  <c r="L12" i="29"/>
  <c r="M12" i="29"/>
  <c r="N12" i="29"/>
  <c r="O12" i="29"/>
  <c r="P12" i="29"/>
  <c r="Q12" i="29"/>
  <c r="R12" i="29"/>
  <c r="S12" i="29"/>
  <c r="T12" i="29"/>
  <c r="U12" i="29"/>
  <c r="V12" i="29"/>
  <c r="W12" i="29"/>
  <c r="X12" i="29"/>
  <c r="Y12" i="29"/>
  <c r="Z12" i="29"/>
  <c r="AA12" i="29"/>
  <c r="AB12" i="29"/>
  <c r="AC12" i="29"/>
  <c r="E13" i="29"/>
  <c r="F13" i="29"/>
  <c r="G13" i="29"/>
  <c r="H13" i="29"/>
  <c r="I13" i="29"/>
  <c r="J13" i="29"/>
  <c r="K13" i="29"/>
  <c r="L13" i="29"/>
  <c r="M13" i="29"/>
  <c r="N13" i="29"/>
  <c r="O13" i="29"/>
  <c r="P13" i="29"/>
  <c r="Q13" i="29"/>
  <c r="R13" i="29"/>
  <c r="S13" i="29"/>
  <c r="T13" i="29"/>
  <c r="U13" i="29"/>
  <c r="V13" i="29"/>
  <c r="W13" i="29"/>
  <c r="X13" i="29"/>
  <c r="Y13" i="29"/>
  <c r="Z13" i="29"/>
  <c r="AA13" i="29"/>
  <c r="AB13" i="29"/>
  <c r="AC13" i="29"/>
  <c r="E14" i="29"/>
  <c r="F14" i="29"/>
  <c r="G14" i="29"/>
  <c r="H14" i="29"/>
  <c r="I14" i="29"/>
  <c r="J14" i="29"/>
  <c r="K14" i="29"/>
  <c r="L14" i="29"/>
  <c r="M14" i="29"/>
  <c r="N14" i="29"/>
  <c r="O14" i="29"/>
  <c r="P14" i="29"/>
  <c r="Q14" i="29"/>
  <c r="R14" i="29"/>
  <c r="S14" i="29"/>
  <c r="T14" i="29"/>
  <c r="U14" i="29"/>
  <c r="V14" i="29"/>
  <c r="W14" i="29"/>
  <c r="X14" i="29"/>
  <c r="Y14" i="29"/>
  <c r="Z14" i="29"/>
  <c r="AA14" i="29"/>
  <c r="AB14" i="29"/>
  <c r="AC14" i="29"/>
  <c r="E15" i="29"/>
  <c r="F15" i="29"/>
  <c r="G15" i="29"/>
  <c r="H15" i="29"/>
  <c r="I15" i="29"/>
  <c r="J15" i="29"/>
  <c r="K15" i="29"/>
  <c r="L15" i="29"/>
  <c r="M15" i="29"/>
  <c r="N15" i="29"/>
  <c r="O15" i="29"/>
  <c r="P15" i="29"/>
  <c r="Q15" i="29"/>
  <c r="R15" i="29"/>
  <c r="S15" i="29"/>
  <c r="T15" i="29"/>
  <c r="U15" i="29"/>
  <c r="V15" i="29"/>
  <c r="W15" i="29"/>
  <c r="X15" i="29"/>
  <c r="Y15" i="29"/>
  <c r="Z15" i="29"/>
  <c r="AA15" i="29"/>
  <c r="AB15" i="29"/>
  <c r="AC15" i="29"/>
  <c r="E16" i="29"/>
  <c r="F16" i="29"/>
  <c r="G16" i="29"/>
  <c r="H16" i="29"/>
  <c r="I16" i="29"/>
  <c r="J16" i="29"/>
  <c r="K16" i="29"/>
  <c r="L16" i="29"/>
  <c r="M16" i="29"/>
  <c r="N16" i="29"/>
  <c r="O16" i="29"/>
  <c r="P16" i="29"/>
  <c r="Q16" i="29"/>
  <c r="R16" i="29"/>
  <c r="S16" i="29"/>
  <c r="T16" i="29"/>
  <c r="U16" i="29"/>
  <c r="V16" i="29"/>
  <c r="W16" i="29"/>
  <c r="X16" i="29"/>
  <c r="Y16" i="29"/>
  <c r="Z16" i="29"/>
  <c r="AA16" i="29"/>
  <c r="AB16" i="29"/>
  <c r="AC16" i="29"/>
  <c r="E17" i="29"/>
  <c r="F17" i="29"/>
  <c r="G17" i="29"/>
  <c r="H17" i="29"/>
  <c r="I17" i="29"/>
  <c r="J17" i="29"/>
  <c r="K17" i="29"/>
  <c r="L17" i="29"/>
  <c r="M17" i="29"/>
  <c r="N17" i="29"/>
  <c r="O17" i="29"/>
  <c r="P17" i="29"/>
  <c r="Q17" i="29"/>
  <c r="R17" i="29"/>
  <c r="S17" i="29"/>
  <c r="T17" i="29"/>
  <c r="U17" i="29"/>
  <c r="V17" i="29"/>
  <c r="W17" i="29"/>
  <c r="X17" i="29"/>
  <c r="Y17" i="29"/>
  <c r="Z17" i="29"/>
  <c r="AA17" i="29"/>
  <c r="AB17" i="29"/>
  <c r="AC17" i="29"/>
  <c r="E18" i="29"/>
  <c r="F18" i="29"/>
  <c r="G18" i="29"/>
  <c r="H18" i="29"/>
  <c r="I18" i="29"/>
  <c r="J18" i="29"/>
  <c r="K18" i="29"/>
  <c r="L18" i="29"/>
  <c r="M18" i="29"/>
  <c r="N18" i="29"/>
  <c r="O18" i="29"/>
  <c r="P18" i="29"/>
  <c r="Q18" i="29"/>
  <c r="R18" i="29"/>
  <c r="S18" i="29"/>
  <c r="T18" i="29"/>
  <c r="U18" i="29"/>
  <c r="V18" i="29"/>
  <c r="W18" i="29"/>
  <c r="X18" i="29"/>
  <c r="Y18" i="29"/>
  <c r="Z18" i="29"/>
  <c r="AA18" i="29"/>
  <c r="AB18" i="29"/>
  <c r="AC18" i="29"/>
  <c r="E19" i="29"/>
  <c r="F19" i="29"/>
  <c r="G19" i="29"/>
  <c r="H19" i="29"/>
  <c r="I19" i="29"/>
  <c r="J19" i="29"/>
  <c r="K19" i="29"/>
  <c r="L19" i="29"/>
  <c r="M19" i="29"/>
  <c r="N19" i="29"/>
  <c r="O19" i="29"/>
  <c r="P19" i="29"/>
  <c r="Q19" i="29"/>
  <c r="R19" i="29"/>
  <c r="S19" i="29"/>
  <c r="T19" i="29"/>
  <c r="U19" i="29"/>
  <c r="V19" i="29"/>
  <c r="W19" i="29"/>
  <c r="X19" i="29"/>
  <c r="Y19" i="29"/>
  <c r="Z19" i="29"/>
  <c r="AA19" i="29"/>
  <c r="AB19" i="29"/>
  <c r="AC19" i="29"/>
  <c r="E20" i="29"/>
  <c r="F20" i="29"/>
  <c r="G20" i="29"/>
  <c r="H20" i="29"/>
  <c r="I20" i="29"/>
  <c r="J20" i="29"/>
  <c r="K20" i="29"/>
  <c r="L20" i="29"/>
  <c r="M20" i="29"/>
  <c r="N20" i="29"/>
  <c r="O20" i="29"/>
  <c r="P20" i="29"/>
  <c r="Q20" i="29"/>
  <c r="R20" i="29"/>
  <c r="S20" i="29"/>
  <c r="T20" i="29"/>
  <c r="U20" i="29"/>
  <c r="V20" i="29"/>
  <c r="W20" i="29"/>
  <c r="X20" i="29"/>
  <c r="Y20" i="29"/>
  <c r="Z20" i="29"/>
  <c r="AA20" i="29"/>
  <c r="AB20" i="29"/>
  <c r="AC20" i="29"/>
  <c r="E21" i="29"/>
  <c r="F21" i="29"/>
  <c r="G21" i="29"/>
  <c r="H21" i="29"/>
  <c r="I21" i="29"/>
  <c r="J21" i="29"/>
  <c r="K21" i="29"/>
  <c r="L21" i="29"/>
  <c r="M21" i="29"/>
  <c r="N21" i="29"/>
  <c r="O21" i="29"/>
  <c r="P21" i="29"/>
  <c r="Q21" i="29"/>
  <c r="R21" i="29"/>
  <c r="S21" i="29"/>
  <c r="T21" i="29"/>
  <c r="U21" i="29"/>
  <c r="V21" i="29"/>
  <c r="W21" i="29"/>
  <c r="X21" i="29"/>
  <c r="Y21" i="29"/>
  <c r="Z21" i="29"/>
  <c r="AA21" i="29"/>
  <c r="AB21" i="29"/>
  <c r="AC21" i="29"/>
  <c r="E22" i="29"/>
  <c r="F22" i="29"/>
  <c r="G22" i="29"/>
  <c r="H22" i="29"/>
  <c r="I22" i="29"/>
  <c r="J22" i="29"/>
  <c r="K22" i="29"/>
  <c r="L22" i="29"/>
  <c r="M22" i="29"/>
  <c r="N22" i="29"/>
  <c r="O22" i="29"/>
  <c r="P22" i="29"/>
  <c r="Q22" i="29"/>
  <c r="R22" i="29"/>
  <c r="S22" i="29"/>
  <c r="T22" i="29"/>
  <c r="U22" i="29"/>
  <c r="V22" i="29"/>
  <c r="W22" i="29"/>
  <c r="X22" i="29"/>
  <c r="Y22" i="29"/>
  <c r="Z22" i="29"/>
  <c r="AA22" i="29"/>
  <c r="AB22" i="29"/>
  <c r="AC22" i="29"/>
  <c r="E23" i="29"/>
  <c r="F23" i="29"/>
  <c r="G23" i="29"/>
  <c r="H23" i="29"/>
  <c r="I23" i="29"/>
  <c r="J23" i="29"/>
  <c r="K23" i="29"/>
  <c r="L23" i="29"/>
  <c r="M23" i="29"/>
  <c r="N23" i="29"/>
  <c r="O23" i="29"/>
  <c r="P23" i="29"/>
  <c r="Q23" i="29"/>
  <c r="R23" i="29"/>
  <c r="S23" i="29"/>
  <c r="T23" i="29"/>
  <c r="U23" i="29"/>
  <c r="V23" i="29"/>
  <c r="W23" i="29"/>
  <c r="X23" i="29"/>
  <c r="Y23" i="29"/>
  <c r="Z23" i="29"/>
  <c r="AA23" i="29"/>
  <c r="AB23" i="29"/>
  <c r="AC23" i="29"/>
  <c r="E24" i="29"/>
  <c r="F24" i="29"/>
  <c r="G24" i="29"/>
  <c r="H24" i="29"/>
  <c r="I24" i="29"/>
  <c r="J24" i="29"/>
  <c r="K24" i="29"/>
  <c r="L24" i="29"/>
  <c r="M24" i="29"/>
  <c r="N24" i="29"/>
  <c r="O24" i="29"/>
  <c r="P24" i="29"/>
  <c r="Q24" i="29"/>
  <c r="R24" i="29"/>
  <c r="S24" i="29"/>
  <c r="T24" i="29"/>
  <c r="U24" i="29"/>
  <c r="V24" i="29"/>
  <c r="W24" i="29"/>
  <c r="X24" i="29"/>
  <c r="Y24" i="29"/>
  <c r="Z24" i="29"/>
  <c r="AA24" i="29"/>
  <c r="AB24" i="29"/>
  <c r="AC24" i="29"/>
  <c r="E25" i="29"/>
  <c r="F25" i="29"/>
  <c r="G25" i="29"/>
  <c r="H25" i="29"/>
  <c r="I25" i="29"/>
  <c r="J25" i="29"/>
  <c r="K25" i="29"/>
  <c r="L25" i="29"/>
  <c r="M25" i="29"/>
  <c r="N25" i="29"/>
  <c r="O25" i="29"/>
  <c r="P25" i="29"/>
  <c r="Q25" i="29"/>
  <c r="R25" i="29"/>
  <c r="S25" i="29"/>
  <c r="T25" i="29"/>
  <c r="U25" i="29"/>
  <c r="V25" i="29"/>
  <c r="W25" i="29"/>
  <c r="X25" i="29"/>
  <c r="Y25" i="29"/>
  <c r="Z25" i="29"/>
  <c r="AA25" i="29"/>
  <c r="AB25" i="29"/>
  <c r="AC25" i="29"/>
  <c r="E26" i="29"/>
  <c r="F26" i="29"/>
  <c r="G26" i="29"/>
  <c r="H26" i="29"/>
  <c r="I26" i="29"/>
  <c r="J26" i="29"/>
  <c r="K26" i="29"/>
  <c r="L26" i="29"/>
  <c r="M26" i="29"/>
  <c r="N26" i="29"/>
  <c r="O26" i="29"/>
  <c r="P26" i="29"/>
  <c r="Q26" i="29"/>
  <c r="R26" i="29"/>
  <c r="S26" i="29"/>
  <c r="T26" i="29"/>
  <c r="U26" i="29"/>
  <c r="V26" i="29"/>
  <c r="W26" i="29"/>
  <c r="X26" i="29"/>
  <c r="Y26" i="29"/>
  <c r="Z26" i="29"/>
  <c r="AA26" i="29"/>
  <c r="AB26" i="29"/>
  <c r="AC26" i="29"/>
  <c r="E27" i="29"/>
  <c r="F27" i="29"/>
  <c r="G27" i="29"/>
  <c r="H27" i="29"/>
  <c r="I27" i="29"/>
  <c r="J27" i="29"/>
  <c r="K27" i="29"/>
  <c r="L27" i="29"/>
  <c r="M27" i="29"/>
  <c r="N27" i="29"/>
  <c r="O27" i="29"/>
  <c r="P27" i="29"/>
  <c r="Q27" i="29"/>
  <c r="R27" i="29"/>
  <c r="S27" i="29"/>
  <c r="T27" i="29"/>
  <c r="U27" i="29"/>
  <c r="V27" i="29"/>
  <c r="W27" i="29"/>
  <c r="X27" i="29"/>
  <c r="Y27" i="29"/>
  <c r="Z27" i="29"/>
  <c r="AA27" i="29"/>
  <c r="AB27" i="29"/>
  <c r="AC27" i="29"/>
  <c r="E28" i="29"/>
  <c r="F28" i="29"/>
  <c r="G28" i="29"/>
  <c r="H28" i="29"/>
  <c r="I28" i="29"/>
  <c r="J28" i="29"/>
  <c r="K28" i="29"/>
  <c r="L28" i="29"/>
  <c r="M28" i="29"/>
  <c r="N28" i="29"/>
  <c r="O28" i="29"/>
  <c r="P28" i="29"/>
  <c r="Q28" i="29"/>
  <c r="R28" i="29"/>
  <c r="S28" i="29"/>
  <c r="T28" i="29"/>
  <c r="U28" i="29"/>
  <c r="V28" i="29"/>
  <c r="W28" i="29"/>
  <c r="X28" i="29"/>
  <c r="Y28" i="29"/>
  <c r="Z28" i="29"/>
  <c r="AA28" i="29"/>
  <c r="AB28" i="29"/>
  <c r="AC28" i="29"/>
  <c r="E29" i="29"/>
  <c r="F29" i="29"/>
  <c r="G29" i="29"/>
  <c r="H29" i="29"/>
  <c r="I29" i="29"/>
  <c r="J29" i="29"/>
  <c r="K29" i="29"/>
  <c r="L29" i="29"/>
  <c r="M29" i="29"/>
  <c r="N29" i="29"/>
  <c r="O29" i="29"/>
  <c r="P29" i="29"/>
  <c r="Q29" i="29"/>
  <c r="R29" i="29"/>
  <c r="S29" i="29"/>
  <c r="T29" i="29"/>
  <c r="U29" i="29"/>
  <c r="V29" i="29"/>
  <c r="W29" i="29"/>
  <c r="X29" i="29"/>
  <c r="Y29" i="29"/>
  <c r="Z29" i="29"/>
  <c r="AA29" i="29"/>
  <c r="AB29" i="29"/>
  <c r="AC29" i="29"/>
  <c r="E30" i="29"/>
  <c r="F30" i="29"/>
  <c r="G30" i="29"/>
  <c r="H30" i="29"/>
  <c r="I30" i="29"/>
  <c r="J30" i="29"/>
  <c r="K30" i="29"/>
  <c r="L30" i="29"/>
  <c r="M30" i="29"/>
  <c r="N30" i="29"/>
  <c r="O30" i="29"/>
  <c r="P30" i="29"/>
  <c r="Q30" i="29"/>
  <c r="R30" i="29"/>
  <c r="S30" i="29"/>
  <c r="T30" i="29"/>
  <c r="U30" i="29"/>
  <c r="V30" i="29"/>
  <c r="W30" i="29"/>
  <c r="X30" i="29"/>
  <c r="Y30" i="29"/>
  <c r="Z30" i="29"/>
  <c r="AA30" i="29"/>
  <c r="AB30" i="29"/>
  <c r="AC30" i="29"/>
  <c r="E31" i="29"/>
  <c r="F31" i="29"/>
  <c r="G31" i="29"/>
  <c r="H31" i="29"/>
  <c r="I31" i="29"/>
  <c r="J31" i="29"/>
  <c r="K31" i="29"/>
  <c r="L31" i="29"/>
  <c r="M31" i="29"/>
  <c r="N31" i="29"/>
  <c r="O31" i="29"/>
  <c r="P31" i="29"/>
  <c r="Q31" i="29"/>
  <c r="R31" i="29"/>
  <c r="S31" i="29"/>
  <c r="T31" i="29"/>
  <c r="U31" i="29"/>
  <c r="V31" i="29"/>
  <c r="W31" i="29"/>
  <c r="X31" i="29"/>
  <c r="Y31" i="29"/>
  <c r="Z31" i="29"/>
  <c r="AA31" i="29"/>
  <c r="AB31" i="29"/>
  <c r="AC31" i="29"/>
  <c r="E32" i="29"/>
  <c r="F32" i="29"/>
  <c r="G32" i="29"/>
  <c r="H32" i="29"/>
  <c r="I32" i="29"/>
  <c r="J32" i="29"/>
  <c r="K32" i="29"/>
  <c r="L32" i="29"/>
  <c r="M32" i="29"/>
  <c r="N32" i="29"/>
  <c r="O32" i="29"/>
  <c r="P32" i="29"/>
  <c r="Q32" i="29"/>
  <c r="R32" i="29"/>
  <c r="S32" i="29"/>
  <c r="T32" i="29"/>
  <c r="U32" i="29"/>
  <c r="V32" i="29"/>
  <c r="W32" i="29"/>
  <c r="X32" i="29"/>
  <c r="Y32" i="29"/>
  <c r="Z32" i="29"/>
  <c r="AA32" i="29"/>
  <c r="AB32" i="29"/>
  <c r="AC32" i="29"/>
  <c r="E33" i="29"/>
  <c r="F33" i="29"/>
  <c r="G33" i="29"/>
  <c r="H33" i="29"/>
  <c r="I33" i="29"/>
  <c r="J33" i="29"/>
  <c r="K33" i="29"/>
  <c r="L33" i="29"/>
  <c r="M33" i="29"/>
  <c r="N33" i="29"/>
  <c r="O33" i="29"/>
  <c r="P33" i="29"/>
  <c r="Q33" i="29"/>
  <c r="R33" i="29"/>
  <c r="S33" i="29"/>
  <c r="T33" i="29"/>
  <c r="U33" i="29"/>
  <c r="V33" i="29"/>
  <c r="W33" i="29"/>
  <c r="X33" i="29"/>
  <c r="Y33" i="29"/>
  <c r="Z33" i="29"/>
  <c r="AA33" i="29"/>
  <c r="AB33" i="29"/>
  <c r="AC33" i="29"/>
  <c r="E34" i="29"/>
  <c r="F34" i="29"/>
  <c r="G34" i="29"/>
  <c r="H34" i="29"/>
  <c r="I34" i="29"/>
  <c r="J34" i="29"/>
  <c r="K34" i="29"/>
  <c r="L34" i="29"/>
  <c r="M34" i="29"/>
  <c r="N34" i="29"/>
  <c r="O34" i="29"/>
  <c r="P34" i="29"/>
  <c r="Q34" i="29"/>
  <c r="R34" i="29"/>
  <c r="S34" i="29"/>
  <c r="T34" i="29"/>
  <c r="U34" i="29"/>
  <c r="V34" i="29"/>
  <c r="W34" i="29"/>
  <c r="X34" i="29"/>
  <c r="Y34" i="29"/>
  <c r="Z34" i="29"/>
  <c r="AA34" i="29"/>
  <c r="AB34" i="29"/>
  <c r="AC34" i="29"/>
  <c r="E35" i="29"/>
  <c r="F35" i="29"/>
  <c r="G35" i="29"/>
  <c r="H35" i="29"/>
  <c r="I35" i="29"/>
  <c r="J35" i="29"/>
  <c r="K35" i="29"/>
  <c r="L35" i="29"/>
  <c r="M35" i="29"/>
  <c r="N35" i="29"/>
  <c r="O35" i="29"/>
  <c r="P35" i="29"/>
  <c r="Q35" i="29"/>
  <c r="R35" i="29"/>
  <c r="S35" i="29"/>
  <c r="T35" i="29"/>
  <c r="U35" i="29"/>
  <c r="V35" i="29"/>
  <c r="W35" i="29"/>
  <c r="X35" i="29"/>
  <c r="Y35" i="29"/>
  <c r="Z35" i="29"/>
  <c r="AA35" i="29"/>
  <c r="AB35" i="29"/>
  <c r="AC35" i="29"/>
  <c r="E36" i="29"/>
  <c r="F36" i="29"/>
  <c r="G36" i="29"/>
  <c r="H36" i="29"/>
  <c r="I36" i="29"/>
  <c r="J36" i="29"/>
  <c r="K36" i="29"/>
  <c r="L36" i="29"/>
  <c r="M36" i="29"/>
  <c r="N36" i="29"/>
  <c r="O36" i="29"/>
  <c r="P36" i="29"/>
  <c r="Q36" i="29"/>
  <c r="R36" i="29"/>
  <c r="S36" i="29"/>
  <c r="T36" i="29"/>
  <c r="U36" i="29"/>
  <c r="V36" i="29"/>
  <c r="W36" i="29"/>
  <c r="X36" i="29"/>
  <c r="Y36" i="29"/>
  <c r="Z36" i="29"/>
  <c r="AA36" i="29"/>
  <c r="AB36" i="29"/>
  <c r="AC36" i="29"/>
  <c r="E37" i="29"/>
  <c r="F37" i="29"/>
  <c r="G37" i="29"/>
  <c r="H37" i="29"/>
  <c r="I37" i="29"/>
  <c r="J37" i="29"/>
  <c r="K37" i="29"/>
  <c r="L37" i="29"/>
  <c r="M37" i="29"/>
  <c r="N37" i="29"/>
  <c r="O37" i="29"/>
  <c r="P37" i="29"/>
  <c r="Q37" i="29"/>
  <c r="R37" i="29"/>
  <c r="S37" i="29"/>
  <c r="T37" i="29"/>
  <c r="U37" i="29"/>
  <c r="V37" i="29"/>
  <c r="W37" i="29"/>
  <c r="X37" i="29"/>
  <c r="Y37" i="29"/>
  <c r="Z37" i="29"/>
  <c r="AA37" i="29"/>
  <c r="AB37" i="29"/>
  <c r="AC37" i="29"/>
  <c r="E38" i="29"/>
  <c r="F38" i="29"/>
  <c r="G38" i="29"/>
  <c r="H38" i="29"/>
  <c r="I38" i="29"/>
  <c r="J38" i="29"/>
  <c r="K38" i="29"/>
  <c r="L38" i="29"/>
  <c r="M38" i="29"/>
  <c r="N38" i="29"/>
  <c r="O38" i="29"/>
  <c r="P38" i="29"/>
  <c r="Q38" i="29"/>
  <c r="R38" i="29"/>
  <c r="S38" i="29"/>
  <c r="T38" i="29"/>
  <c r="U38" i="29"/>
  <c r="V38" i="29"/>
  <c r="W38" i="29"/>
  <c r="X38" i="29"/>
  <c r="Y38" i="29"/>
  <c r="Z38" i="29"/>
  <c r="AA38" i="29"/>
  <c r="AB38" i="29"/>
  <c r="AC38" i="29"/>
  <c r="E39" i="29"/>
  <c r="F39" i="29"/>
  <c r="G39" i="29"/>
  <c r="H39" i="29"/>
  <c r="I39" i="29"/>
  <c r="J39" i="29"/>
  <c r="K39" i="29"/>
  <c r="L39" i="29"/>
  <c r="M39" i="29"/>
  <c r="N39" i="29"/>
  <c r="O39" i="29"/>
  <c r="P39" i="29"/>
  <c r="Q39" i="29"/>
  <c r="R39" i="29"/>
  <c r="S39" i="29"/>
  <c r="T39" i="29"/>
  <c r="U39" i="29"/>
  <c r="V39" i="29"/>
  <c r="W39" i="29"/>
  <c r="X39" i="29"/>
  <c r="Y39" i="29"/>
  <c r="Z39" i="29"/>
  <c r="AA39" i="29"/>
  <c r="AB39" i="29"/>
  <c r="AC39" i="29"/>
  <c r="E40" i="29"/>
  <c r="F40" i="29"/>
  <c r="G40" i="29"/>
  <c r="H40" i="29"/>
  <c r="I40" i="29"/>
  <c r="J40" i="29"/>
  <c r="K40" i="29"/>
  <c r="L40" i="29"/>
  <c r="M40" i="29"/>
  <c r="N40" i="29"/>
  <c r="O40" i="29"/>
  <c r="P40" i="29"/>
  <c r="Q40" i="29"/>
  <c r="R40" i="29"/>
  <c r="S40" i="29"/>
  <c r="T40" i="29"/>
  <c r="U40" i="29"/>
  <c r="V40" i="29"/>
  <c r="W40" i="29"/>
  <c r="X40" i="29"/>
  <c r="Y40" i="29"/>
  <c r="Z40" i="29"/>
  <c r="AA40" i="29"/>
  <c r="AB40" i="29"/>
  <c r="AC40" i="29"/>
  <c r="E41" i="29"/>
  <c r="F41" i="29"/>
  <c r="G41" i="29"/>
  <c r="H41" i="29"/>
  <c r="I41" i="29"/>
  <c r="J41" i="29"/>
  <c r="K41" i="29"/>
  <c r="L41" i="29"/>
  <c r="M41" i="29"/>
  <c r="N41" i="29"/>
  <c r="O41" i="29"/>
  <c r="P41" i="29"/>
  <c r="Q41" i="29"/>
  <c r="R41" i="29"/>
  <c r="S41" i="29"/>
  <c r="T41" i="29"/>
  <c r="U41" i="29"/>
  <c r="V41" i="29"/>
  <c r="W41" i="29"/>
  <c r="X41" i="29"/>
  <c r="Y41" i="29"/>
  <c r="Z41" i="29"/>
  <c r="AA41" i="29"/>
  <c r="AB41" i="29"/>
  <c r="AC41" i="29"/>
  <c r="E42" i="29"/>
  <c r="F42" i="29"/>
  <c r="G42" i="29"/>
  <c r="H42" i="29"/>
  <c r="I42" i="29"/>
  <c r="J42" i="29"/>
  <c r="K42" i="29"/>
  <c r="L42" i="29"/>
  <c r="M42" i="29"/>
  <c r="N42" i="29"/>
  <c r="O42" i="29"/>
  <c r="P42" i="29"/>
  <c r="Q42" i="29"/>
  <c r="R42" i="29"/>
  <c r="S42" i="29"/>
  <c r="T42" i="29"/>
  <c r="U42" i="29"/>
  <c r="V42" i="29"/>
  <c r="W42" i="29"/>
  <c r="X42" i="29"/>
  <c r="Y42" i="29"/>
  <c r="Z42" i="29"/>
  <c r="AA42" i="29"/>
  <c r="AB42" i="29"/>
  <c r="AC42" i="29"/>
  <c r="E43" i="29"/>
  <c r="F43" i="29"/>
  <c r="G43" i="29"/>
  <c r="H43" i="29"/>
  <c r="I43" i="29"/>
  <c r="J43" i="29"/>
  <c r="K43" i="29"/>
  <c r="L43" i="29"/>
  <c r="M43" i="29"/>
  <c r="N43" i="29"/>
  <c r="O43" i="29"/>
  <c r="P43" i="29"/>
  <c r="Q43" i="29"/>
  <c r="R43" i="29"/>
  <c r="S43" i="29"/>
  <c r="T43" i="29"/>
  <c r="U43" i="29"/>
  <c r="V43" i="29"/>
  <c r="W43" i="29"/>
  <c r="X43" i="29"/>
  <c r="Y43" i="29"/>
  <c r="Z43" i="29"/>
  <c r="AA43" i="29"/>
  <c r="AB43" i="29"/>
  <c r="AC43" i="29"/>
  <c r="E44" i="29"/>
  <c r="F44" i="29"/>
  <c r="G44" i="29"/>
  <c r="H44" i="29"/>
  <c r="I44" i="29"/>
  <c r="J44" i="29"/>
  <c r="K44" i="29"/>
  <c r="L44" i="29"/>
  <c r="M44" i="29"/>
  <c r="N44" i="29"/>
  <c r="O44" i="29"/>
  <c r="P44" i="29"/>
  <c r="Q44" i="29"/>
  <c r="R44" i="29"/>
  <c r="S44" i="29"/>
  <c r="T44" i="29"/>
  <c r="U44" i="29"/>
  <c r="V44" i="29"/>
  <c r="W44" i="29"/>
  <c r="X44" i="29"/>
  <c r="Y44" i="29"/>
  <c r="Z44" i="29"/>
  <c r="AA44" i="29"/>
  <c r="AB44" i="29"/>
  <c r="AC44" i="29"/>
  <c r="E45" i="29"/>
  <c r="F45" i="29"/>
  <c r="G45" i="29"/>
  <c r="H45" i="29"/>
  <c r="I45" i="29"/>
  <c r="J45" i="29"/>
  <c r="K45" i="29"/>
  <c r="L45" i="29"/>
  <c r="M45" i="29"/>
  <c r="N45" i="29"/>
  <c r="O45" i="29"/>
  <c r="P45" i="29"/>
  <c r="Q45" i="29"/>
  <c r="R45" i="29"/>
  <c r="S45" i="29"/>
  <c r="T45" i="29"/>
  <c r="U45" i="29"/>
  <c r="V45" i="29"/>
  <c r="W45" i="29"/>
  <c r="X45" i="29"/>
  <c r="Y45" i="29"/>
  <c r="Z45" i="29"/>
  <c r="AA45" i="29"/>
  <c r="AB45" i="29"/>
  <c r="AC45" i="29"/>
  <c r="E46" i="29"/>
  <c r="F46" i="29"/>
  <c r="G46" i="29"/>
  <c r="H46" i="29"/>
  <c r="I46" i="29"/>
  <c r="J46" i="29"/>
  <c r="K46" i="29"/>
  <c r="L46" i="29"/>
  <c r="M46" i="29"/>
  <c r="N46" i="29"/>
  <c r="O46" i="29"/>
  <c r="P46" i="29"/>
  <c r="Q46" i="29"/>
  <c r="R46" i="29"/>
  <c r="S46" i="29"/>
  <c r="T46" i="29"/>
  <c r="U46" i="29"/>
  <c r="V46" i="29"/>
  <c r="W46" i="29"/>
  <c r="X46" i="29"/>
  <c r="Y46" i="29"/>
  <c r="Z46" i="29"/>
  <c r="AA46" i="29"/>
  <c r="AB46" i="29"/>
  <c r="AC46" i="29"/>
  <c r="E47" i="29"/>
  <c r="F47" i="29"/>
  <c r="G47" i="29"/>
  <c r="H47" i="29"/>
  <c r="I47" i="29"/>
  <c r="J47" i="29"/>
  <c r="K47" i="29"/>
  <c r="L47" i="29"/>
  <c r="M47" i="29"/>
  <c r="N47" i="29"/>
  <c r="O47" i="29"/>
  <c r="P47" i="29"/>
  <c r="Q47" i="29"/>
  <c r="R47" i="29"/>
  <c r="S47" i="29"/>
  <c r="T47" i="29"/>
  <c r="U47" i="29"/>
  <c r="V47" i="29"/>
  <c r="W47" i="29"/>
  <c r="X47" i="29"/>
  <c r="Y47" i="29"/>
  <c r="Z47" i="29"/>
  <c r="AA47" i="29"/>
  <c r="AB47" i="29"/>
  <c r="AC47" i="29"/>
  <c r="E48" i="29"/>
  <c r="F48" i="29"/>
  <c r="G48" i="29"/>
  <c r="H48" i="29"/>
  <c r="I48" i="29"/>
  <c r="J48" i="29"/>
  <c r="K48" i="29"/>
  <c r="L48" i="29"/>
  <c r="M48" i="29"/>
  <c r="N48" i="29"/>
  <c r="O48" i="29"/>
  <c r="P48" i="29"/>
  <c r="Q48" i="29"/>
  <c r="R48" i="29"/>
  <c r="S48" i="29"/>
  <c r="T48" i="29"/>
  <c r="U48" i="29"/>
  <c r="V48" i="29"/>
  <c r="W48" i="29"/>
  <c r="X48" i="29"/>
  <c r="Y48" i="29"/>
  <c r="Z48" i="29"/>
  <c r="AA48" i="29"/>
  <c r="AB48" i="29"/>
  <c r="AC48" i="29"/>
  <c r="E49" i="29"/>
  <c r="F49" i="29"/>
  <c r="G49" i="29"/>
  <c r="H49" i="29"/>
  <c r="I49" i="29"/>
  <c r="J49" i="29"/>
  <c r="K49" i="29"/>
  <c r="L49" i="29"/>
  <c r="M49" i="29"/>
  <c r="N49" i="29"/>
  <c r="O49" i="29"/>
  <c r="P49" i="29"/>
  <c r="Q49" i="29"/>
  <c r="R49" i="29"/>
  <c r="S49" i="29"/>
  <c r="T49" i="29"/>
  <c r="U49" i="29"/>
  <c r="V49" i="29"/>
  <c r="W49" i="29"/>
  <c r="X49" i="29"/>
  <c r="Y49" i="29"/>
  <c r="Z49" i="29"/>
  <c r="AA49" i="29"/>
  <c r="AB49" i="29"/>
  <c r="AC49" i="29"/>
  <c r="E50" i="29"/>
  <c r="F50" i="29"/>
  <c r="G50" i="29"/>
  <c r="H50" i="29"/>
  <c r="I50" i="29"/>
  <c r="J50" i="29"/>
  <c r="K50" i="29"/>
  <c r="L50" i="29"/>
  <c r="M50" i="29"/>
  <c r="N50" i="29"/>
  <c r="O50" i="29"/>
  <c r="P50" i="29"/>
  <c r="Q50" i="29"/>
  <c r="R50" i="29"/>
  <c r="S50" i="29"/>
  <c r="T50" i="29"/>
  <c r="U50" i="29"/>
  <c r="V50" i="29"/>
  <c r="W50" i="29"/>
  <c r="X50" i="29"/>
  <c r="Y50" i="29"/>
  <c r="Z50" i="29"/>
  <c r="AA50" i="29"/>
  <c r="AB50" i="29"/>
  <c r="AC50" i="29"/>
  <c r="E51" i="29"/>
  <c r="F51" i="29"/>
  <c r="G51" i="29"/>
  <c r="H51" i="29"/>
  <c r="I51" i="29"/>
  <c r="J51" i="29"/>
  <c r="K51" i="29"/>
  <c r="L51" i="29"/>
  <c r="M51" i="29"/>
  <c r="N51" i="29"/>
  <c r="O51" i="29"/>
  <c r="P51" i="29"/>
  <c r="Q51" i="29"/>
  <c r="R51" i="29"/>
  <c r="S51" i="29"/>
  <c r="T51" i="29"/>
  <c r="U51" i="29"/>
  <c r="V51" i="29"/>
  <c r="W51" i="29"/>
  <c r="X51" i="29"/>
  <c r="Y51" i="29"/>
  <c r="Z51" i="29"/>
  <c r="AA51" i="29"/>
  <c r="AB51" i="29"/>
  <c r="AC51" i="29"/>
  <c r="E52" i="29"/>
  <c r="F52" i="29"/>
  <c r="G52" i="29"/>
  <c r="H52" i="29"/>
  <c r="I52" i="29"/>
  <c r="J52" i="29"/>
  <c r="K52" i="29"/>
  <c r="L52" i="29"/>
  <c r="M52" i="29"/>
  <c r="N52" i="29"/>
  <c r="O52" i="29"/>
  <c r="P52" i="29"/>
  <c r="Q52" i="29"/>
  <c r="R52" i="29"/>
  <c r="S52" i="29"/>
  <c r="T52" i="29"/>
  <c r="U52" i="29"/>
  <c r="V52" i="29"/>
  <c r="W52" i="29"/>
  <c r="X52" i="29"/>
  <c r="Y52" i="29"/>
  <c r="Z52" i="29"/>
  <c r="AA52" i="29"/>
  <c r="AB52" i="29"/>
  <c r="AC52" i="29"/>
  <c r="E53" i="29"/>
  <c r="F53" i="29"/>
  <c r="G53" i="29"/>
  <c r="H53" i="29"/>
  <c r="I53" i="29"/>
  <c r="J53" i="29"/>
  <c r="K53" i="29"/>
  <c r="L53" i="29"/>
  <c r="M53" i="29"/>
  <c r="N53" i="29"/>
  <c r="O53" i="29"/>
  <c r="P53" i="29"/>
  <c r="Q53" i="29"/>
  <c r="R53" i="29"/>
  <c r="S53" i="29"/>
  <c r="T53" i="29"/>
  <c r="U53" i="29"/>
  <c r="V53" i="29"/>
  <c r="W53" i="29"/>
  <c r="X53" i="29"/>
  <c r="Y53" i="29"/>
  <c r="Z53" i="29"/>
  <c r="AA53" i="29"/>
  <c r="AB53" i="29"/>
  <c r="AC53" i="29"/>
  <c r="E54" i="29"/>
  <c r="F54" i="29"/>
  <c r="G54" i="29"/>
  <c r="H54" i="29"/>
  <c r="I54" i="29"/>
  <c r="J54" i="29"/>
  <c r="K54" i="29"/>
  <c r="L54" i="29"/>
  <c r="M54" i="29"/>
  <c r="N54" i="29"/>
  <c r="O54" i="29"/>
  <c r="P54" i="29"/>
  <c r="Q54" i="29"/>
  <c r="R54" i="29"/>
  <c r="S54" i="29"/>
  <c r="T54" i="29"/>
  <c r="U54" i="29"/>
  <c r="V54" i="29"/>
  <c r="W54" i="29"/>
  <c r="X54" i="29"/>
  <c r="Y54" i="29"/>
  <c r="Z54" i="29"/>
  <c r="AA54" i="29"/>
  <c r="AB54" i="29"/>
  <c r="AC54" i="29"/>
  <c r="E55" i="29"/>
  <c r="F55" i="29"/>
  <c r="G55" i="29"/>
  <c r="H55" i="29"/>
  <c r="I55" i="29"/>
  <c r="J55" i="29"/>
  <c r="K55" i="29"/>
  <c r="L55" i="29"/>
  <c r="M55" i="29"/>
  <c r="N55" i="29"/>
  <c r="O55" i="29"/>
  <c r="P55" i="29"/>
  <c r="Q55" i="29"/>
  <c r="R55" i="29"/>
  <c r="S55" i="29"/>
  <c r="T55" i="29"/>
  <c r="U55" i="29"/>
  <c r="V55" i="29"/>
  <c r="W55" i="29"/>
  <c r="X55" i="29"/>
  <c r="Y55" i="29"/>
  <c r="Z55" i="29"/>
  <c r="AA55" i="29"/>
  <c r="AB55" i="29"/>
  <c r="AC55" i="29"/>
  <c r="E56" i="29"/>
  <c r="F56" i="29"/>
  <c r="G56" i="29"/>
  <c r="H56" i="29"/>
  <c r="I56" i="29"/>
  <c r="J56" i="29"/>
  <c r="K56" i="29"/>
  <c r="L56" i="29"/>
  <c r="M56" i="29"/>
  <c r="N56" i="29"/>
  <c r="O56" i="29"/>
  <c r="P56" i="29"/>
  <c r="Q56" i="29"/>
  <c r="R56" i="29"/>
  <c r="S56" i="29"/>
  <c r="T56" i="29"/>
  <c r="U56" i="29"/>
  <c r="V56" i="29"/>
  <c r="W56" i="29"/>
  <c r="X56" i="29"/>
  <c r="Y56" i="29"/>
  <c r="Z56" i="29"/>
  <c r="AA56" i="29"/>
  <c r="AB56" i="29"/>
  <c r="AC56" i="29"/>
  <c r="E57" i="29"/>
  <c r="F57" i="29"/>
  <c r="G57" i="29"/>
  <c r="H57" i="29"/>
  <c r="I57" i="29"/>
  <c r="J57" i="29"/>
  <c r="K57" i="29"/>
  <c r="L57" i="29"/>
  <c r="M57" i="29"/>
  <c r="N57" i="29"/>
  <c r="O57" i="29"/>
  <c r="P57" i="29"/>
  <c r="Q57" i="29"/>
  <c r="R57" i="29"/>
  <c r="S57" i="29"/>
  <c r="T57" i="29"/>
  <c r="U57" i="29"/>
  <c r="V57" i="29"/>
  <c r="W57" i="29"/>
  <c r="X57" i="29"/>
  <c r="Y57" i="29"/>
  <c r="Z57" i="29"/>
  <c r="AA57" i="29"/>
  <c r="AB57" i="29"/>
  <c r="AC57" i="29"/>
  <c r="E58" i="29"/>
  <c r="F58" i="29"/>
  <c r="G58" i="29"/>
  <c r="H58" i="29"/>
  <c r="I58" i="29"/>
  <c r="J58" i="29"/>
  <c r="K58" i="29"/>
  <c r="L58" i="29"/>
  <c r="M58" i="29"/>
  <c r="N58" i="29"/>
  <c r="O58" i="29"/>
  <c r="P58" i="29"/>
  <c r="Q58" i="29"/>
  <c r="R58" i="29"/>
  <c r="S58" i="29"/>
  <c r="T58" i="29"/>
  <c r="U58" i="29"/>
  <c r="V58" i="29"/>
  <c r="W58" i="29"/>
  <c r="X58" i="29"/>
  <c r="Y58" i="29"/>
  <c r="Z58" i="29"/>
  <c r="AA58" i="29"/>
  <c r="AB58" i="29"/>
  <c r="AC58" i="29"/>
  <c r="E59" i="29"/>
  <c r="F59" i="29"/>
  <c r="G59" i="29"/>
  <c r="H59" i="29"/>
  <c r="I59" i="29"/>
  <c r="J59" i="29"/>
  <c r="K59" i="29"/>
  <c r="L59" i="29"/>
  <c r="M59" i="29"/>
  <c r="N59" i="29"/>
  <c r="O59" i="29"/>
  <c r="P59" i="29"/>
  <c r="Q59" i="29"/>
  <c r="R59" i="29"/>
  <c r="S59" i="29"/>
  <c r="T59" i="29"/>
  <c r="U59" i="29"/>
  <c r="V59" i="29"/>
  <c r="W59" i="29"/>
  <c r="X59" i="29"/>
  <c r="Y59" i="29"/>
  <c r="Z59" i="29"/>
  <c r="AA59" i="29"/>
  <c r="AB59" i="29"/>
  <c r="AC59" i="29"/>
  <c r="E60" i="29"/>
  <c r="F60" i="29"/>
  <c r="G60" i="29"/>
  <c r="H60" i="29"/>
  <c r="I60" i="29"/>
  <c r="J60" i="29"/>
  <c r="K60" i="29"/>
  <c r="L60" i="29"/>
  <c r="M60" i="29"/>
  <c r="N60" i="29"/>
  <c r="O60" i="29"/>
  <c r="P60" i="29"/>
  <c r="Q60" i="29"/>
  <c r="R60" i="29"/>
  <c r="S60" i="29"/>
  <c r="T60" i="29"/>
  <c r="U60" i="29"/>
  <c r="V60" i="29"/>
  <c r="W60" i="29"/>
  <c r="X60" i="29"/>
  <c r="Y60" i="29"/>
  <c r="Z60" i="29"/>
  <c r="AA60" i="29"/>
  <c r="AB60" i="29"/>
  <c r="AC60" i="29"/>
  <c r="E61" i="29"/>
  <c r="F61" i="29"/>
  <c r="G61" i="29"/>
  <c r="H61" i="29"/>
  <c r="I61" i="29"/>
  <c r="J61" i="29"/>
  <c r="K61" i="29"/>
  <c r="L61" i="29"/>
  <c r="M61" i="29"/>
  <c r="N61" i="29"/>
  <c r="O61" i="29"/>
  <c r="P61" i="29"/>
  <c r="Q61" i="29"/>
  <c r="R61" i="29"/>
  <c r="S61" i="29"/>
  <c r="T61" i="29"/>
  <c r="U61" i="29"/>
  <c r="V61" i="29"/>
  <c r="W61" i="29"/>
  <c r="X61" i="29"/>
  <c r="Y61" i="29"/>
  <c r="Z61" i="29"/>
  <c r="AA61" i="29"/>
  <c r="AB61" i="29"/>
  <c r="AC61" i="29"/>
  <c r="I16" i="10"/>
  <c r="J16" i="10"/>
  <c r="K16" i="10" s="1"/>
  <c r="L16" i="10" s="1"/>
  <c r="M16" i="10" s="1"/>
  <c r="N16" i="10" s="1"/>
  <c r="H16" i="10"/>
  <c r="C3" i="29"/>
  <c r="D3" i="29"/>
  <c r="C4" i="29"/>
  <c r="D4" i="29"/>
  <c r="C5" i="29"/>
  <c r="D5" i="29"/>
  <c r="C9" i="29"/>
  <c r="D9" i="29"/>
  <c r="C10" i="29"/>
  <c r="D10" i="29"/>
  <c r="C11" i="29"/>
  <c r="D11" i="29"/>
  <c r="C12" i="29"/>
  <c r="D12" i="29"/>
  <c r="C13" i="29"/>
  <c r="D13" i="29"/>
  <c r="C14" i="29"/>
  <c r="D14" i="29"/>
  <c r="C15" i="29"/>
  <c r="D15" i="29"/>
  <c r="C16" i="29"/>
  <c r="D16" i="29"/>
  <c r="C17" i="29"/>
  <c r="D17" i="29"/>
  <c r="C18" i="29"/>
  <c r="D18" i="29"/>
  <c r="C19" i="29"/>
  <c r="D19" i="29"/>
  <c r="C20" i="29"/>
  <c r="D20" i="29"/>
  <c r="C24" i="29"/>
  <c r="D24" i="29"/>
  <c r="C25" i="29"/>
  <c r="C26" i="29"/>
  <c r="D26" i="29"/>
  <c r="C27" i="29"/>
  <c r="D27" i="29"/>
  <c r="C28" i="29"/>
  <c r="D28" i="29"/>
  <c r="C29" i="29"/>
  <c r="D29" i="29"/>
  <c r="C30" i="29"/>
  <c r="C31" i="29"/>
  <c r="D31" i="29"/>
  <c r="C33" i="29"/>
  <c r="D33" i="29"/>
  <c r="C35" i="29"/>
  <c r="D35" i="29"/>
  <c r="C36" i="29"/>
  <c r="D36" i="29"/>
  <c r="C37" i="29"/>
  <c r="D37" i="29"/>
  <c r="C38" i="29"/>
  <c r="D38" i="29"/>
  <c r="C40" i="29"/>
  <c r="D40" i="29"/>
  <c r="C42" i="29"/>
  <c r="D42" i="29"/>
  <c r="C43" i="29"/>
  <c r="D43" i="29"/>
  <c r="C44" i="29"/>
  <c r="D44" i="29"/>
  <c r="C45" i="29"/>
  <c r="D45" i="29"/>
  <c r="C46" i="29"/>
  <c r="D46" i="29"/>
  <c r="C48" i="29"/>
  <c r="C49" i="29"/>
  <c r="C50" i="29"/>
  <c r="D50" i="29"/>
  <c r="C51" i="29"/>
  <c r="D51" i="29"/>
  <c r="C52" i="29"/>
  <c r="D52" i="29"/>
  <c r="C53" i="29"/>
  <c r="D53" i="29"/>
  <c r="C54" i="29"/>
  <c r="D54" i="29"/>
  <c r="C55" i="29"/>
  <c r="D55" i="29"/>
  <c r="C56" i="29"/>
  <c r="D56" i="29"/>
  <c r="C57" i="29"/>
  <c r="D57" i="29"/>
  <c r="C58" i="29"/>
  <c r="D58" i="29"/>
  <c r="C59" i="29"/>
  <c r="D59" i="29"/>
  <c r="C60" i="29"/>
  <c r="D60" i="29"/>
  <c r="C61" i="29"/>
  <c r="D61" i="29"/>
  <c r="C2" i="6"/>
  <c r="D2" i="6"/>
  <c r="E2" i="6"/>
  <c r="AK2" i="6"/>
  <c r="AL2" i="6"/>
  <c r="AM2" i="6"/>
  <c r="AN2" i="6"/>
  <c r="AO2" i="6"/>
  <c r="AP2" i="6"/>
  <c r="B2" i="6"/>
  <c r="A3" i="32"/>
  <c r="A4" i="32"/>
  <c r="Q2" i="6" s="1"/>
  <c r="A5" i="32"/>
  <c r="R2" i="6" s="1"/>
  <c r="A6" i="32"/>
  <c r="T2" i="6" s="1"/>
  <c r="A7" i="32"/>
  <c r="Z2" i="6" s="1"/>
  <c r="A8" i="32"/>
  <c r="U2" i="6" s="1"/>
  <c r="A9" i="32"/>
  <c r="F2" i="6" s="1"/>
  <c r="A10" i="32"/>
  <c r="A11" i="32"/>
  <c r="A12" i="32"/>
  <c r="A13" i="32"/>
  <c r="A14" i="32"/>
  <c r="AB2" i="6" s="1"/>
  <c r="A15" i="32"/>
  <c r="AG2" i="6" s="1"/>
  <c r="A16" i="32"/>
  <c r="M2" i="6" s="1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P2" i="6" s="1"/>
  <c r="D61" i="32"/>
  <c r="C61" i="32"/>
  <c r="D60" i="32"/>
  <c r="C60" i="32"/>
  <c r="D59" i="32"/>
  <c r="C59" i="32"/>
  <c r="D58" i="32"/>
  <c r="C58" i="32"/>
  <c r="D57" i="32"/>
  <c r="C57" i="32"/>
  <c r="D56" i="32"/>
  <c r="C56" i="32"/>
  <c r="D55" i="32"/>
  <c r="C55" i="32"/>
  <c r="D54" i="32"/>
  <c r="C54" i="32"/>
  <c r="D53" i="32"/>
  <c r="C53" i="32"/>
  <c r="D52" i="32"/>
  <c r="C52" i="32"/>
  <c r="D51" i="32"/>
  <c r="C51" i="32"/>
  <c r="D50" i="32"/>
  <c r="C50" i="32"/>
  <c r="D49" i="32"/>
  <c r="C49" i="32"/>
  <c r="D48" i="32"/>
  <c r="C48" i="32"/>
  <c r="D47" i="32"/>
  <c r="C47" i="32"/>
  <c r="D46" i="32"/>
  <c r="C46" i="32"/>
  <c r="D45" i="32"/>
  <c r="C45" i="32"/>
  <c r="D44" i="32"/>
  <c r="C44" i="32"/>
  <c r="D43" i="32"/>
  <c r="C43" i="32"/>
  <c r="D42" i="32"/>
  <c r="C42" i="32"/>
  <c r="D41" i="32"/>
  <c r="C41" i="32"/>
  <c r="D40" i="32"/>
  <c r="C40" i="32"/>
  <c r="D39" i="32"/>
  <c r="C39" i="32"/>
  <c r="D38" i="32"/>
  <c r="C38" i="32"/>
  <c r="D37" i="32"/>
  <c r="C37" i="32"/>
  <c r="D36" i="32"/>
  <c r="C36" i="32"/>
  <c r="D35" i="32"/>
  <c r="C35" i="32"/>
  <c r="D34" i="32"/>
  <c r="C34" i="32"/>
  <c r="D33" i="32"/>
  <c r="C33" i="32"/>
  <c r="D32" i="32"/>
  <c r="C32" i="32"/>
  <c r="D31" i="32"/>
  <c r="C31" i="32"/>
  <c r="D30" i="32"/>
  <c r="C30" i="32"/>
  <c r="D29" i="32"/>
  <c r="C29" i="32"/>
  <c r="D28" i="32"/>
  <c r="C28" i="32"/>
  <c r="D27" i="32"/>
  <c r="C27" i="32"/>
  <c r="D26" i="32"/>
  <c r="C26" i="32"/>
  <c r="D25" i="32"/>
  <c r="C25" i="32"/>
  <c r="D24" i="32"/>
  <c r="C24" i="32"/>
  <c r="D23" i="32"/>
  <c r="C23" i="32"/>
  <c r="D22" i="32"/>
  <c r="C22" i="32"/>
  <c r="D21" i="32"/>
  <c r="C21" i="32"/>
  <c r="D20" i="32"/>
  <c r="C20" i="32"/>
  <c r="D19" i="32"/>
  <c r="C19" i="32"/>
  <c r="D18" i="32"/>
  <c r="C18" i="32"/>
  <c r="D17" i="32"/>
  <c r="C17" i="32"/>
  <c r="D16" i="32"/>
  <c r="C16" i="32"/>
  <c r="D15" i="32"/>
  <c r="C15" i="32"/>
  <c r="D14" i="32"/>
  <c r="C14" i="32"/>
  <c r="D13" i="32"/>
  <c r="C13" i="32"/>
  <c r="D12" i="32"/>
  <c r="C12" i="32"/>
  <c r="D11" i="32"/>
  <c r="C11" i="32"/>
  <c r="D10" i="32"/>
  <c r="C10" i="32"/>
  <c r="D9" i="32"/>
  <c r="C9" i="32"/>
  <c r="D8" i="32"/>
  <c r="C8" i="32"/>
  <c r="D7" i="32"/>
  <c r="C7" i="32"/>
  <c r="D6" i="32"/>
  <c r="C6" i="32"/>
  <c r="D5" i="32"/>
  <c r="C5" i="32"/>
  <c r="D4" i="32"/>
  <c r="C4" i="32"/>
  <c r="D3" i="32"/>
  <c r="C3" i="32"/>
  <c r="D2" i="32"/>
  <c r="C2" i="32"/>
  <c r="AG2" i="5"/>
  <c r="AH2" i="5"/>
  <c r="AI2" i="5"/>
  <c r="AJ2" i="5"/>
  <c r="AK2" i="5"/>
  <c r="AL2" i="5"/>
  <c r="A3" i="31"/>
  <c r="A4" i="31"/>
  <c r="A5" i="31"/>
  <c r="A6" i="31"/>
  <c r="A7" i="31"/>
  <c r="U2" i="5" s="1"/>
  <c r="A8" i="31"/>
  <c r="V2" i="5" s="1"/>
  <c r="A9" i="31"/>
  <c r="W2" i="5" s="1"/>
  <c r="A10" i="31"/>
  <c r="A11" i="31"/>
  <c r="A12" i="31"/>
  <c r="A13" i="31"/>
  <c r="A14" i="31"/>
  <c r="B2" i="5" s="1"/>
  <c r="A15" i="31"/>
  <c r="A16" i="31"/>
  <c r="AC2" i="5" s="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J2" i="5" s="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M2" i="5" s="1"/>
  <c r="D61" i="31"/>
  <c r="C61" i="31"/>
  <c r="D60" i="31"/>
  <c r="C60" i="31"/>
  <c r="D59" i="31"/>
  <c r="C59" i="31"/>
  <c r="D58" i="31"/>
  <c r="C58" i="31"/>
  <c r="D57" i="31"/>
  <c r="C57" i="31"/>
  <c r="D56" i="31"/>
  <c r="C56" i="31"/>
  <c r="D55" i="31"/>
  <c r="C55" i="31"/>
  <c r="D54" i="31"/>
  <c r="C54" i="31"/>
  <c r="D53" i="31"/>
  <c r="C53" i="31"/>
  <c r="D52" i="31"/>
  <c r="C52" i="31"/>
  <c r="D51" i="31"/>
  <c r="C51" i="31"/>
  <c r="D50" i="31"/>
  <c r="C50" i="31"/>
  <c r="D49" i="31"/>
  <c r="C49" i="31"/>
  <c r="D48" i="31"/>
  <c r="C48" i="31"/>
  <c r="D47" i="31"/>
  <c r="C47" i="31"/>
  <c r="D46" i="31"/>
  <c r="C46" i="31"/>
  <c r="D45" i="31"/>
  <c r="C45" i="31"/>
  <c r="D44" i="31"/>
  <c r="C44" i="31"/>
  <c r="D43" i="31"/>
  <c r="C43" i="31"/>
  <c r="D42" i="31"/>
  <c r="C42" i="31"/>
  <c r="D41" i="31"/>
  <c r="C41" i="31"/>
  <c r="D40" i="31"/>
  <c r="C40" i="31"/>
  <c r="D39" i="31"/>
  <c r="C39" i="31"/>
  <c r="D38" i="31"/>
  <c r="C38" i="31"/>
  <c r="D37" i="31"/>
  <c r="C37" i="31"/>
  <c r="D36" i="31"/>
  <c r="C36" i="31"/>
  <c r="D35" i="31"/>
  <c r="C35" i="31"/>
  <c r="D34" i="31"/>
  <c r="C34" i="31"/>
  <c r="D33" i="31"/>
  <c r="C33" i="31"/>
  <c r="D32" i="31"/>
  <c r="C32" i="31"/>
  <c r="D31" i="31"/>
  <c r="C31" i="31"/>
  <c r="D30" i="31"/>
  <c r="C30" i="31"/>
  <c r="D29" i="31"/>
  <c r="C29" i="31"/>
  <c r="D28" i="31"/>
  <c r="C28" i="31"/>
  <c r="D27" i="31"/>
  <c r="C27" i="31"/>
  <c r="D26" i="31"/>
  <c r="C26" i="31"/>
  <c r="D25" i="31"/>
  <c r="C25" i="31"/>
  <c r="D24" i="31"/>
  <c r="C24" i="31"/>
  <c r="D23" i="31"/>
  <c r="C23" i="31"/>
  <c r="D22" i="31"/>
  <c r="C22" i="31"/>
  <c r="D21" i="31"/>
  <c r="C21" i="31"/>
  <c r="D20" i="31"/>
  <c r="C20" i="31"/>
  <c r="D19" i="31"/>
  <c r="C19" i="31"/>
  <c r="D18" i="31"/>
  <c r="C18" i="31"/>
  <c r="D17" i="31"/>
  <c r="C17" i="31"/>
  <c r="D16" i="31"/>
  <c r="C16" i="31"/>
  <c r="D15" i="31"/>
  <c r="C15" i="31"/>
  <c r="D14" i="31"/>
  <c r="C14" i="31"/>
  <c r="D13" i="31"/>
  <c r="C13" i="31"/>
  <c r="D12" i="31"/>
  <c r="C12" i="31"/>
  <c r="D11" i="31"/>
  <c r="C11" i="31"/>
  <c r="D10" i="31"/>
  <c r="C10" i="31"/>
  <c r="D9" i="31"/>
  <c r="C9" i="31"/>
  <c r="D8" i="31"/>
  <c r="C8" i="31"/>
  <c r="D7" i="31"/>
  <c r="C7" i="31"/>
  <c r="D6" i="31"/>
  <c r="C6" i="31"/>
  <c r="D5" i="31"/>
  <c r="C5" i="31"/>
  <c r="D4" i="31"/>
  <c r="C4" i="31"/>
  <c r="D3" i="31"/>
  <c r="C3" i="31"/>
  <c r="D2" i="31"/>
  <c r="C2" i="31"/>
  <c r="A61" i="30"/>
  <c r="A60" i="30"/>
  <c r="A59" i="30"/>
  <c r="A58" i="30"/>
  <c r="A57" i="30"/>
  <c r="A56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A20" i="30"/>
  <c r="A19" i="30"/>
  <c r="A18" i="30"/>
  <c r="A17" i="30"/>
  <c r="A16" i="30"/>
  <c r="A15" i="30"/>
  <c r="A14" i="30"/>
  <c r="A13" i="30"/>
  <c r="A12" i="30"/>
  <c r="A11" i="30"/>
  <c r="Z2" i="3" s="1"/>
  <c r="A10" i="30"/>
  <c r="A9" i="30"/>
  <c r="A8" i="30"/>
  <c r="A7" i="30"/>
  <c r="A6" i="30"/>
  <c r="A5" i="30"/>
  <c r="A4" i="30"/>
  <c r="F2" i="3" s="1"/>
  <c r="A3" i="30"/>
  <c r="A2" i="30"/>
  <c r="N2" i="3" s="1"/>
  <c r="D61" i="30"/>
  <c r="C61" i="30"/>
  <c r="D60" i="30"/>
  <c r="C60" i="30"/>
  <c r="D59" i="30"/>
  <c r="C59" i="30"/>
  <c r="D58" i="30"/>
  <c r="C58" i="30"/>
  <c r="D57" i="30"/>
  <c r="C57" i="30"/>
  <c r="D56" i="30"/>
  <c r="C56" i="30"/>
  <c r="D55" i="30"/>
  <c r="C55" i="30"/>
  <c r="D54" i="30"/>
  <c r="C54" i="30"/>
  <c r="D53" i="30"/>
  <c r="C53" i="30"/>
  <c r="D52" i="30"/>
  <c r="C52" i="30"/>
  <c r="D51" i="30"/>
  <c r="C51" i="30"/>
  <c r="D50" i="30"/>
  <c r="C50" i="30"/>
  <c r="D49" i="30"/>
  <c r="C49" i="30"/>
  <c r="D48" i="30"/>
  <c r="C48" i="30"/>
  <c r="D47" i="30"/>
  <c r="C47" i="30"/>
  <c r="D46" i="30"/>
  <c r="C46" i="30"/>
  <c r="D45" i="30"/>
  <c r="C45" i="30"/>
  <c r="D44" i="30"/>
  <c r="C44" i="30"/>
  <c r="D43" i="30"/>
  <c r="C43" i="30"/>
  <c r="D42" i="30"/>
  <c r="C42" i="30"/>
  <c r="D41" i="30"/>
  <c r="C41" i="30"/>
  <c r="D40" i="30"/>
  <c r="C40" i="30"/>
  <c r="D39" i="30"/>
  <c r="C39" i="30"/>
  <c r="D38" i="30"/>
  <c r="C38" i="30"/>
  <c r="D37" i="30"/>
  <c r="C37" i="30"/>
  <c r="D36" i="30"/>
  <c r="C36" i="30"/>
  <c r="D35" i="30"/>
  <c r="C35" i="30"/>
  <c r="D34" i="30"/>
  <c r="C34" i="30"/>
  <c r="D33" i="30"/>
  <c r="C33" i="30"/>
  <c r="D32" i="30"/>
  <c r="C32" i="30"/>
  <c r="D31" i="30"/>
  <c r="C31" i="30"/>
  <c r="D30" i="30"/>
  <c r="C30" i="30"/>
  <c r="D29" i="30"/>
  <c r="C29" i="30"/>
  <c r="D28" i="30"/>
  <c r="C28" i="30"/>
  <c r="D27" i="30"/>
  <c r="C27" i="30"/>
  <c r="D26" i="30"/>
  <c r="C26" i="30"/>
  <c r="D25" i="30"/>
  <c r="C25" i="30"/>
  <c r="D24" i="30"/>
  <c r="C24" i="30"/>
  <c r="D23" i="30"/>
  <c r="C23" i="30"/>
  <c r="D22" i="30"/>
  <c r="C22" i="30"/>
  <c r="D21" i="30"/>
  <c r="C21" i="30"/>
  <c r="D20" i="30"/>
  <c r="C20" i="30"/>
  <c r="D19" i="30"/>
  <c r="C19" i="30"/>
  <c r="D18" i="30"/>
  <c r="C18" i="30"/>
  <c r="D17" i="30"/>
  <c r="C17" i="30"/>
  <c r="D16" i="30"/>
  <c r="C16" i="30"/>
  <c r="D15" i="30"/>
  <c r="C15" i="30"/>
  <c r="D14" i="30"/>
  <c r="C14" i="30"/>
  <c r="D13" i="30"/>
  <c r="C13" i="30"/>
  <c r="D12" i="30"/>
  <c r="C12" i="30"/>
  <c r="D11" i="30"/>
  <c r="C11" i="30"/>
  <c r="D10" i="30"/>
  <c r="C10" i="30"/>
  <c r="D9" i="30"/>
  <c r="C9" i="30"/>
  <c r="D8" i="30"/>
  <c r="C8" i="30"/>
  <c r="D7" i="30"/>
  <c r="C7" i="30"/>
  <c r="D6" i="30"/>
  <c r="C6" i="30"/>
  <c r="D5" i="30"/>
  <c r="C5" i="30"/>
  <c r="D4" i="30"/>
  <c r="C4" i="30"/>
  <c r="D3" i="30"/>
  <c r="C3" i="30"/>
  <c r="D2" i="30"/>
  <c r="C2" i="3" s="1"/>
  <c r="C2" i="30"/>
  <c r="B2" i="3" s="1"/>
  <c r="D2" i="2"/>
  <c r="A3" i="29"/>
  <c r="F2" i="2" s="1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E2" i="2" s="1"/>
  <c r="D2" i="29"/>
  <c r="C2" i="29"/>
  <c r="B2" i="2" s="1"/>
  <c r="B2" i="1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X2" i="3" l="1"/>
  <c r="G2" i="2"/>
  <c r="N47" i="10"/>
  <c r="O16" i="10"/>
  <c r="P16" i="10" s="1"/>
  <c r="Q16" i="10" s="1"/>
  <c r="R16" i="10" s="1"/>
  <c r="S16" i="10" s="1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O2" i="6"/>
  <c r="AJ2" i="6"/>
  <c r="N2" i="6"/>
  <c r="AH2" i="6"/>
  <c r="AF2" i="6"/>
  <c r="J2" i="6"/>
  <c r="AE2" i="6"/>
  <c r="I2" i="6"/>
  <c r="AD2" i="6"/>
  <c r="H2" i="6"/>
  <c r="AC2" i="6"/>
  <c r="G2" i="6"/>
  <c r="AI2" i="6"/>
  <c r="L2" i="6"/>
  <c r="K2" i="6"/>
  <c r="AA2" i="6"/>
  <c r="Y2" i="6"/>
  <c r="X2" i="6"/>
  <c r="W2" i="6"/>
  <c r="V2" i="6"/>
  <c r="S2" i="6"/>
  <c r="L2" i="5"/>
  <c r="K2" i="5"/>
  <c r="I2" i="5"/>
  <c r="AD2" i="5"/>
  <c r="H2" i="5"/>
  <c r="AB2" i="5"/>
  <c r="F2" i="5"/>
  <c r="AA2" i="5"/>
  <c r="E2" i="5"/>
  <c r="Z2" i="5"/>
  <c r="D2" i="5"/>
  <c r="Y2" i="5"/>
  <c r="C2" i="5"/>
  <c r="AE2" i="5"/>
  <c r="T2" i="5"/>
  <c r="S2" i="5"/>
  <c r="R2" i="5"/>
  <c r="AF2" i="5"/>
  <c r="G2" i="5"/>
  <c r="X2" i="5"/>
  <c r="Q2" i="5"/>
  <c r="P2" i="5"/>
  <c r="O2" i="5"/>
  <c r="N2" i="5"/>
  <c r="M2" i="3"/>
  <c r="L2" i="3"/>
  <c r="I2" i="3"/>
  <c r="H2" i="3"/>
  <c r="J2" i="3"/>
  <c r="AB2" i="3"/>
  <c r="G2" i="3"/>
  <c r="AA2" i="3"/>
  <c r="E2" i="3"/>
  <c r="D2" i="3"/>
  <c r="Y2" i="3"/>
  <c r="K2" i="3"/>
  <c r="W2" i="3"/>
  <c r="V2" i="3"/>
  <c r="U2" i="3"/>
  <c r="T2" i="3"/>
  <c r="S2" i="3"/>
  <c r="R2" i="3"/>
  <c r="Q2" i="3"/>
  <c r="P2" i="3"/>
  <c r="O2" i="3"/>
  <c r="Y2" i="2"/>
  <c r="X2" i="2"/>
  <c r="V2" i="2"/>
  <c r="U2" i="2"/>
  <c r="R2" i="2"/>
  <c r="AA2" i="2"/>
  <c r="C2" i="2"/>
  <c r="W2" i="2"/>
  <c r="T2" i="2"/>
  <c r="Q2" i="2"/>
  <c r="S2" i="2"/>
  <c r="K2" i="2"/>
  <c r="N2" i="2"/>
  <c r="P2" i="2"/>
  <c r="H2" i="2"/>
  <c r="Z2" i="2"/>
  <c r="O2" i="2"/>
  <c r="M2" i="2"/>
  <c r="L2" i="2"/>
  <c r="AB2" i="2"/>
  <c r="J2" i="2"/>
  <c r="I2" i="2"/>
  <c r="C4" i="28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47" i="10"/>
  <c r="R2" i="9" s="1"/>
  <c r="F47" i="10"/>
  <c r="F2" i="9" s="1"/>
  <c r="H47" i="10"/>
  <c r="H2" i="9" s="1"/>
  <c r="I47" i="10"/>
  <c r="I2" i="9" s="1"/>
  <c r="J47" i="10"/>
  <c r="J2" i="9" s="1"/>
  <c r="K47" i="10"/>
  <c r="K2" i="9" s="1"/>
  <c r="L47" i="10"/>
  <c r="L2" i="9" s="1"/>
  <c r="M47" i="10"/>
  <c r="M2" i="9" s="1"/>
  <c r="N2" i="9"/>
  <c r="O47" i="10"/>
  <c r="O2" i="9" s="1"/>
  <c r="P47" i="10"/>
  <c r="P2" i="9" s="1"/>
  <c r="Q47" i="10"/>
  <c r="Q2" i="9" s="1"/>
  <c r="G17" i="10"/>
  <c r="C17" i="10"/>
  <c r="C48" i="10" s="1"/>
  <c r="C3" i="9" s="1"/>
  <c r="C4" i="9" s="1"/>
  <c r="D17" i="10"/>
  <c r="D48" i="10" s="1"/>
  <c r="D3" i="9" s="1"/>
  <c r="D4" i="9" s="1"/>
  <c r="E17" i="10"/>
  <c r="E48" i="10" s="1"/>
  <c r="E3" i="9" s="1"/>
  <c r="E4" i="9" s="1"/>
  <c r="F17" i="10"/>
  <c r="F48" i="10" s="1"/>
  <c r="F3" i="9" s="1"/>
  <c r="F4" i="9" s="1"/>
  <c r="B47" i="10"/>
  <c r="B2" i="9" s="1"/>
  <c r="C21" i="29" l="1"/>
  <c r="C47" i="29"/>
  <c r="C34" i="29"/>
  <c r="C23" i="29"/>
  <c r="C7" i="29"/>
  <c r="C32" i="29"/>
  <c r="C6" i="29"/>
  <c r="C39" i="29"/>
  <c r="C22" i="29"/>
  <c r="C8" i="29"/>
  <c r="C41" i="29"/>
  <c r="G47" i="10"/>
  <c r="G2" i="9" s="1"/>
  <c r="AF47" i="10"/>
  <c r="AF2" i="9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E2" i="9" s="1"/>
  <c r="C47" i="10"/>
  <c r="C2" i="9" s="1"/>
  <c r="T19" i="10"/>
  <c r="S49" i="10"/>
  <c r="AD47" i="10"/>
  <c r="AD2" i="9" s="1"/>
  <c r="D47" i="10"/>
  <c r="D2" i="9" s="1"/>
  <c r="Z47" i="10"/>
  <c r="Z2" i="9" s="1"/>
  <c r="U48" i="10"/>
  <c r="U3" i="9" s="1"/>
  <c r="AE47" i="10"/>
  <c r="AE2" i="9" s="1"/>
  <c r="T48" i="10"/>
  <c r="T3" i="9" s="1"/>
  <c r="Y47" i="10"/>
  <c r="Y2" i="9" s="1"/>
  <c r="B17" i="10"/>
  <c r="B48" i="10" s="1"/>
  <c r="B3" i="9" s="1"/>
  <c r="B4" i="9" s="1"/>
  <c r="V47" i="10"/>
  <c r="V2" i="9" s="1"/>
  <c r="T47" i="10"/>
  <c r="T2" i="9" s="1"/>
  <c r="AC47" i="10"/>
  <c r="AC2" i="9" s="1"/>
  <c r="AB47" i="10"/>
  <c r="AB2" i="9" s="1"/>
  <c r="S47" i="10"/>
  <c r="S2" i="9" s="1"/>
  <c r="U47" i="10"/>
  <c r="U2" i="9" s="1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D32" i="29" l="1"/>
  <c r="D22" i="29"/>
  <c r="D41" i="29"/>
  <c r="D30" i="29"/>
  <c r="D8" i="29"/>
  <c r="D47" i="29"/>
  <c r="D6" i="29"/>
  <c r="D23" i="29"/>
  <c r="D49" i="29"/>
  <c r="D7" i="29"/>
  <c r="D21" i="29"/>
  <c r="D34" i="29"/>
  <c r="D48" i="29"/>
  <c r="D25" i="29"/>
  <c r="D39" i="29"/>
  <c r="X47" i="10"/>
  <c r="X2" i="9" s="1"/>
  <c r="W47" i="10"/>
  <c r="W2" i="9" s="1"/>
  <c r="AA47" i="10"/>
  <c r="AA2" i="9" s="1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5" i="9"/>
  <c r="M49" i="10"/>
  <c r="M5" i="9" s="1"/>
  <c r="N49" i="10"/>
  <c r="N5" i="9" s="1"/>
  <c r="O49" i="10"/>
  <c r="O5" i="9" s="1"/>
  <c r="P49" i="10"/>
  <c r="P5" i="9" s="1"/>
  <c r="G48" i="10"/>
  <c r="G3" i="9" s="1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<sst xmlns="http://schemas.openxmlformats.org/spreadsheetml/2006/main" count="2550" uniqueCount="989">
  <si>
    <t>BRZSPbS BAU Required ZEV Sales Percentage by Subregion</t>
  </si>
  <si>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</si>
  <si>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</si>
  <si>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</si>
  <si>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</si>
  <si>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</si>
  <si>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</si>
  <si>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</si>
  <si>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</si>
  <si>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</si>
  <si>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</si>
  <si>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</si>
  <si>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</si>
  <si>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</si>
  <si>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</si>
  <si>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</si>
  <si>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</si>
  <si>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</si>
  <si>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</si>
  <si>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</si>
  <si>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</si>
  <si>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</si>
  <si>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</si>
  <si>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</si>
  <si>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</si>
  <si>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</si>
  <si>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</si>
  <si>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</si>
  <si>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</si>
  <si>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</si>
  <si>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</si>
  <si>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</si>
  <si>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</si>
  <si>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</si>
  <si>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</si>
  <si>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</si>
  <si>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</si>
  <si>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</si>
  <si>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</si>
  <si>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</si>
  <si>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</si>
  <si>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</si>
  <si>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</si>
  <si>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</si>
  <si>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</si>
  <si>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</si>
  <si>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</si>
  <si>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</si>
  <si>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</si>
  <si>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</si>
  <si>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</si>
  <si>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</si>
  <si>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</si>
  <si>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</si>
  <si>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</si>
  <si>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</si>
  <si>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</si>
  <si>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</si>
  <si>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</si>
  <si>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</si>
  <si>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</si>
  <si>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</si>
  <si>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</si>
  <si>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</si>
  <si>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</si>
  <si>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</si>
  <si>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</si>
  <si>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</si>
  <si>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</si>
  <si>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</si>
  <si>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</si>
  <si>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</si>
  <si>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</si>
  <si>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</si>
  <si>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</si>
  <si>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</si>
  <si>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</si>
  <si>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</si>
  <si>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</si>
  <si>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</si>
  <si>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</si>
  <si>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</si>
  <si>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</si>
  <si>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</si>
  <si>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</si>
  <si>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</si>
  <si>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</si>
  <si>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</si>
  <si>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</si>
  <si>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</si>
  <si>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</si>
  <si>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</si>
  <si>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</si>
  <si>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</si>
  <si>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</si>
  <si>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</si>
  <si>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</si>
  <si>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</si>
  <si>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</si>
  <si>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</si>
  <si>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</si>
  <si>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</si>
  <si>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</si>
  <si>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</si>
  <si>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</si>
  <si>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</si>
  <si>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</si>
  <si>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</si>
  <si>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</si>
  <si>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</si>
  <si>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</si>
  <si>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</si>
  <si>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</si>
  <si>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</si>
  <si>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</si>
  <si>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</si>
  <si>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</si>
  <si>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</si>
  <si>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</si>
  <si>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</si>
  <si>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</si>
  <si>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</si>
  <si>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</si>
  <si>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</si>
  <si>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</si>
  <si>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</si>
  <si>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</si>
  <si>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</si>
  <si>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</si>
  <si>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</si>
  <si>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</si>
  <si>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</si>
  <si>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</si>
  <si>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</si>
  <si>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</si>
  <si>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</si>
  <si>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</si>
  <si>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</si>
  <si>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</si>
  <si>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</si>
  <si>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</si>
  <si>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</si>
  <si>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</si>
  <si>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</si>
  <si>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</si>
  <si>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</si>
  <si>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</si>
  <si>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</si>
  <si>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</si>
  <si>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</si>
  <si>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</si>
  <si>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</si>
  <si>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</si>
  <si>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</si>
  <si>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</si>
  <si>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</si>
  <si>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</si>
  <si>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</si>
  <si>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</si>
  <si>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</si>
  <si>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</si>
  <si>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</si>
  <si>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</si>
  <si>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</si>
  <si>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</si>
  <si>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</si>
  <si>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</si>
  <si>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</si>
  <si>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</si>
  <si>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</si>
  <si>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</si>
  <si>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</si>
  <si>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</si>
  <si>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</si>
  <si>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</si>
  <si>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</si>
  <si>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</si>
  <si>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</si>
  <si>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</si>
  <si>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</si>
  <si>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</si>
  <si>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</si>
  <si>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</si>
  <si>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</si>
  <si>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</si>
  <si>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</si>
  <si>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</si>
  <si>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</si>
  <si>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</si>
  <si>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</si>
  <si>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</si>
  <si>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</si>
  <si>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</si>
  <si>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</si>
  <si>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</si>
  <si>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</si>
  <si>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</si>
  <si>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</si>
  <si>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</si>
  <si>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</si>
  <si>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</si>
  <si>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</si>
  <si>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</si>
  <si>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</si>
  <si>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</si>
  <si>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</si>
  <si>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</si>
  <si>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</si>
  <si>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</si>
  <si>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</si>
  <si>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</si>
  <si>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</si>
  <si>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</si>
  <si>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</si>
  <si>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</si>
  <si>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</si>
  <si>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</si>
  <si>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</si>
  <si>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</si>
  <si>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</si>
  <si>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</si>
  <si>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</si>
  <si>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</si>
  <si>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</si>
  <si>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</si>
  <si>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</si>
  <si>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</si>
  <si>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</si>
  <si>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</si>
  <si>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</si>
  <si>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</si>
  <si>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</si>
  <si>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</si>
  <si>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</si>
  <si>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</si>
  <si>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</si>
  <si>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</si>
  <si>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</si>
  <si>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</si>
  <si>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</si>
  <si>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</si>
  <si>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</si>
  <si>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</si>
  <si>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</si>
  <si>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</si>
  <si>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</si>
  <si>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</si>
  <si>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</si>
  <si>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</si>
  <si>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</si>
  <si>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</si>
  <si>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</si>
  <si>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</si>
  <si>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</si>
  <si>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</si>
  <si>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</si>
  <si>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</si>
  <si>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</si>
  <si>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</si>
  <si>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</si>
  <si>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</si>
  <si>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</si>
  <si>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</si>
  <si>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</si>
  <si>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</si>
  <si>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</si>
  <si>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</si>
  <si>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</si>
  <si>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</si>
  <si>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</si>
  <si>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</si>
  <si>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</si>
  <si>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</si>
  <si>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</si>
  <si>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</si>
  <si>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</si>
  <si>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</si>
  <si>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</si>
  <si>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</si>
  <si>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</si>
  <si>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</si>
  <si>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</si>
  <si>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</si>
  <si>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</si>
  <si>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</si>
  <si>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</si>
  <si>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</si>
  <si>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</si>
  <si>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</si>
  <si>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</si>
  <si>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</si>
  <si>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</si>
  <si>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</si>
  <si>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</si>
  <si>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</si>
  <si>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</si>
  <si>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</si>
  <si>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</si>
  <si>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</si>
  <si>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</si>
  <si>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</si>
  <si>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</si>
  <si>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</si>
  <si>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</si>
  <si>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</si>
  <si>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</si>
  <si>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</si>
  <si>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</si>
  <si>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</si>
  <si>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</si>
  <si>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</si>
  <si>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</si>
  <si>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</si>
  <si>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</si>
  <si>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</si>
  <si>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</si>
  <si>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</si>
  <si>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</si>
  <si>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</si>
  <si>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</si>
  <si>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</si>
  <si>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</si>
  <si>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</si>
  <si>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</si>
  <si>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</si>
  <si>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</si>
  <si>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</si>
  <si>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</si>
  <si>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</si>
  <si>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</si>
  <si>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</si>
  <si>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</si>
  <si>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</si>
  <si>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</si>
  <si>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</si>
  <si>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</si>
  <si>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</si>
  <si>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</si>
  <si>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</si>
  <si>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</si>
  <si>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</si>
  <si>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</si>
  <si>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</si>
  <si>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</si>
  <si>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</si>
  <si>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</si>
  <si>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</si>
  <si>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</si>
  <si>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</si>
  <si>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</si>
  <si>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</si>
  <si>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</si>
  <si>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</si>
  <si>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</si>
  <si>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</si>
  <si>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</si>
  <si>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</si>
  <si>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</si>
  <si>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</si>
  <si>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</si>
  <si>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</si>
  <si>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</si>
  <si>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</si>
  <si>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</si>
  <si>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</si>
  <si>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</si>
  <si>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</si>
  <si>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</si>
  <si>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</si>
  <si>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</si>
  <si>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</si>
  <si>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</si>
  <si>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</si>
  <si>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</si>
  <si>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</si>
  <si>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</si>
  <si>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</si>
  <si>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</si>
  <si>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</si>
  <si>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</si>
  <si>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</si>
  <si>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</si>
  <si>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</si>
  <si>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</si>
  <si>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</si>
  <si>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</si>
  <si>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</si>
  <si>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</si>
  <si>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</si>
  <si>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</si>
  <si>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</si>
  <si>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</si>
  <si>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</si>
  <si>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</si>
  <si>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</si>
  <si>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</si>
  <si>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</si>
  <si>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</si>
  <si>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</si>
  <si>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</si>
  <si>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</si>
  <si>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</si>
  <si>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</si>
  <si>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</si>
  <si>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</si>
  <si>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</si>
  <si>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</si>
  <si>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</si>
  <si>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</si>
  <si>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</si>
  <si>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</si>
  <si>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</si>
  <si>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</si>
  <si>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</si>
  <si>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</si>
  <si>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</si>
  <si>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</si>
  <si>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</si>
  <si>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</si>
  <si>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</si>
  <si>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</si>
  <si>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</si>
  <si>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</si>
  <si>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</si>
  <si>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</si>
  <si>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</si>
  <si>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</si>
  <si>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</si>
  <si>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</si>
  <si>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</si>
  <si>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</si>
  <si>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</si>
  <si>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</si>
  <si>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</si>
  <si>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</si>
  <si>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</si>
  <si>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</si>
  <si>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</si>
  <si>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</si>
  <si>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</si>
  <si>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</si>
  <si>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</si>
  <si>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</si>
  <si>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</si>
  <si>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</si>
  <si>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</si>
  <si>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</si>
  <si>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</si>
  <si>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</si>
  <si>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</si>
  <si>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</si>
  <si>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</si>
  <si>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</si>
  <si>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</si>
  <si>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</si>
  <si>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</si>
  <si>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</si>
  <si>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</si>
  <si>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</si>
  <si>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</si>
  <si>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</si>
  <si>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</si>
  <si>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</si>
  <si>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</si>
  <si>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</si>
  <si>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</si>
  <si>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</si>
  <si>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</si>
  <si>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</si>
  <si>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</si>
  <si>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</si>
  <si>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</si>
  <si>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</si>
  <si>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</si>
  <si>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</si>
  <si>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</si>
  <si>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</si>
  <si>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</si>
  <si>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</si>
  <si>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</si>
  <si>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</si>
  <si>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</si>
  <si>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</si>
  <si>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</si>
  <si>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</si>
  <si>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</si>
  <si>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</si>
  <si>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</si>
  <si>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</si>
  <si>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</si>
  <si>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</si>
  <si>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</si>
  <si>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</si>
  <si>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</si>
  <si>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</si>
  <si>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</si>
  <si>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</si>
  <si>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</si>
  <si>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</si>
  <si>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</si>
  <si>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</si>
  <si>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</si>
  <si>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</si>
  <si>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</si>
  <si>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</si>
  <si>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</si>
  <si>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</si>
  <si>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</si>
  <si>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</si>
  <si>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</si>
  <si>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</si>
  <si>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</si>
  <si>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</si>
  <si>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</si>
  <si>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</si>
  <si>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</si>
  <si>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</si>
  <si>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</si>
  <si>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</si>
  <si>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</si>
  <si>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</si>
  <si>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</si>
  <si>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</si>
  <si>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</si>
  <si>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</si>
  <si>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</si>
  <si>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</si>
  <si>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</si>
  <si>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</si>
  <si>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</si>
  <si>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</si>
  <si>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</si>
  <si>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</si>
  <si>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</si>
  <si>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</si>
  <si>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</si>
  <si>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</si>
  <si>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</si>
  <si>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</si>
  <si>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</si>
  <si>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</si>
  <si>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</si>
  <si>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</si>
  <si>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</si>
  <si>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</si>
  <si>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</si>
  <si>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</si>
  <si>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</si>
  <si>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</si>
  <si>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</si>
  <si>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</si>
  <si>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</si>
  <si>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</si>
  <si>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</si>
  <si>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</si>
  <si>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</si>
  <si>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</si>
  <si>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</si>
  <si>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</si>
  <si>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</si>
  <si>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</si>
  <si>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</si>
  <si>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</si>
  <si>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</si>
  <si>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</si>
  <si>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</si>
  <si>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</si>
  <si>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</si>
  <si>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</si>
  <si>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</si>
  <si>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</si>
  <si>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</si>
  <si>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</si>
  <si>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</si>
  <si>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</si>
  <si>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</si>
  <si>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</si>
  <si>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</si>
  <si>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</si>
  <si>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</si>
  <si>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</si>
  <si>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</si>
  <si>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</si>
  <si>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</si>
  <si>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</si>
  <si>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</si>
  <si>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</si>
  <si>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</si>
  <si>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</si>
  <si>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</si>
  <si>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</si>
  <si>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</si>
  <si>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</si>
  <si>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</si>
  <si>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</si>
  <si>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</si>
  <si>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</si>
  <si>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</si>
  <si>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</si>
  <si>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</si>
  <si>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</si>
  <si>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</si>
  <si>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</si>
  <si>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</si>
  <si>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</si>
  <si>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</si>
  <si>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</si>
  <si>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</si>
  <si>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</si>
  <si>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</si>
  <si>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</si>
  <si>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</si>
  <si>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</si>
  <si>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</si>
  <si>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</si>
  <si>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</si>
  <si>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</si>
  <si>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</si>
  <si>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</si>
  <si>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</si>
  <si>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</si>
  <si>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</si>
  <si>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</si>
  <si>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</si>
  <si>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</si>
  <si>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</si>
  <si>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</si>
  <si>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</si>
  <si>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</si>
  <si>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</si>
  <si>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</si>
  <si>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</si>
  <si>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</si>
  <si>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</si>
  <si>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</si>
  <si>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</si>
  <si>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</si>
  <si>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</si>
  <si>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</si>
  <si>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</si>
  <si>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</si>
  <si>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</si>
  <si>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</si>
  <si>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</si>
  <si>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</si>
  <si>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</si>
  <si>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</si>
  <si>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</si>
  <si>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</si>
  <si>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</si>
  <si>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</si>
  <si>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</si>
  <si>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</si>
  <si>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</si>
  <si>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</si>
  <si>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</si>
  <si>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</si>
  <si>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</si>
  <si>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</si>
  <si>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</si>
  <si>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</si>
  <si>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</si>
  <si>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</si>
  <si>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</si>
  <si>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</si>
  <si>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</si>
  <si>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</si>
  <si>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</si>
  <si>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</si>
  <si>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</si>
  <si>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</si>
  <si>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</si>
  <si>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</si>
  <si>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</si>
  <si>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</si>
  <si>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</si>
  <si>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</si>
  <si>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</si>
  <si>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</si>
  <si>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</si>
  <si>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</si>
  <si>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</si>
  <si>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</si>
  <si>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</si>
  <si>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</si>
  <si>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</si>
  <si>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</si>
  <si>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</si>
  <si>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</si>
  <si>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</si>
  <si>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</si>
  <si>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</si>
  <si>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</si>
  <si>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</si>
  <si>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</si>
  <si>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</si>
  <si>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</si>
  <si>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</si>
  <si>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</si>
  <si>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</si>
  <si>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</si>
  <si>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</si>
  <si>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</si>
  <si>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</si>
  <si>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</si>
  <si>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</si>
  <si>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</si>
  <si>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</si>
  <si>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</si>
  <si>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</si>
  <si>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</si>
  <si>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</si>
  <si>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</si>
  <si>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</si>
  <si>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</si>
  <si>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</si>
  <si>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</si>
  <si>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</si>
  <si>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</si>
  <si>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</si>
  <si>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</si>
  <si>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</si>
  <si>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</si>
  <si>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</si>
  <si>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</si>
  <si>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</si>
  <si>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</si>
  <si>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</si>
  <si>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</si>
  <si>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</si>
  <si>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</si>
  <si>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</si>
  <si>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</si>
  <si>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</si>
  <si>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</si>
  <si>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</si>
  <si>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</si>
  <si>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</si>
  <si>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</si>
  <si>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</si>
  <si>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</si>
  <si>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</si>
  <si>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</si>
  <si>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</si>
  <si>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</si>
  <si>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</si>
  <si>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</si>
  <si>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</si>
  <si>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</si>
  <si>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</si>
  <si>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</si>
  <si>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</si>
  <si>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</si>
  <si>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</si>
  <si>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</si>
  <si>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</si>
  <si>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</si>
  <si>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</si>
  <si>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</si>
  <si>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</si>
  <si>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</si>
  <si>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</si>
  <si>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</si>
  <si>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</si>
  <si>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</si>
  <si>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</si>
  <si>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</si>
  <si>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</si>
  <si>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</si>
  <si>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</si>
  <si>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</si>
  <si>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</si>
  <si>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</si>
  <si>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</si>
  <si>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</si>
  <si>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</si>
  <si>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</si>
  <si>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</si>
  <si>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</si>
  <si>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</si>
  <si>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</si>
  <si>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</si>
  <si>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</si>
  <si>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</si>
  <si>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</si>
  <si>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</si>
  <si>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</si>
  <si>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</si>
  <si>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</si>
  <si>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</si>
  <si>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</si>
  <si>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</si>
  <si>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</si>
  <si>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</si>
  <si>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</si>
  <si>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</si>
  <si>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</si>
  <si>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</si>
  <si>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</si>
  <si>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</si>
  <si>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</si>
  <si>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</si>
  <si>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</si>
  <si>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</si>
  <si>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</si>
  <si>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</si>
  <si>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</si>
  <si>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</si>
  <si>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</si>
  <si>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</si>
  <si>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</si>
  <si>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</si>
  <si>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</si>
  <si>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</si>
  <si>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</si>
  <si>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</si>
  <si>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</si>
  <si>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</si>
  <si>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</si>
  <si>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</si>
  <si>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</si>
  <si>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</si>
  <si>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</si>
  <si>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</si>
  <si>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</si>
  <si>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</si>
  <si>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</si>
  <si>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</si>
  <si>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</si>
  <si>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</si>
  <si>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</si>
  <si>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</si>
  <si>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</si>
  <si>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</si>
  <si>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</si>
  <si>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</si>
  <si>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</si>
  <si>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</si>
  <si>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</si>
  <si>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</si>
  <si>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</si>
  <si>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</si>
  <si>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</si>
  <si>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</si>
  <si>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</si>
  <si>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</si>
  <si>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</si>
  <si>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</si>
  <si>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</si>
  <si>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</si>
  <si>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</si>
  <si>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</si>
  <si>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</si>
  <si>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</si>
  <si>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</si>
  <si>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</si>
  <si>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</si>
  <si>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</si>
  <si>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</si>
  <si>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</si>
  <si>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</si>
  <si>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</si>
  <si>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</si>
  <si>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</si>
  <si>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</si>
  <si>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</si>
  <si>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</si>
  <si>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</si>
  <si>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</si>
  <si>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</si>
  <si>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</si>
  <si>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</si>
  <si>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</si>
  <si>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</si>
  <si>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</si>
  <si>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</si>
  <si>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</si>
  <si>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</si>
  <si>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</si>
  <si>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</si>
  <si>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</si>
  <si>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</si>
  <si>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</si>
  <si>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</si>
  <si>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</si>
  <si>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</si>
  <si>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</si>
  <si>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</si>
  <si>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</si>
  <si>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</si>
  <si>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</si>
  <si>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</si>
  <si>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</si>
  <si>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</si>
  <si>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</si>
  <si>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</si>
  <si>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</si>
  <si>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</si>
  <si>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</si>
  <si>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</si>
  <si>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</si>
  <si>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</si>
  <si>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</si>
  <si>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</si>
  <si>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</si>
  <si>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</si>
  <si>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</si>
  <si>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</si>
  <si>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</si>
  <si>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</si>
  <si>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</si>
  <si>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</si>
  <si>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</si>
  <si>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California</t>
  </si>
  <si>
    <t>AL</t>
  </si>
  <si>
    <t>Alaska</t>
  </si>
  <si>
    <t>AK</t>
  </si>
  <si>
    <t>AZ</t>
  </si>
  <si>
    <t>AR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</si>
  <si>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</si>
  <si>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</si>
  <si>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</si>
  <si>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</si>
  <si>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</si>
  <si>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</si>
  <si>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</si>
  <si>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</si>
  <si>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</si>
  <si>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</si>
  <si>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</si>
  <si>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</si>
  <si>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</si>
  <si>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</si>
  <si>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</si>
  <si>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</si>
  <si>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Iowa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</si>
  <si>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</si>
  <si>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</si>
  <si>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</si>
  <si>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</si>
  <si>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</si>
  <si>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</si>
  <si>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</si>
  <si>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</si>
  <si>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</si>
  <si>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</si>
  <si>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</si>
  <si>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</si>
  <si>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</si>
  <si>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</si>
  <si>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</si>
  <si>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</si>
  <si>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</si>
  <si>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</si>
  <si>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</si>
  <si>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</si>
  <si>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</si>
  <si>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</si>
  <si>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</si>
  <si>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</si>
  <si>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</si>
  <si>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</si>
  <si>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</si>
  <si>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</si>
  <si>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</si>
  <si>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</si>
  <si>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</si>
  <si>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</si>
  <si>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</si>
  <si>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</si>
  <si>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</si>
  <si>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</si>
  <si>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</si>
  <si>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</si>
  <si>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</si>
  <si>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</si>
  <si>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</si>
  <si>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</si>
  <si>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</si>
  <si>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</si>
  <si>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</si>
  <si>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</si>
  <si>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</si>
  <si>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</si>
  <si>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</si>
  <si>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</si>
  <si>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</si>
  <si>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</si>
  <si>
    <t>Only leave in place Advanced Clean Cars 1 and estimate as 8% of ZEV sales held constant.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</si>
</sst>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30" fillId="0" borderId="0" xfId="0" applyFont="1"/>
    <xf numFmtId="14" fontId="0" fillId="0" borderId="0" xfId="0" applyNumberFormat="1"/>
    <xf numFmtId="0" fontId="0" fillId="8" borderId="0" xfId="0" applyFill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9" fillId="0" borderId="0" xfId="13"/>
    <xf numFmtId="0" fontId="28" fillId="0" borderId="26" xfId="12" applyFont="1">
      <alignment wrapText="1"/>
    </xf>
    <xf numFmtId="0" fontId="19" fillId="0" borderId="26" xfId="13" applyBorder="1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0" xfId="23"/>
    <xf numFmtId="0" fontId="19" fillId="0" borderId="26" xfId="23" applyBorder="1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9"/>
  <sheetViews>
    <sheetView tabSelected="1" topLeftCell="A64" workbookViewId="0">
      <selection activeCell="A80" sqref="A80"/>
    </sheetView>
  </sheetViews>
  <sheetFormatPr defaultRowHeight="15" x14ac:dyDescent="0.25"/>
  <cols>
    <col min="2" max="2" width="73.42578125" customWidth="1"/>
    <col min="4" max="4" width="17.7109375" customWidth="1"/>
  </cols>
  <sheetData>
    <row r="1" spans="1:7" x14ac:dyDescent="0.25">
      <c r="A1" s="1" t="s">
        <v>0</v>
      </c>
      <c r="B1" s="116" t="s">
        <v>36</v>
      </c>
      <c r="C1" s="117">
        <v>46223</v>
      </c>
      <c r="F1" s="116" t="s">
        <v>2</v>
      </c>
      <c r="G1" s="116" t="s">
        <v>914</v>
      </c>
    </row>
    <row r="2" spans="1:7" x14ac:dyDescent="0.25">
      <c r="B2" t="str">
        <f>_xlfn.XLOOKUP(B1,F:F,G:G)</f>
        <v>ND</v>
      </c>
      <c r="F2" s="116" t="s">
        <v>915</v>
      </c>
      <c r="G2" s="116" t="s">
        <v>916</v>
      </c>
    </row>
    <row r="3" spans="1:7" x14ac:dyDescent="0.25">
      <c r="A3" s="1" t="s">
        <v>83</v>
      </c>
      <c r="B3" s="3" t="s">
        <v>857</v>
      </c>
      <c r="F3" s="116" t="s">
        <v>4</v>
      </c>
      <c r="G3" s="116" t="s">
        <v>917</v>
      </c>
    </row>
    <row r="4" spans="1:7" x14ac:dyDescent="0.25">
      <c r="B4" t="s">
        <v>69</v>
      </c>
      <c r="F4" s="116" t="s">
        <v>5</v>
      </c>
      <c r="G4" s="116" t="s">
        <v>918</v>
      </c>
    </row>
    <row r="5" spans="1:7" x14ac:dyDescent="0.25">
      <c r="B5" s="4">
        <v>2022</v>
      </c>
      <c r="F5" s="116" t="s">
        <v>913</v>
      </c>
      <c r="G5" s="116" t="s">
        <v>919</v>
      </c>
    </row>
    <row r="6" spans="1:7" x14ac:dyDescent="0.25">
      <c r="B6" t="s">
        <v>70</v>
      </c>
      <c r="F6" s="116" t="s">
        <v>920</v>
      </c>
      <c r="G6" s="116" t="s">
        <v>921</v>
      </c>
    </row>
    <row r="7" spans="1:7" x14ac:dyDescent="0.25">
      <c r="B7" s="5" t="s">
        <v>71</v>
      </c>
      <c r="F7" s="116" t="s">
        <v>8</v>
      </c>
      <c r="G7" s="116" t="s">
        <v>922</v>
      </c>
    </row>
    <row r="8" spans="1:7" x14ac:dyDescent="0.25">
      <c r="B8" t="s">
        <v>75</v>
      </c>
      <c r="F8" s="116" t="s">
        <v>923</v>
      </c>
      <c r="G8" s="116" t="s">
        <v>924</v>
      </c>
    </row>
    <row r="9" spans="1:7" x14ac:dyDescent="0.25">
      <c r="F9" s="116" t="s">
        <v>925</v>
      </c>
      <c r="G9" s="116" t="s">
        <v>926</v>
      </c>
    </row>
    <row r="10" spans="1:7" x14ac:dyDescent="0.25">
      <c r="B10" s="3" t="s">
        <v>858</v>
      </c>
      <c r="F10" s="116" t="s">
        <v>927</v>
      </c>
      <c r="G10" s="116" t="s">
        <v>928</v>
      </c>
    </row>
    <row r="11" spans="1:7" x14ac:dyDescent="0.25">
      <c r="B11" t="s">
        <v>69</v>
      </c>
      <c r="F11" s="116" t="s">
        <v>13</v>
      </c>
      <c r="G11" s="116" t="s">
        <v>929</v>
      </c>
    </row>
    <row r="12" spans="1:7" x14ac:dyDescent="0.25">
      <c r="B12" s="4">
        <v>2022</v>
      </c>
      <c r="F12" s="116" t="s">
        <v>14</v>
      </c>
      <c r="G12" s="116" t="s">
        <v>930</v>
      </c>
    </row>
    <row r="13" spans="1:7" x14ac:dyDescent="0.25">
      <c r="B13" t="s">
        <v>73</v>
      </c>
      <c r="F13" s="116" t="s">
        <v>931</v>
      </c>
      <c r="G13" s="116" t="s">
        <v>932</v>
      </c>
    </row>
    <row r="14" spans="1:7" x14ac:dyDescent="0.25">
      <c r="B14" s="5" t="s">
        <v>72</v>
      </c>
      <c r="F14" s="116" t="s">
        <v>933</v>
      </c>
      <c r="G14" s="116" t="s">
        <v>934</v>
      </c>
    </row>
    <row r="15" spans="1:7" x14ac:dyDescent="0.25">
      <c r="B15" t="s">
        <v>74</v>
      </c>
      <c r="F15" s="116" t="s">
        <v>935</v>
      </c>
      <c r="G15" s="116" t="s">
        <v>936</v>
      </c>
    </row>
    <row r="16" spans="1:7" x14ac:dyDescent="0.25">
      <c r="F16" s="116" t="s">
        <v>18</v>
      </c>
      <c r="G16" s="116" t="s">
        <v>937</v>
      </c>
    </row>
    <row r="17" spans="2:7" x14ac:dyDescent="0.25">
      <c r="B17" s="3" t="s">
        <v>155</v>
      </c>
      <c r="F17" s="116" t="s">
        <v>19</v>
      </c>
      <c r="G17" s="116" t="s">
        <v>938</v>
      </c>
    </row>
    <row r="18" spans="2:7" x14ac:dyDescent="0.25">
      <c r="B18" t="s">
        <v>133</v>
      </c>
      <c r="F18" s="116" t="s">
        <v>20</v>
      </c>
      <c r="G18" s="116" t="s">
        <v>939</v>
      </c>
    </row>
    <row r="19" spans="2:7" x14ac:dyDescent="0.25">
      <c r="B19" s="4" t="s">
        <v>134</v>
      </c>
      <c r="F19" s="116" t="s">
        <v>940</v>
      </c>
      <c r="G19" s="116" t="s">
        <v>941</v>
      </c>
    </row>
    <row r="20" spans="2:7" x14ac:dyDescent="0.25">
      <c r="B20" t="s">
        <v>129</v>
      </c>
      <c r="F20" s="116" t="s">
        <v>22</v>
      </c>
      <c r="G20" s="116" t="s">
        <v>942</v>
      </c>
    </row>
    <row r="21" spans="2:7" x14ac:dyDescent="0.25">
      <c r="B21" s="5" t="s">
        <v>128</v>
      </c>
      <c r="F21" s="116" t="s">
        <v>23</v>
      </c>
      <c r="G21" s="116" t="s">
        <v>943</v>
      </c>
    </row>
    <row r="22" spans="2:7" x14ac:dyDescent="0.25">
      <c r="B22" s="5" t="s">
        <v>130</v>
      </c>
      <c r="C22" t="s">
        <v>138</v>
      </c>
      <c r="F22" s="116" t="s">
        <v>24</v>
      </c>
      <c r="G22" s="116" t="s">
        <v>944</v>
      </c>
    </row>
    <row r="23" spans="2:7" x14ac:dyDescent="0.25">
      <c r="B23" s="5" t="s">
        <v>131</v>
      </c>
      <c r="F23" s="116" t="s">
        <v>945</v>
      </c>
      <c r="G23" s="116" t="s">
        <v>946</v>
      </c>
    </row>
    <row r="24" spans="2:7" x14ac:dyDescent="0.25">
      <c r="B24" s="5" t="s">
        <v>132</v>
      </c>
      <c r="C24" t="s">
        <v>138</v>
      </c>
      <c r="F24" s="116" t="s">
        <v>947</v>
      </c>
      <c r="G24" s="116" t="s">
        <v>948</v>
      </c>
    </row>
    <row r="25" spans="2:7" x14ac:dyDescent="0.25">
      <c r="B25" s="5" t="s">
        <v>135</v>
      </c>
      <c r="F25" s="116" t="s">
        <v>27</v>
      </c>
      <c r="G25" s="116" t="s">
        <v>949</v>
      </c>
    </row>
    <row r="26" spans="2:7" x14ac:dyDescent="0.25">
      <c r="F26" s="116" t="s">
        <v>950</v>
      </c>
      <c r="G26" s="116" t="s">
        <v>951</v>
      </c>
    </row>
    <row r="27" spans="2:7" x14ac:dyDescent="0.25">
      <c r="B27" s="3" t="s">
        <v>156</v>
      </c>
      <c r="F27" s="116" t="s">
        <v>29</v>
      </c>
      <c r="G27" s="116" t="s">
        <v>952</v>
      </c>
    </row>
    <row r="28" spans="2:7" x14ac:dyDescent="0.25">
      <c r="B28" t="s">
        <v>158</v>
      </c>
      <c r="F28" s="116" t="s">
        <v>953</v>
      </c>
      <c r="G28" s="116" t="s">
        <v>954</v>
      </c>
    </row>
    <row r="29" spans="2:7" x14ac:dyDescent="0.25">
      <c r="B29" s="4">
        <v>2023</v>
      </c>
      <c r="F29" s="116" t="s">
        <v>31</v>
      </c>
      <c r="G29" s="116" t="s">
        <v>955</v>
      </c>
    </row>
    <row r="30" spans="2:7" x14ac:dyDescent="0.25">
      <c r="B30" t="s">
        <v>159</v>
      </c>
      <c r="F30" s="116" t="s">
        <v>956</v>
      </c>
      <c r="G30" s="116" t="s">
        <v>957</v>
      </c>
    </row>
    <row r="31" spans="2:7" x14ac:dyDescent="0.25">
      <c r="B31" s="5" t="s">
        <v>160</v>
      </c>
      <c r="F31" s="116" t="s">
        <v>33</v>
      </c>
      <c r="G31" s="116" t="s">
        <v>958</v>
      </c>
    </row>
    <row r="32" spans="2:7" x14ac:dyDescent="0.25">
      <c r="B32" t="s">
        <v>212</v>
      </c>
      <c r="F32" s="116" t="s">
        <v>959</v>
      </c>
      <c r="G32" s="116" t="s">
        <v>960</v>
      </c>
    </row>
    <row r="33" spans="2:7" x14ac:dyDescent="0.25">
      <c r="B33" s="5"/>
      <c r="F33" s="116" t="s">
        <v>35</v>
      </c>
      <c r="G33" s="116" t="s">
        <v>961</v>
      </c>
    </row>
    <row r="34" spans="2:7" x14ac:dyDescent="0.25">
      <c r="B34" s="3" t="s">
        <v>136</v>
      </c>
      <c r="F34" s="116" t="s">
        <v>36</v>
      </c>
      <c r="G34" s="116" t="s">
        <v>962</v>
      </c>
    </row>
    <row r="35" spans="2:7" x14ac:dyDescent="0.25">
      <c r="B35" t="s">
        <v>137</v>
      </c>
      <c r="F35" s="116" t="s">
        <v>37</v>
      </c>
      <c r="G35" s="116" t="s">
        <v>963</v>
      </c>
    </row>
    <row r="36" spans="2:7" x14ac:dyDescent="0.25">
      <c r="B36" s="4">
        <v>2022</v>
      </c>
      <c r="F36" s="116" t="s">
        <v>964</v>
      </c>
      <c r="G36" s="116" t="s">
        <v>965</v>
      </c>
    </row>
    <row r="37" spans="2:7" x14ac:dyDescent="0.25">
      <c r="B37" t="s">
        <v>111</v>
      </c>
      <c r="F37" s="116" t="s">
        <v>966</v>
      </c>
      <c r="G37" s="116" t="s">
        <v>967</v>
      </c>
    </row>
    <row r="38" spans="2:7" x14ac:dyDescent="0.25">
      <c r="B38" s="5" t="s">
        <v>109</v>
      </c>
      <c r="F38" s="116" t="s">
        <v>40</v>
      </c>
      <c r="G38" s="116" t="s">
        <v>968</v>
      </c>
    </row>
    <row r="39" spans="2:7" x14ac:dyDescent="0.25">
      <c r="B39" s="5"/>
      <c r="F39" s="116" t="s">
        <v>969</v>
      </c>
      <c r="G39" s="116" t="s">
        <v>970</v>
      </c>
    </row>
    <row r="40" spans="2:7" x14ac:dyDescent="0.25">
      <c r="B40" s="3" t="s">
        <v>139</v>
      </c>
      <c r="F40" s="116" t="s">
        <v>42</v>
      </c>
      <c r="G40" s="116" t="s">
        <v>971</v>
      </c>
    </row>
    <row r="41" spans="2:7" x14ac:dyDescent="0.25">
      <c r="B41" t="s">
        <v>140</v>
      </c>
      <c r="F41" s="116" t="s">
        <v>972</v>
      </c>
      <c r="G41" s="116" t="s">
        <v>973</v>
      </c>
    </row>
    <row r="42" spans="2:7" x14ac:dyDescent="0.25">
      <c r="B42" s="4">
        <v>2022</v>
      </c>
      <c r="F42" s="116" t="s">
        <v>974</v>
      </c>
      <c r="G42" s="116" t="s">
        <v>975</v>
      </c>
    </row>
    <row r="43" spans="2:7" x14ac:dyDescent="0.25">
      <c r="B43" t="s">
        <v>141</v>
      </c>
      <c r="F43" s="116" t="s">
        <v>976</v>
      </c>
      <c r="G43" s="116" t="s">
        <v>977</v>
      </c>
    </row>
    <row r="44" spans="2:7" x14ac:dyDescent="0.25">
      <c r="B44" s="5" t="s">
        <v>142</v>
      </c>
      <c r="F44" s="116" t="s">
        <v>46</v>
      </c>
      <c r="G44" s="116" t="s">
        <v>978</v>
      </c>
    </row>
    <row r="45" spans="2:7" x14ac:dyDescent="0.25">
      <c r="B45" s="5"/>
      <c r="F45" s="116" t="s">
        <v>47</v>
      </c>
      <c r="G45" s="116" t="s">
        <v>979</v>
      </c>
    </row>
    <row r="46" spans="2:7" x14ac:dyDescent="0.25">
      <c r="B46" s="3" t="s">
        <v>143</v>
      </c>
      <c r="F46" s="116" t="s">
        <v>48</v>
      </c>
      <c r="G46" s="116" t="s">
        <v>980</v>
      </c>
    </row>
    <row r="47" spans="2:7" x14ac:dyDescent="0.25">
      <c r="B47" t="s">
        <v>137</v>
      </c>
      <c r="F47" s="116" t="s">
        <v>981</v>
      </c>
      <c r="G47" s="116" t="s">
        <v>982</v>
      </c>
    </row>
    <row r="48" spans="2:7" x14ac:dyDescent="0.25">
      <c r="B48" s="4">
        <v>2017</v>
      </c>
      <c r="F48" s="116" t="s">
        <v>50</v>
      </c>
      <c r="G48" s="116" t="s">
        <v>983</v>
      </c>
    </row>
    <row r="49" spans="1:7" x14ac:dyDescent="0.25">
      <c r="B49" t="s">
        <v>144</v>
      </c>
      <c r="F49" s="116" t="s">
        <v>984</v>
      </c>
      <c r="G49" s="116" t="s">
        <v>985</v>
      </c>
    </row>
    <row r="50" spans="1:7" x14ac:dyDescent="0.25">
      <c r="B50" s="5" t="s">
        <v>145</v>
      </c>
      <c r="F50" s="116" t="s">
        <v>986</v>
      </c>
      <c r="G50" s="116" t="s">
        <v>987</v>
      </c>
    </row>
    <row r="51" spans="1:7" x14ac:dyDescent="0.25">
      <c r="B51" s="5"/>
    </row>
    <row r="52" spans="1:7" x14ac:dyDescent="0.25">
      <c r="A52" s="1" t="s">
        <v>1</v>
      </c>
    </row>
    <row r="53" spans="1:7" x14ac:dyDescent="0.25">
      <c r="A53" t="s">
        <v>63</v>
      </c>
    </row>
    <row r="54" spans="1:7" x14ac:dyDescent="0.25">
      <c r="A54" t="s">
        <v>64</v>
      </c>
    </row>
    <row r="55" spans="1:7" x14ac:dyDescent="0.25">
      <c r="A55" t="s">
        <v>911</v>
      </c>
    </row>
    <row r="56" spans="1:7" x14ac:dyDescent="0.25">
      <c r="A56" t="s">
        <v>912</v>
      </c>
    </row>
    <row r="57" spans="1:7" x14ac:dyDescent="0.25">
      <c r="A57" t="s">
        <v>65</v>
      </c>
    </row>
    <row r="58" spans="1:7" x14ac:dyDescent="0.25">
      <c r="A58" t="s">
        <v>66</v>
      </c>
    </row>
    <row r="59" spans="1:7" x14ac:dyDescent="0.25">
      <c r="A59" t="s">
        <v>67</v>
      </c>
    </row>
    <row r="60" spans="1:7" x14ac:dyDescent="0.25">
      <c r="A60" t="s">
        <v>68</v>
      </c>
    </row>
    <row r="62" spans="1:7" x14ac:dyDescent="0.25">
      <c r="A62" t="s">
        <v>149</v>
      </c>
    </row>
    <row r="63" spans="1:7" x14ac:dyDescent="0.25">
      <c r="A63" t="s">
        <v>148</v>
      </c>
    </row>
    <row r="65" spans="1:2" x14ac:dyDescent="0.25">
      <c r="A65" s="6" t="s">
        <v>82</v>
      </c>
      <c r="B65" s="7"/>
    </row>
    <row r="66" spans="1:2" x14ac:dyDescent="0.25">
      <c r="A66" t="s">
        <v>859</v>
      </c>
    </row>
    <row r="67" spans="1:2" x14ac:dyDescent="0.25">
      <c r="A67" t="s">
        <v>860</v>
      </c>
    </row>
    <row r="68" spans="1:2" x14ac:dyDescent="0.25">
      <c r="A68" t="s">
        <v>124</v>
      </c>
    </row>
    <row r="69" spans="1:2" x14ac:dyDescent="0.25">
      <c r="A69" t="s">
        <v>125</v>
      </c>
    </row>
    <row r="70" spans="1:2" x14ac:dyDescent="0.25">
      <c r="A70" t="s">
        <v>906</v>
      </c>
    </row>
    <row r="71" spans="1:2" x14ac:dyDescent="0.25">
      <c r="A71" t="s">
        <v>907</v>
      </c>
    </row>
    <row r="72" spans="1:2" x14ac:dyDescent="0.25">
      <c r="A72" t="s">
        <v>908</v>
      </c>
    </row>
    <row r="73" spans="1:2" x14ac:dyDescent="0.25">
      <c r="A73" t="s">
        <v>910</v>
      </c>
    </row>
    <row r="74" spans="1:2" x14ac:dyDescent="0.25">
      <c r="A74" t="s">
        <v>909</v>
      </c>
    </row>
    <row r="76" spans="1:2" x14ac:dyDescent="0.25">
      <c r="A76" t="s">
        <v>126</v>
      </c>
    </row>
    <row r="77" spans="1:2" x14ac:dyDescent="0.25">
      <c r="A77" t="s">
        <v>127</v>
      </c>
    </row>
    <row r="79" spans="1:2" x14ac:dyDescent="0.25">
      <c r="A79" t="s">
        <v>988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topLeftCell="A16" workbookViewId="0">
      <selection activeCell="L50" sqref="L50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101</v>
      </c>
      <c r="B1" s="13"/>
      <c r="C1" s="13"/>
      <c r="D1" s="13"/>
      <c r="E1" s="13"/>
      <c r="F1" s="14"/>
    </row>
    <row r="2" spans="1:32" x14ac:dyDescent="0.25">
      <c r="A2" s="21" t="s">
        <v>102</v>
      </c>
      <c r="F2" s="16"/>
    </row>
    <row r="3" spans="1:32" x14ac:dyDescent="0.25">
      <c r="A3" s="21" t="s">
        <v>146</v>
      </c>
      <c r="F3" s="16"/>
    </row>
    <row r="4" spans="1:32" x14ac:dyDescent="0.25">
      <c r="A4" s="22" t="s">
        <v>147</v>
      </c>
      <c r="B4" s="18"/>
      <c r="C4" s="18"/>
      <c r="D4" s="18"/>
      <c r="E4" s="18"/>
      <c r="F4" s="19"/>
    </row>
    <row r="6" spans="1:32" x14ac:dyDescent="0.25">
      <c r="A6" s="25" t="s">
        <v>84</v>
      </c>
      <c r="B6" s="13"/>
      <c r="C6" s="13" t="s">
        <v>104</v>
      </c>
      <c r="D6" s="13"/>
      <c r="E6" s="13"/>
      <c r="F6" s="14"/>
    </row>
    <row r="7" spans="1:32" x14ac:dyDescent="0.25">
      <c r="A7" s="15" t="s">
        <v>76</v>
      </c>
      <c r="B7" t="s">
        <v>108</v>
      </c>
      <c r="C7" t="s">
        <v>85</v>
      </c>
      <c r="F7" s="16"/>
    </row>
    <row r="8" spans="1:32" x14ac:dyDescent="0.25">
      <c r="A8" s="15" t="s">
        <v>77</v>
      </c>
      <c r="B8" t="s">
        <v>107</v>
      </c>
      <c r="C8" t="s">
        <v>87</v>
      </c>
      <c r="F8" s="16"/>
    </row>
    <row r="9" spans="1:32" x14ac:dyDescent="0.25">
      <c r="A9" s="15" t="s">
        <v>78</v>
      </c>
      <c r="C9" t="s">
        <v>103</v>
      </c>
      <c r="F9" s="16"/>
    </row>
    <row r="10" spans="1:32" x14ac:dyDescent="0.25">
      <c r="A10" s="15" t="s">
        <v>79</v>
      </c>
      <c r="B10" t="s">
        <v>106</v>
      </c>
      <c r="C10" t="s">
        <v>86</v>
      </c>
      <c r="F10" s="16"/>
    </row>
    <row r="11" spans="1:32" x14ac:dyDescent="0.25">
      <c r="A11" s="15" t="s">
        <v>80</v>
      </c>
      <c r="B11" t="s">
        <v>105</v>
      </c>
      <c r="C11" t="s">
        <v>88</v>
      </c>
      <c r="F11" s="16"/>
    </row>
    <row r="12" spans="1:32" x14ac:dyDescent="0.25">
      <c r="A12" s="17" t="s">
        <v>81</v>
      </c>
      <c r="B12" s="18"/>
      <c r="C12" s="18" t="s">
        <v>103</v>
      </c>
      <c r="D12" s="18"/>
      <c r="E12" s="18"/>
      <c r="F12" s="19"/>
    </row>
    <row r="14" spans="1:32" x14ac:dyDescent="0.25">
      <c r="A14" s="25" t="s">
        <v>100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89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116</v>
      </c>
      <c r="B16" s="27">
        <v>0</v>
      </c>
      <c r="C16" s="27">
        <v>0</v>
      </c>
      <c r="D16" s="27">
        <v>0</v>
      </c>
      <c r="E16" s="27">
        <v>0</v>
      </c>
      <c r="F16" s="27">
        <v>0.08</v>
      </c>
      <c r="G16" s="27">
        <v>0.08</v>
      </c>
      <c r="H16" s="27">
        <f>G16</f>
        <v>0.08</v>
      </c>
      <c r="I16" s="27">
        <f t="shared" ref="I16:AF16" si="0">H16</f>
        <v>0.08</v>
      </c>
      <c r="J16" s="27">
        <f t="shared" si="0"/>
        <v>0.08</v>
      </c>
      <c r="K16" s="27">
        <f t="shared" si="0"/>
        <v>0.08</v>
      </c>
      <c r="L16" s="27">
        <f t="shared" si="0"/>
        <v>0.08</v>
      </c>
      <c r="M16" s="27">
        <f t="shared" si="0"/>
        <v>0.08</v>
      </c>
      <c r="N16" s="27">
        <f t="shared" si="0"/>
        <v>0.08</v>
      </c>
      <c r="O16" s="27">
        <f t="shared" si="0"/>
        <v>0.08</v>
      </c>
      <c r="P16" s="27">
        <f t="shared" si="0"/>
        <v>0.08</v>
      </c>
      <c r="Q16" s="27">
        <f t="shared" si="0"/>
        <v>0.08</v>
      </c>
      <c r="R16" s="27">
        <f t="shared" si="0"/>
        <v>0.08</v>
      </c>
      <c r="S16" s="27">
        <f t="shared" si="0"/>
        <v>0.08</v>
      </c>
      <c r="T16" s="27">
        <f t="shared" si="0"/>
        <v>0.08</v>
      </c>
      <c r="U16" s="27">
        <f t="shared" si="0"/>
        <v>0.08</v>
      </c>
      <c r="V16" s="27">
        <f t="shared" si="0"/>
        <v>0.08</v>
      </c>
      <c r="W16" s="27">
        <f t="shared" si="0"/>
        <v>0.08</v>
      </c>
      <c r="X16" s="27">
        <f t="shared" si="0"/>
        <v>0.08</v>
      </c>
      <c r="Y16" s="27">
        <f t="shared" si="0"/>
        <v>0.08</v>
      </c>
      <c r="Z16" s="27">
        <f t="shared" si="0"/>
        <v>0.08</v>
      </c>
      <c r="AA16" s="27">
        <f t="shared" si="0"/>
        <v>0.08</v>
      </c>
      <c r="AB16" s="27">
        <f t="shared" si="0"/>
        <v>0.08</v>
      </c>
      <c r="AC16" s="27">
        <f t="shared" si="0"/>
        <v>0.08</v>
      </c>
      <c r="AD16" s="27">
        <f t="shared" si="0"/>
        <v>0.08</v>
      </c>
      <c r="AE16" s="27">
        <f t="shared" si="0"/>
        <v>0.08</v>
      </c>
      <c r="AF16" s="27">
        <f t="shared" si="0"/>
        <v>0.08</v>
      </c>
    </row>
    <row r="17" spans="1:32" x14ac:dyDescent="0.25">
      <c r="A17" s="15" t="s">
        <v>112</v>
      </c>
      <c r="B17" s="27">
        <f t="shared" ref="B17:G17" si="1">B16</f>
        <v>0</v>
      </c>
      <c r="C17" s="27">
        <f t="shared" si="1"/>
        <v>0</v>
      </c>
      <c r="D17" s="27">
        <f t="shared" si="1"/>
        <v>0</v>
      </c>
      <c r="E17" s="27">
        <f t="shared" si="1"/>
        <v>0</v>
      </c>
      <c r="F17" s="27">
        <f t="shared" si="1"/>
        <v>0.08</v>
      </c>
      <c r="G17" s="27">
        <f t="shared" si="1"/>
        <v>0.08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2">Q17</f>
        <v>1</v>
      </c>
      <c r="S17" s="30">
        <f t="shared" si="2"/>
        <v>1</v>
      </c>
      <c r="T17" s="30">
        <f t="shared" si="2"/>
        <v>1</v>
      </c>
      <c r="U17" s="30">
        <f t="shared" si="2"/>
        <v>1</v>
      </c>
      <c r="V17" s="30">
        <f t="shared" si="2"/>
        <v>1</v>
      </c>
      <c r="W17" s="30">
        <f t="shared" si="2"/>
        <v>1</v>
      </c>
      <c r="X17" s="30">
        <f t="shared" si="2"/>
        <v>1</v>
      </c>
      <c r="Y17" s="30">
        <f t="shared" si="2"/>
        <v>1</v>
      </c>
      <c r="Z17" s="30">
        <f t="shared" si="2"/>
        <v>1</v>
      </c>
      <c r="AA17" s="30">
        <f t="shared" si="2"/>
        <v>1</v>
      </c>
      <c r="AB17" s="30">
        <f t="shared" si="2"/>
        <v>1</v>
      </c>
      <c r="AC17" s="30">
        <f t="shared" si="2"/>
        <v>1</v>
      </c>
      <c r="AD17" s="30">
        <f t="shared" si="2"/>
        <v>1</v>
      </c>
      <c r="AE17" s="30">
        <f t="shared" si="2"/>
        <v>1</v>
      </c>
      <c r="AF17" s="31">
        <f t="shared" si="2"/>
        <v>1</v>
      </c>
    </row>
    <row r="18" spans="1:32" x14ac:dyDescent="0.25">
      <c r="A18" s="15" t="s">
        <v>113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2"/>
        <v>0.55000000000000004</v>
      </c>
      <c r="S18" s="30">
        <f t="shared" si="2"/>
        <v>0.55000000000000004</v>
      </c>
      <c r="T18" s="30">
        <f t="shared" si="2"/>
        <v>0.55000000000000004</v>
      </c>
      <c r="U18" s="30">
        <f t="shared" si="2"/>
        <v>0.55000000000000004</v>
      </c>
      <c r="V18" s="30">
        <f t="shared" si="2"/>
        <v>0.55000000000000004</v>
      </c>
      <c r="W18" s="30">
        <f t="shared" si="2"/>
        <v>0.55000000000000004</v>
      </c>
      <c r="X18" s="30">
        <f t="shared" si="2"/>
        <v>0.55000000000000004</v>
      </c>
      <c r="Y18" s="30">
        <f t="shared" si="2"/>
        <v>0.55000000000000004</v>
      </c>
      <c r="Z18" s="30">
        <f t="shared" si="2"/>
        <v>0.55000000000000004</v>
      </c>
      <c r="AA18" s="30">
        <f t="shared" si="2"/>
        <v>0.55000000000000004</v>
      </c>
      <c r="AB18" s="30">
        <f t="shared" si="2"/>
        <v>0.55000000000000004</v>
      </c>
      <c r="AC18" s="30">
        <f t="shared" si="2"/>
        <v>0.55000000000000004</v>
      </c>
      <c r="AD18" s="30">
        <f t="shared" si="2"/>
        <v>0.55000000000000004</v>
      </c>
      <c r="AE18" s="30">
        <f t="shared" si="2"/>
        <v>0.55000000000000004</v>
      </c>
      <c r="AF18" s="31">
        <f t="shared" si="2"/>
        <v>0.55000000000000004</v>
      </c>
    </row>
    <row r="19" spans="1:32" x14ac:dyDescent="0.25">
      <c r="A19" s="15" t="s">
        <v>114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2"/>
        <v>0.75</v>
      </c>
      <c r="S19" s="30">
        <f t="shared" si="2"/>
        <v>0.75</v>
      </c>
      <c r="T19" s="30">
        <f t="shared" si="2"/>
        <v>0.75</v>
      </c>
      <c r="U19" s="30">
        <f t="shared" si="2"/>
        <v>0.75</v>
      </c>
      <c r="V19" s="30">
        <f t="shared" si="2"/>
        <v>0.75</v>
      </c>
      <c r="W19" s="30">
        <f t="shared" si="2"/>
        <v>0.75</v>
      </c>
      <c r="X19" s="30">
        <f t="shared" si="2"/>
        <v>0.75</v>
      </c>
      <c r="Y19" s="30">
        <f t="shared" si="2"/>
        <v>0.75</v>
      </c>
      <c r="Z19" s="30">
        <f t="shared" si="2"/>
        <v>0.75</v>
      </c>
      <c r="AA19" s="30">
        <f t="shared" si="2"/>
        <v>0.75</v>
      </c>
      <c r="AB19" s="30">
        <f t="shared" si="2"/>
        <v>0.75</v>
      </c>
      <c r="AC19" s="30">
        <f t="shared" si="2"/>
        <v>0.75</v>
      </c>
      <c r="AD19" s="30">
        <f t="shared" si="2"/>
        <v>0.75</v>
      </c>
      <c r="AE19" s="30">
        <f t="shared" si="2"/>
        <v>0.75</v>
      </c>
      <c r="AF19" s="31">
        <f t="shared" si="2"/>
        <v>0.75</v>
      </c>
    </row>
    <row r="20" spans="1:32" x14ac:dyDescent="0.25">
      <c r="A20" s="17" t="s">
        <v>115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2"/>
        <v>0.4</v>
      </c>
      <c r="S20" s="32">
        <f t="shared" si="2"/>
        <v>0.4</v>
      </c>
      <c r="T20" s="32">
        <f t="shared" si="2"/>
        <v>0.4</v>
      </c>
      <c r="U20" s="32">
        <f t="shared" si="2"/>
        <v>0.4</v>
      </c>
      <c r="V20" s="32">
        <f t="shared" si="2"/>
        <v>0.4</v>
      </c>
      <c r="W20" s="32">
        <f t="shared" si="2"/>
        <v>0.4</v>
      </c>
      <c r="X20" s="32">
        <f t="shared" si="2"/>
        <v>0.4</v>
      </c>
      <c r="Y20" s="32">
        <f t="shared" si="2"/>
        <v>0.4</v>
      </c>
      <c r="Z20" s="32">
        <f t="shared" si="2"/>
        <v>0.4</v>
      </c>
      <c r="AA20" s="32">
        <f t="shared" si="2"/>
        <v>0.4</v>
      </c>
      <c r="AB20" s="32">
        <f t="shared" si="2"/>
        <v>0.4</v>
      </c>
      <c r="AC20" s="32">
        <f t="shared" si="2"/>
        <v>0.4</v>
      </c>
      <c r="AD20" s="32">
        <f t="shared" si="2"/>
        <v>0.4</v>
      </c>
      <c r="AE20" s="32">
        <f t="shared" si="2"/>
        <v>0.4</v>
      </c>
      <c r="AF20" s="33">
        <f t="shared" si="2"/>
        <v>0.4</v>
      </c>
    </row>
    <row r="22" spans="1:32" x14ac:dyDescent="0.25">
      <c r="A22" t="s">
        <v>894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895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896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897</v>
      </c>
      <c r="C26" s="49">
        <f>SUM('AEO by Class'!B5:B7)/SUM('AEO by Class'!B5:B8)</f>
        <v>0.97399342957006296</v>
      </c>
      <c r="D26" s="49">
        <f>SUM('AEO by Class'!C5:C7)/SUM('AEO by Class'!C5:C8)</f>
        <v>0.97438177853246821</v>
      </c>
      <c r="E26" s="49">
        <f>SUM('AEO by Class'!D5:D7)/SUM('AEO by Class'!D5:D8)</f>
        <v>0.97470041794836859</v>
      </c>
      <c r="F26" s="49">
        <f>SUM('AEO by Class'!E5:E7)/SUM('AEO by Class'!E5:E8)</f>
        <v>0.97497706050312571</v>
      </c>
      <c r="G26" s="49">
        <f>SUM('AEO by Class'!F5:F7)/SUM('AEO by Class'!F5:F8)</f>
        <v>0.9752052547058212</v>
      </c>
      <c r="H26" s="49">
        <f>SUM('AEO by Class'!G5:G7)/SUM('AEO by Class'!G5:G8)</f>
        <v>0.97543855500798793</v>
      </c>
      <c r="I26" s="49">
        <f>SUM('AEO by Class'!H5:H7)/SUM('AEO by Class'!H5:H8)</f>
        <v>0.97570204653183101</v>
      </c>
      <c r="J26" s="49">
        <f>SUM('AEO by Class'!I5:I7)/SUM('AEO by Class'!I5:I8)</f>
        <v>0.97600378813222777</v>
      </c>
      <c r="K26" s="49">
        <f>SUM('AEO by Class'!J5:J7)/SUM('AEO by Class'!J5:J8)</f>
        <v>0.97633142222892477</v>
      </c>
      <c r="L26" s="49">
        <f>SUM('AEO by Class'!K5:K7)/SUM('AEO by Class'!K5:K8)</f>
        <v>0.97666499767262194</v>
      </c>
      <c r="M26" s="49">
        <f>SUM('AEO by Class'!L5:L7)/SUM('AEO by Class'!L5:L8)</f>
        <v>0.97698892042904495</v>
      </c>
      <c r="N26" s="49">
        <f>SUM('AEO by Class'!M5:M7)/SUM('AEO by Class'!M5:M8)</f>
        <v>0.97732770343914011</v>
      </c>
      <c r="O26" s="49">
        <f>SUM('AEO by Class'!N5:N7)/SUM('AEO by Class'!N5:N8)</f>
        <v>0.97765304408595732</v>
      </c>
      <c r="P26" s="49">
        <f>SUM('AEO by Class'!O5:O7)/SUM('AEO by Class'!O5:O8)</f>
        <v>0.97796609810973179</v>
      </c>
      <c r="Q26" s="49">
        <f>SUM('AEO by Class'!P5:P7)/SUM('AEO by Class'!P5:P8)</f>
        <v>0.97826613135512352</v>
      </c>
      <c r="R26" s="49">
        <f>SUM('AEO by Class'!Q5:Q7)/SUM('AEO by Class'!Q5:Q8)</f>
        <v>0.97855336237666113</v>
      </c>
      <c r="S26" s="49">
        <f>SUM('AEO by Class'!R5:R7)/SUM('AEO by Class'!R5:R8)</f>
        <v>0.9788391933655548</v>
      </c>
      <c r="T26" s="49">
        <f>SUM('AEO by Class'!S5:S7)/SUM('AEO by Class'!S5:S8)</f>
        <v>0.97909778967185035</v>
      </c>
      <c r="U26" s="49">
        <f>SUM('AEO by Class'!T5:T7)/SUM('AEO by Class'!T5:T8)</f>
        <v>0.97938743971642761</v>
      </c>
      <c r="V26" s="49">
        <f>SUM('AEO by Class'!U5:U7)/SUM('AEO by Class'!U5:U8)</f>
        <v>0.97967228590253375</v>
      </c>
      <c r="W26" s="49">
        <f>SUM('AEO by Class'!V5:V7)/SUM('AEO by Class'!V5:V8)</f>
        <v>0.97996078928323094</v>
      </c>
      <c r="X26" s="49">
        <f>SUM('AEO by Class'!W5:W7)/SUM('AEO by Class'!W5:W8)</f>
        <v>0.98022728375617529</v>
      </c>
      <c r="Y26" s="49">
        <f>SUM('AEO by Class'!X5:X7)/SUM('AEO by Class'!X5:X8)</f>
        <v>0.98049734909750497</v>
      </c>
      <c r="Z26" s="49">
        <f>SUM('AEO by Class'!Y5:Y7)/SUM('AEO by Class'!Y5:Y8)</f>
        <v>0.98076514176548202</v>
      </c>
      <c r="AA26" s="49">
        <f>SUM('AEO by Class'!Z5:Z7)/SUM('AEO by Class'!Z5:Z8)</f>
        <v>0.98102325628632059</v>
      </c>
      <c r="AB26" s="49">
        <f>SUM('AEO by Class'!AA5:AA7)/SUM('AEO by Class'!AA5:AA8)</f>
        <v>0.98128138536812781</v>
      </c>
      <c r="AC26" s="49">
        <f>SUM('AEO by Class'!AB5:AB7)/SUM('AEO by Class'!AB5:AB8)</f>
        <v>0.98154309417833552</v>
      </c>
      <c r="AD26" s="49">
        <f>SUM('AEO by Class'!AC5:AC7)/SUM('AEO by Class'!AC5:AC8)</f>
        <v>0.98179848779218515</v>
      </c>
      <c r="AE26" s="49">
        <f>SUM('AEO by Class'!AD5:AD7)/SUM('AEO by Class'!AD5:AD8)</f>
        <v>0.98204846511515176</v>
      </c>
      <c r="AF26" s="49">
        <f>SUM('AEO by Class'!AE5:AE7)/SUM('AEO by Class'!AE5:AE8)</f>
        <v>0.982288809761245</v>
      </c>
    </row>
    <row r="27" spans="1:32" x14ac:dyDescent="0.25">
      <c r="A27" t="s">
        <v>898</v>
      </c>
      <c r="C27" s="49">
        <f>1-C26</f>
        <v>2.6006570429937037E-2</v>
      </c>
      <c r="D27" s="49">
        <f t="shared" ref="D27:AF27" si="3">1-D26</f>
        <v>2.5618221467531788E-2</v>
      </c>
      <c r="E27" s="49">
        <f t="shared" si="3"/>
        <v>2.5299582051631408E-2</v>
      </c>
      <c r="F27" s="49">
        <f t="shared" si="3"/>
        <v>2.5022939496874286E-2</v>
      </c>
      <c r="G27" s="49">
        <f t="shared" si="3"/>
        <v>2.4794745294178799E-2</v>
      </c>
      <c r="H27" s="49">
        <f t="shared" si="3"/>
        <v>2.4561444992012071E-2</v>
      </c>
      <c r="I27" s="49">
        <f t="shared" si="3"/>
        <v>2.4297953468168987E-2</v>
      </c>
      <c r="J27" s="49">
        <f t="shared" si="3"/>
        <v>2.3996211867772232E-2</v>
      </c>
      <c r="K27" s="49">
        <f t="shared" si="3"/>
        <v>2.3668577771075228E-2</v>
      </c>
      <c r="L27" s="49">
        <f t="shared" si="3"/>
        <v>2.3335002327378063E-2</v>
      </c>
      <c r="M27" s="49">
        <f t="shared" si="3"/>
        <v>2.3011079570955051E-2</v>
      </c>
      <c r="N27" s="49">
        <f t="shared" si="3"/>
        <v>2.2672296560859895E-2</v>
      </c>
      <c r="O27" s="49">
        <f t="shared" si="3"/>
        <v>2.2346955914042677E-2</v>
      </c>
      <c r="P27" s="49">
        <f t="shared" si="3"/>
        <v>2.2033901890268215E-2</v>
      </c>
      <c r="Q27" s="49">
        <f t="shared" si="3"/>
        <v>2.1733868644876475E-2</v>
      </c>
      <c r="R27" s="49">
        <f t="shared" si="3"/>
        <v>2.1446637623338871E-2</v>
      </c>
      <c r="S27" s="49">
        <f t="shared" si="3"/>
        <v>2.1160806634445195E-2</v>
      </c>
      <c r="T27" s="49">
        <f t="shared" si="3"/>
        <v>2.0902210328149651E-2</v>
      </c>
      <c r="U27" s="49">
        <f t="shared" si="3"/>
        <v>2.061256028357239E-2</v>
      </c>
      <c r="V27" s="49">
        <f t="shared" si="3"/>
        <v>2.0327714097466254E-2</v>
      </c>
      <c r="W27" s="49">
        <f t="shared" si="3"/>
        <v>2.0039210716769063E-2</v>
      </c>
      <c r="X27" s="49">
        <f t="shared" si="3"/>
        <v>1.9772716243824706E-2</v>
      </c>
      <c r="Y27" s="49">
        <f t="shared" si="3"/>
        <v>1.9502650902495033E-2</v>
      </c>
      <c r="Z27" s="49">
        <f t="shared" si="3"/>
        <v>1.9234858234517982E-2</v>
      </c>
      <c r="AA27" s="49">
        <f t="shared" si="3"/>
        <v>1.8976743713679411E-2</v>
      </c>
      <c r="AB27" s="49">
        <f t="shared" si="3"/>
        <v>1.8718614631872188E-2</v>
      </c>
      <c r="AC27" s="49">
        <f t="shared" si="3"/>
        <v>1.8456905821664482E-2</v>
      </c>
      <c r="AD27" s="49">
        <f t="shared" si="3"/>
        <v>1.8201512207814852E-2</v>
      </c>
      <c r="AE27" s="49">
        <f t="shared" si="3"/>
        <v>1.7951534884848241E-2</v>
      </c>
      <c r="AF27" s="49">
        <f t="shared" si="3"/>
        <v>1.7711190238755004E-2</v>
      </c>
    </row>
    <row r="29" spans="1:32" x14ac:dyDescent="0.25">
      <c r="A29" t="s">
        <v>902</v>
      </c>
      <c r="C29" s="49">
        <f>C22/SUM(C22,C23*C26)</f>
        <v>0.73481142207366135</v>
      </c>
      <c r="D29" s="49">
        <f t="shared" ref="D29:AF29" si="4">D22/SUM(D22,D23*D26)</f>
        <v>0.74127417978219723</v>
      </c>
      <c r="E29" s="49">
        <f t="shared" si="4"/>
        <v>0.74553854674331921</v>
      </c>
      <c r="F29" s="49">
        <f t="shared" si="4"/>
        <v>0.74769121441064412</v>
      </c>
      <c r="G29" s="49">
        <f t="shared" si="4"/>
        <v>0.74820737612823907</v>
      </c>
      <c r="H29" s="49">
        <f t="shared" si="4"/>
        <v>0.74844142817917036</v>
      </c>
      <c r="I29" s="49">
        <f t="shared" si="4"/>
        <v>0.74877446237778833</v>
      </c>
      <c r="J29" s="49">
        <f t="shared" si="4"/>
        <v>0.74885964940774741</v>
      </c>
      <c r="K29" s="49">
        <f t="shared" si="4"/>
        <v>0.74900963250120289</v>
      </c>
      <c r="L29" s="49">
        <f t="shared" si="4"/>
        <v>0.74938033574885499</v>
      </c>
      <c r="M29" s="49">
        <f t="shared" si="4"/>
        <v>0.74954210086287232</v>
      </c>
      <c r="N29" s="49">
        <f t="shared" si="4"/>
        <v>0.7491612114249121</v>
      </c>
      <c r="O29" s="49">
        <f t="shared" si="4"/>
        <v>0.74924577434472572</v>
      </c>
      <c r="P29" s="49">
        <f t="shared" si="4"/>
        <v>0.74933058100409178</v>
      </c>
      <c r="Q29" s="49">
        <f t="shared" si="4"/>
        <v>0.74927541514132256</v>
      </c>
      <c r="R29" s="49">
        <f t="shared" si="4"/>
        <v>0.74939701708796347</v>
      </c>
      <c r="S29" s="49">
        <f t="shared" si="4"/>
        <v>0.74919032898697491</v>
      </c>
      <c r="T29" s="49">
        <f t="shared" si="4"/>
        <v>0.74918031490485637</v>
      </c>
      <c r="U29" s="49">
        <f t="shared" si="4"/>
        <v>0.74910395642487793</v>
      </c>
      <c r="V29" s="49">
        <f t="shared" si="4"/>
        <v>0.7489415734849606</v>
      </c>
      <c r="W29" s="49">
        <f t="shared" si="4"/>
        <v>0.74890413145208234</v>
      </c>
      <c r="X29" s="49">
        <f t="shared" si="4"/>
        <v>0.74889930291880147</v>
      </c>
      <c r="Y29" s="49">
        <f t="shared" si="4"/>
        <v>0.74875012847799738</v>
      </c>
      <c r="Z29" s="49">
        <f t="shared" si="4"/>
        <v>0.7486160706646503</v>
      </c>
      <c r="AA29" s="49">
        <f t="shared" si="4"/>
        <v>0.74873342112160668</v>
      </c>
      <c r="AB29" s="49">
        <f t="shared" si="4"/>
        <v>0.74894392924152842</v>
      </c>
      <c r="AC29" s="49">
        <f t="shared" si="4"/>
        <v>0.74925132572081576</v>
      </c>
      <c r="AD29" s="49">
        <f t="shared" si="4"/>
        <v>0.74965610175272923</v>
      </c>
      <c r="AE29" s="49">
        <f t="shared" si="4"/>
        <v>0.74993875837147139</v>
      </c>
      <c r="AF29" s="49">
        <f t="shared" si="4"/>
        <v>0.75002640197546133</v>
      </c>
    </row>
    <row r="30" spans="1:32" x14ac:dyDescent="0.25">
      <c r="A30" t="s">
        <v>903</v>
      </c>
      <c r="C30" s="49">
        <f>1-C29</f>
        <v>0.26518857792633865</v>
      </c>
      <c r="D30" s="49">
        <f t="shared" ref="D30:AF30" si="5">1-D29</f>
        <v>0.25872582021780277</v>
      </c>
      <c r="E30" s="49">
        <f t="shared" si="5"/>
        <v>0.25446145325668079</v>
      </c>
      <c r="F30" s="49">
        <f t="shared" si="5"/>
        <v>0.25230878558935588</v>
      </c>
      <c r="G30" s="49">
        <f t="shared" si="5"/>
        <v>0.25179262387176093</v>
      </c>
      <c r="H30" s="49">
        <f t="shared" si="5"/>
        <v>0.25155857182082964</v>
      </c>
      <c r="I30" s="49">
        <f t="shared" si="5"/>
        <v>0.25122553762221167</v>
      </c>
      <c r="J30" s="49">
        <f t="shared" si="5"/>
        <v>0.25114035059225259</v>
      </c>
      <c r="K30" s="49">
        <f t="shared" si="5"/>
        <v>0.25099036749879711</v>
      </c>
      <c r="L30" s="49">
        <f t="shared" si="5"/>
        <v>0.25061966425114501</v>
      </c>
      <c r="M30" s="49">
        <f t="shared" si="5"/>
        <v>0.25045789913712768</v>
      </c>
      <c r="N30" s="49">
        <f t="shared" si="5"/>
        <v>0.2508387885750879</v>
      </c>
      <c r="O30" s="49">
        <f t="shared" si="5"/>
        <v>0.25075422565527428</v>
      </c>
      <c r="P30" s="49">
        <f t="shared" si="5"/>
        <v>0.25066941899590822</v>
      </c>
      <c r="Q30" s="49">
        <f t="shared" si="5"/>
        <v>0.25072458485867744</v>
      </c>
      <c r="R30" s="49">
        <f t="shared" si="5"/>
        <v>0.25060298291203653</v>
      </c>
      <c r="S30" s="49">
        <f t="shared" si="5"/>
        <v>0.25080967101302509</v>
      </c>
      <c r="T30" s="49">
        <f t="shared" si="5"/>
        <v>0.25081968509514363</v>
      </c>
      <c r="U30" s="49">
        <f t="shared" si="5"/>
        <v>0.25089604357512207</v>
      </c>
      <c r="V30" s="49">
        <f t="shared" si="5"/>
        <v>0.2510584265150394</v>
      </c>
      <c r="W30" s="49">
        <f t="shared" si="5"/>
        <v>0.25109586854791766</v>
      </c>
      <c r="X30" s="49">
        <f t="shared" si="5"/>
        <v>0.25110069708119853</v>
      </c>
      <c r="Y30" s="49">
        <f t="shared" si="5"/>
        <v>0.25124987152200262</v>
      </c>
      <c r="Z30" s="49">
        <f t="shared" si="5"/>
        <v>0.2513839293353497</v>
      </c>
      <c r="AA30" s="49">
        <f t="shared" si="5"/>
        <v>0.25126657887839332</v>
      </c>
      <c r="AB30" s="49">
        <f t="shared" si="5"/>
        <v>0.25105607075847158</v>
      </c>
      <c r="AC30" s="49">
        <f t="shared" si="5"/>
        <v>0.25074867427918424</v>
      </c>
      <c r="AD30" s="49">
        <f t="shared" si="5"/>
        <v>0.25034389824727077</v>
      </c>
      <c r="AE30" s="49">
        <f t="shared" si="5"/>
        <v>0.25006124162852861</v>
      </c>
      <c r="AF30" s="49">
        <f t="shared" si="5"/>
        <v>0.24997359802453867</v>
      </c>
    </row>
    <row r="31" spans="1:32" x14ac:dyDescent="0.25">
      <c r="A31" t="s">
        <v>904</v>
      </c>
      <c r="C31" s="49">
        <f>(C23*C27)/SUM(C23*C27,C24)</f>
        <v>8.5746266307587214E-3</v>
      </c>
      <c r="D31" s="49">
        <f t="shared" ref="D31:AF31" si="6">(D23*D27)/SUM(D23*D27,D24)</f>
        <v>8.3845751799425973E-3</v>
      </c>
      <c r="E31" s="49">
        <f t="shared" si="6"/>
        <v>8.2334310553413611E-3</v>
      </c>
      <c r="F31" s="49">
        <f t="shared" si="6"/>
        <v>8.1146347488336226E-3</v>
      </c>
      <c r="G31" s="49">
        <f t="shared" si="6"/>
        <v>8.0218503292793335E-3</v>
      </c>
      <c r="H31" s="49">
        <f t="shared" si="6"/>
        <v>7.9470666093266178E-3</v>
      </c>
      <c r="I31" s="49">
        <f t="shared" si="6"/>
        <v>7.8830439441871306E-3</v>
      </c>
      <c r="J31" s="49">
        <f t="shared" si="6"/>
        <v>7.8269763173361619E-3</v>
      </c>
      <c r="K31" s="49">
        <f t="shared" si="6"/>
        <v>7.7760428302134244E-3</v>
      </c>
      <c r="L31" s="49">
        <f t="shared" si="6"/>
        <v>7.7336831074216314E-3</v>
      </c>
      <c r="M31" s="49">
        <f t="shared" si="6"/>
        <v>7.7008536881767115E-3</v>
      </c>
      <c r="N31" s="49">
        <f t="shared" si="6"/>
        <v>7.6739092565390899E-3</v>
      </c>
      <c r="O31" s="49">
        <f t="shared" si="6"/>
        <v>7.6486353434351076E-3</v>
      </c>
      <c r="P31" s="49">
        <f t="shared" si="6"/>
        <v>7.6261121029012518E-3</v>
      </c>
      <c r="Q31" s="49">
        <f t="shared" si="6"/>
        <v>7.6073022502953407E-3</v>
      </c>
      <c r="R31" s="49">
        <f t="shared" si="6"/>
        <v>7.5916857033980741E-3</v>
      </c>
      <c r="S31" s="49">
        <f t="shared" si="6"/>
        <v>7.5780446760008715E-3</v>
      </c>
      <c r="T31" s="49">
        <f t="shared" si="6"/>
        <v>7.5653723778320815E-3</v>
      </c>
      <c r="U31" s="49">
        <f t="shared" si="6"/>
        <v>7.5494685823464065E-3</v>
      </c>
      <c r="V31" s="49">
        <f t="shared" si="6"/>
        <v>7.5335815373240734E-3</v>
      </c>
      <c r="W31" s="49">
        <f t="shared" si="6"/>
        <v>7.5164133352764173E-3</v>
      </c>
      <c r="X31" s="49">
        <f t="shared" si="6"/>
        <v>7.5030825135913937E-3</v>
      </c>
      <c r="Y31" s="49">
        <f t="shared" si="6"/>
        <v>7.4913118089481642E-3</v>
      </c>
      <c r="Z31" s="49">
        <f t="shared" si="6"/>
        <v>7.481304427968875E-3</v>
      </c>
      <c r="AA31" s="49">
        <f t="shared" si="6"/>
        <v>7.4733713889194578E-3</v>
      </c>
      <c r="AB31" s="49">
        <f t="shared" si="6"/>
        <v>7.4651998275237141E-3</v>
      </c>
      <c r="AC31" s="49">
        <f t="shared" si="6"/>
        <v>7.4566040252051716E-3</v>
      </c>
      <c r="AD31" s="49">
        <f t="shared" si="6"/>
        <v>7.4496551405745046E-3</v>
      </c>
      <c r="AE31" s="49">
        <f t="shared" si="6"/>
        <v>7.4434587660748173E-3</v>
      </c>
      <c r="AF31" s="49">
        <f t="shared" si="6"/>
        <v>7.4383567270127236E-3</v>
      </c>
    </row>
    <row r="32" spans="1:32" x14ac:dyDescent="0.25">
      <c r="A32" t="s">
        <v>905</v>
      </c>
      <c r="C32" s="49">
        <f>1-C31</f>
        <v>0.9914253733692413</v>
      </c>
      <c r="D32" s="49">
        <f t="shared" ref="D32:AF32" si="7">1-D31</f>
        <v>0.99161542482005738</v>
      </c>
      <c r="E32" s="49">
        <f t="shared" si="7"/>
        <v>0.99176656894465864</v>
      </c>
      <c r="F32" s="49">
        <f t="shared" si="7"/>
        <v>0.99188536525116633</v>
      </c>
      <c r="G32" s="49">
        <f t="shared" si="7"/>
        <v>0.99197814967072062</v>
      </c>
      <c r="H32" s="49">
        <f t="shared" si="7"/>
        <v>0.99205293339067335</v>
      </c>
      <c r="I32" s="49">
        <f t="shared" si="7"/>
        <v>0.99211695605581285</v>
      </c>
      <c r="J32" s="49">
        <f t="shared" si="7"/>
        <v>0.9921730236826638</v>
      </c>
      <c r="K32" s="49">
        <f t="shared" si="7"/>
        <v>0.99222395716978662</v>
      </c>
      <c r="L32" s="49">
        <f t="shared" si="7"/>
        <v>0.99226631689257838</v>
      </c>
      <c r="M32" s="49">
        <f t="shared" si="7"/>
        <v>0.99229914631182325</v>
      </c>
      <c r="N32" s="49">
        <f t="shared" si="7"/>
        <v>0.9923260907434609</v>
      </c>
      <c r="O32" s="49">
        <f t="shared" si="7"/>
        <v>0.99235136465656493</v>
      </c>
      <c r="P32" s="49">
        <f t="shared" si="7"/>
        <v>0.99237388789709879</v>
      </c>
      <c r="Q32" s="49">
        <f t="shared" si="7"/>
        <v>0.99239269774970462</v>
      </c>
      <c r="R32" s="49">
        <f t="shared" si="7"/>
        <v>0.99240831429660192</v>
      </c>
      <c r="S32" s="49">
        <f t="shared" si="7"/>
        <v>0.99242195532399913</v>
      </c>
      <c r="T32" s="49">
        <f t="shared" si="7"/>
        <v>0.99243462762216794</v>
      </c>
      <c r="U32" s="49">
        <f t="shared" si="7"/>
        <v>0.9924505314176536</v>
      </c>
      <c r="V32" s="49">
        <f t="shared" si="7"/>
        <v>0.99246641846267591</v>
      </c>
      <c r="W32" s="49">
        <f t="shared" si="7"/>
        <v>0.99248358666472358</v>
      </c>
      <c r="X32" s="49">
        <f t="shared" si="7"/>
        <v>0.99249691748640856</v>
      </c>
      <c r="Y32" s="49">
        <f t="shared" si="7"/>
        <v>0.99250868819105187</v>
      </c>
      <c r="Z32" s="49">
        <f t="shared" si="7"/>
        <v>0.9925186955720311</v>
      </c>
      <c r="AA32" s="49">
        <f t="shared" si="7"/>
        <v>0.99252662861108054</v>
      </c>
      <c r="AB32" s="49">
        <f t="shared" si="7"/>
        <v>0.99253480017247631</v>
      </c>
      <c r="AC32" s="49">
        <f t="shared" si="7"/>
        <v>0.9925433959747948</v>
      </c>
      <c r="AD32" s="49">
        <f t="shared" si="7"/>
        <v>0.9925503448594255</v>
      </c>
      <c r="AE32" s="49">
        <f t="shared" si="7"/>
        <v>0.99255654123392523</v>
      </c>
      <c r="AF32" s="49">
        <f t="shared" si="7"/>
        <v>0.99256164327298724</v>
      </c>
    </row>
    <row r="35" spans="1:32" s="1" customFormat="1" x14ac:dyDescent="0.25">
      <c r="A35" s="25" t="s">
        <v>97</v>
      </c>
      <c r="B35" s="29"/>
      <c r="C35" s="29"/>
      <c r="D35" s="34"/>
    </row>
    <row r="36" spans="1:32" x14ac:dyDescent="0.25">
      <c r="A36" s="26" t="s">
        <v>98</v>
      </c>
      <c r="D36" s="16"/>
    </row>
    <row r="37" spans="1:32" x14ac:dyDescent="0.25">
      <c r="A37" s="119" t="s">
        <v>90</v>
      </c>
      <c r="B37" s="120"/>
      <c r="C37" s="121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91</v>
      </c>
      <c r="B39" s="9" t="s">
        <v>91</v>
      </c>
      <c r="C39" s="9" t="s">
        <v>92</v>
      </c>
      <c r="D39" s="16"/>
    </row>
    <row r="40" spans="1:32" x14ac:dyDescent="0.25">
      <c r="A40" s="35" t="s">
        <v>93</v>
      </c>
      <c r="B40" s="9" t="s">
        <v>94</v>
      </c>
      <c r="C40" s="9" t="s">
        <v>95</v>
      </c>
      <c r="D40" s="16"/>
    </row>
    <row r="41" spans="1:32" x14ac:dyDescent="0.25">
      <c r="A41" s="35"/>
      <c r="B41" s="9" t="s">
        <v>96</v>
      </c>
      <c r="C41" s="9" t="s">
        <v>91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99</v>
      </c>
    </row>
    <row r="46" spans="1:32" x14ac:dyDescent="0.25">
      <c r="A46" t="s">
        <v>89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118</v>
      </c>
      <c r="B47" s="12">
        <f t="shared" ref="B47:AF47" si="8">B16</f>
        <v>0</v>
      </c>
      <c r="C47" s="12">
        <f t="shared" si="8"/>
        <v>0</v>
      </c>
      <c r="D47" s="12">
        <f t="shared" si="8"/>
        <v>0</v>
      </c>
      <c r="E47" s="12">
        <f t="shared" si="8"/>
        <v>0</v>
      </c>
      <c r="F47" s="12">
        <f t="shared" si="8"/>
        <v>0.08</v>
      </c>
      <c r="G47" s="12">
        <f t="shared" si="8"/>
        <v>0.08</v>
      </c>
      <c r="H47" s="12">
        <f t="shared" si="8"/>
        <v>0.08</v>
      </c>
      <c r="I47" s="12">
        <f t="shared" si="8"/>
        <v>0.08</v>
      </c>
      <c r="J47" s="12">
        <f t="shared" si="8"/>
        <v>0.08</v>
      </c>
      <c r="K47" s="12">
        <f t="shared" si="8"/>
        <v>0.08</v>
      </c>
      <c r="L47" s="12">
        <f t="shared" si="8"/>
        <v>0.08</v>
      </c>
      <c r="M47" s="12">
        <f t="shared" si="8"/>
        <v>0.08</v>
      </c>
      <c r="N47" s="12">
        <f>N16</f>
        <v>0.08</v>
      </c>
      <c r="O47" s="12">
        <f t="shared" si="8"/>
        <v>0.08</v>
      </c>
      <c r="P47" s="12">
        <f t="shared" si="8"/>
        <v>0.08</v>
      </c>
      <c r="Q47" s="12">
        <f t="shared" si="8"/>
        <v>0.08</v>
      </c>
      <c r="R47" s="12">
        <f t="shared" si="8"/>
        <v>0.08</v>
      </c>
      <c r="S47" s="12">
        <f t="shared" si="8"/>
        <v>0.08</v>
      </c>
      <c r="T47" s="12">
        <f t="shared" si="8"/>
        <v>0.08</v>
      </c>
      <c r="U47" s="12">
        <f t="shared" si="8"/>
        <v>0.08</v>
      </c>
      <c r="V47" s="12">
        <f t="shared" si="8"/>
        <v>0.08</v>
      </c>
      <c r="W47" s="12">
        <f t="shared" si="8"/>
        <v>0.08</v>
      </c>
      <c r="X47" s="12">
        <f t="shared" si="8"/>
        <v>0.08</v>
      </c>
      <c r="Y47" s="12">
        <f t="shared" si="8"/>
        <v>0.08</v>
      </c>
      <c r="Z47" s="12">
        <f t="shared" si="8"/>
        <v>0.08</v>
      </c>
      <c r="AA47" s="12">
        <f t="shared" si="8"/>
        <v>0.08</v>
      </c>
      <c r="AB47" s="12">
        <f t="shared" si="8"/>
        <v>0.08</v>
      </c>
      <c r="AC47" s="12">
        <f t="shared" si="8"/>
        <v>0.08</v>
      </c>
      <c r="AD47" s="12">
        <f t="shared" si="8"/>
        <v>0.08</v>
      </c>
      <c r="AE47" s="12">
        <f t="shared" si="8"/>
        <v>0.08</v>
      </c>
      <c r="AF47" s="12">
        <f t="shared" si="8"/>
        <v>0.08</v>
      </c>
    </row>
    <row r="48" spans="1:32" x14ac:dyDescent="0.25">
      <c r="A48" t="s">
        <v>117</v>
      </c>
      <c r="B48" s="12">
        <f t="shared" ref="B48:AF48" si="9">B17</f>
        <v>0</v>
      </c>
      <c r="C48" s="12">
        <f t="shared" si="9"/>
        <v>0</v>
      </c>
      <c r="D48" s="12">
        <f t="shared" si="9"/>
        <v>0</v>
      </c>
      <c r="E48" s="12">
        <f t="shared" si="9"/>
        <v>0</v>
      </c>
      <c r="F48" s="12">
        <f t="shared" si="9"/>
        <v>0.08</v>
      </c>
      <c r="G48" s="12">
        <f t="shared" si="9"/>
        <v>0.08</v>
      </c>
      <c r="H48" s="12">
        <f t="shared" si="9"/>
        <v>0.35</v>
      </c>
      <c r="I48" s="12">
        <f t="shared" si="9"/>
        <v>0.43</v>
      </c>
      <c r="J48" s="12">
        <f t="shared" si="9"/>
        <v>0.51</v>
      </c>
      <c r="K48" s="12">
        <f t="shared" si="9"/>
        <v>0.59</v>
      </c>
      <c r="L48" s="12">
        <f t="shared" si="9"/>
        <v>0.68</v>
      </c>
      <c r="M48" s="12">
        <f t="shared" si="9"/>
        <v>0.76</v>
      </c>
      <c r="N48" s="12">
        <f t="shared" si="9"/>
        <v>0.82</v>
      </c>
      <c r="O48" s="12">
        <f t="shared" si="9"/>
        <v>0.88</v>
      </c>
      <c r="P48" s="12">
        <f t="shared" si="9"/>
        <v>0.94</v>
      </c>
      <c r="Q48" s="12">
        <f t="shared" si="9"/>
        <v>1</v>
      </c>
      <c r="R48" s="12">
        <f t="shared" si="9"/>
        <v>1</v>
      </c>
      <c r="S48" s="12">
        <f t="shared" si="9"/>
        <v>1</v>
      </c>
      <c r="T48" s="12">
        <f t="shared" si="9"/>
        <v>1</v>
      </c>
      <c r="U48" s="12">
        <f t="shared" si="9"/>
        <v>1</v>
      </c>
      <c r="V48" s="12">
        <f t="shared" si="9"/>
        <v>1</v>
      </c>
      <c r="W48" s="12">
        <f t="shared" si="9"/>
        <v>1</v>
      </c>
      <c r="X48" s="12">
        <f t="shared" si="9"/>
        <v>1</v>
      </c>
      <c r="Y48" s="12">
        <f t="shared" si="9"/>
        <v>1</v>
      </c>
      <c r="Z48" s="12">
        <f t="shared" si="9"/>
        <v>1</v>
      </c>
      <c r="AA48" s="12">
        <f t="shared" si="9"/>
        <v>1</v>
      </c>
      <c r="AB48" s="12">
        <f t="shared" si="9"/>
        <v>1</v>
      </c>
      <c r="AC48" s="12">
        <f t="shared" si="9"/>
        <v>1</v>
      </c>
      <c r="AD48" s="12">
        <f t="shared" si="9"/>
        <v>1</v>
      </c>
      <c r="AE48" s="12">
        <f t="shared" si="9"/>
        <v>1</v>
      </c>
      <c r="AF48" s="12">
        <f t="shared" si="9"/>
        <v>1</v>
      </c>
    </row>
    <row r="49" spans="1:32" x14ac:dyDescent="0.25">
      <c r="A49" t="s">
        <v>77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0">($A$43*0+$B$43*F19)/($C$43)</f>
        <v>3.9118535662182166E-2</v>
      </c>
      <c r="G49" s="12">
        <f t="shared" si="10"/>
        <v>4.7811543587111538E-2</v>
      </c>
      <c r="H49" s="12">
        <f t="shared" si="10"/>
        <v>5.6504551512040903E-2</v>
      </c>
      <c r="I49" s="12">
        <f t="shared" si="10"/>
        <v>8.6930079249293704E-2</v>
      </c>
      <c r="J49" s="12">
        <f t="shared" si="10"/>
        <v>0.13039511887394054</v>
      </c>
      <c r="K49" s="12">
        <f t="shared" si="10"/>
        <v>0.17386015849858741</v>
      </c>
      <c r="L49" s="12">
        <f>($A$43*0+$B$43*L19)/($C$43)</f>
        <v>0.21732519812323425</v>
      </c>
      <c r="M49" s="12">
        <f t="shared" si="10"/>
        <v>0.23905771793555769</v>
      </c>
      <c r="N49" s="12">
        <f t="shared" si="10"/>
        <v>0.26079023774788107</v>
      </c>
      <c r="O49" s="12">
        <f t="shared" si="10"/>
        <v>0.28252275756020451</v>
      </c>
      <c r="P49" s="12">
        <f t="shared" si="10"/>
        <v>0.30425527737252789</v>
      </c>
      <c r="Q49" s="12">
        <f t="shared" si="10"/>
        <v>0.32598779718485138</v>
      </c>
      <c r="R49" s="12">
        <f t="shared" si="10"/>
        <v>0.32598779718485138</v>
      </c>
      <c r="S49" s="12">
        <f t="shared" si="10"/>
        <v>0.32598779718485138</v>
      </c>
      <c r="T49" s="12">
        <f t="shared" si="10"/>
        <v>0.32598779718485138</v>
      </c>
      <c r="U49" s="12">
        <f t="shared" si="10"/>
        <v>0.32598779718485138</v>
      </c>
      <c r="V49" s="12">
        <f t="shared" si="10"/>
        <v>0.32598779718485138</v>
      </c>
      <c r="W49" s="12">
        <f t="shared" si="10"/>
        <v>0.32598779718485138</v>
      </c>
      <c r="X49" s="12">
        <f t="shared" si="10"/>
        <v>0.32598779718485138</v>
      </c>
      <c r="Y49" s="12">
        <f t="shared" si="10"/>
        <v>0.32598779718485138</v>
      </c>
      <c r="Z49" s="12">
        <f t="shared" si="10"/>
        <v>0.32598779718485138</v>
      </c>
      <c r="AA49" s="12">
        <f t="shared" si="10"/>
        <v>0.32598779718485138</v>
      </c>
      <c r="AB49" s="12">
        <f t="shared" si="10"/>
        <v>0.32598779718485138</v>
      </c>
      <c r="AC49" s="12">
        <f t="shared" si="10"/>
        <v>0.32598779718485138</v>
      </c>
      <c r="AD49" s="12">
        <f t="shared" si="10"/>
        <v>0.32598779718485138</v>
      </c>
      <c r="AE49" s="12">
        <f t="shared" si="10"/>
        <v>0.32598779718485138</v>
      </c>
      <c r="AF49" s="12">
        <f t="shared" si="10"/>
        <v>0.32598779718485138</v>
      </c>
    </row>
    <row r="50" spans="1:32" x14ac:dyDescent="0.25">
      <c r="A50" t="s">
        <v>78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79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1">G18*G29+G19*G30</f>
        <v>8.007170495487044E-2</v>
      </c>
      <c r="H51" s="12">
        <f t="shared" si="11"/>
        <v>0.10754675715462489</v>
      </c>
      <c r="I51" s="12">
        <f t="shared" si="11"/>
        <v>0.16256127688111058</v>
      </c>
      <c r="J51" s="12">
        <f t="shared" si="11"/>
        <v>0.22511403505922528</v>
      </c>
      <c r="K51" s="12">
        <f t="shared" si="11"/>
        <v>0.28764855512481957</v>
      </c>
      <c r="L51" s="12">
        <f t="shared" si="11"/>
        <v>0.35012393285022902</v>
      </c>
      <c r="M51" s="12">
        <f t="shared" si="11"/>
        <v>0.40009157982742549</v>
      </c>
      <c r="N51" s="12">
        <f t="shared" si="11"/>
        <v>0.4501677577150176</v>
      </c>
      <c r="O51" s="12">
        <f t="shared" si="11"/>
        <v>0.5001508451310549</v>
      </c>
      <c r="P51" s="12">
        <f t="shared" si="11"/>
        <v>0.5501338837991816</v>
      </c>
      <c r="Q51" s="12">
        <f t="shared" si="11"/>
        <v>0.60014491697173544</v>
      </c>
      <c r="R51" s="12">
        <f t="shared" si="11"/>
        <v>0.60012059658240735</v>
      </c>
      <c r="S51" s="12">
        <f t="shared" si="11"/>
        <v>0.600161934202605</v>
      </c>
      <c r="T51" s="12">
        <f t="shared" si="11"/>
        <v>0.60016393701902881</v>
      </c>
      <c r="U51" s="12">
        <f t="shared" si="11"/>
        <v>0.60017920871502439</v>
      </c>
      <c r="V51" s="12">
        <f t="shared" si="11"/>
        <v>0.60021168530300795</v>
      </c>
      <c r="W51" s="12">
        <f t="shared" si="11"/>
        <v>0.60021917370958355</v>
      </c>
      <c r="X51" s="12">
        <f t="shared" si="11"/>
        <v>0.60022013941623975</v>
      </c>
      <c r="Y51" s="12">
        <f t="shared" si="11"/>
        <v>0.60024997430440052</v>
      </c>
      <c r="Z51" s="12">
        <f t="shared" si="11"/>
        <v>0.6002767858670699</v>
      </c>
      <c r="AA51" s="12">
        <f t="shared" si="11"/>
        <v>0.60025331577567864</v>
      </c>
      <c r="AB51" s="12">
        <f t="shared" si="11"/>
        <v>0.60021121415169432</v>
      </c>
      <c r="AC51" s="12">
        <f t="shared" si="11"/>
        <v>0.60014973485583689</v>
      </c>
      <c r="AD51" s="12">
        <f t="shared" si="11"/>
        <v>0.60006877964945415</v>
      </c>
      <c r="AE51" s="12">
        <f t="shared" si="11"/>
        <v>0.60001224832570577</v>
      </c>
      <c r="AF51" s="12">
        <f t="shared" si="11"/>
        <v>0.5999947196049078</v>
      </c>
    </row>
    <row r="52" spans="1:32" x14ac:dyDescent="0.25">
      <c r="A52" t="s">
        <v>80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2">G19*G31+G20*G32</f>
        <v>7.0320874013171178E-2</v>
      </c>
      <c r="H52" s="12">
        <f t="shared" si="12"/>
        <v>0.10023841199827981</v>
      </c>
      <c r="I52" s="12">
        <f t="shared" si="12"/>
        <v>0.15039415219720934</v>
      </c>
      <c r="J52" s="12">
        <f t="shared" si="12"/>
        <v>0.20078269763173362</v>
      </c>
      <c r="K52" s="12">
        <f t="shared" si="12"/>
        <v>0.25116640642453203</v>
      </c>
      <c r="L52" s="12">
        <f t="shared" si="12"/>
        <v>0.30154673662148429</v>
      </c>
      <c r="M52" s="12">
        <f t="shared" si="12"/>
        <v>0.35154017073763533</v>
      </c>
      <c r="N52" s="12">
        <f t="shared" si="12"/>
        <v>0.40153478185130786</v>
      </c>
      <c r="O52" s="12">
        <f t="shared" si="12"/>
        <v>0.40191215883585885</v>
      </c>
      <c r="P52" s="12">
        <f t="shared" si="12"/>
        <v>0.40228783363087045</v>
      </c>
      <c r="Q52" s="12">
        <f t="shared" si="12"/>
        <v>0.40266255578760335</v>
      </c>
      <c r="R52" s="12">
        <f t="shared" si="12"/>
        <v>0.40265708999618932</v>
      </c>
      <c r="S52" s="12">
        <f t="shared" si="12"/>
        <v>0.40265231563660031</v>
      </c>
      <c r="T52" s="12">
        <f t="shared" si="12"/>
        <v>0.40264788033224125</v>
      </c>
      <c r="U52" s="12">
        <f t="shared" si="12"/>
        <v>0.40264231400382128</v>
      </c>
      <c r="V52" s="12">
        <f t="shared" si="12"/>
        <v>0.40263675353806344</v>
      </c>
      <c r="W52" s="12">
        <f t="shared" si="12"/>
        <v>0.40263074466734672</v>
      </c>
      <c r="X52" s="12">
        <f t="shared" si="12"/>
        <v>0.40262607887975699</v>
      </c>
      <c r="Y52" s="12">
        <f t="shared" si="12"/>
        <v>0.40262195913313187</v>
      </c>
      <c r="Z52" s="12">
        <f t="shared" si="12"/>
        <v>0.40261845654978912</v>
      </c>
      <c r="AA52" s="12">
        <f t="shared" si="12"/>
        <v>0.40261567998612185</v>
      </c>
      <c r="AB52" s="12">
        <f t="shared" si="12"/>
        <v>0.40261281993963333</v>
      </c>
      <c r="AC52" s="12">
        <f t="shared" si="12"/>
        <v>0.40260981140882179</v>
      </c>
      <c r="AD52" s="12">
        <f t="shared" si="12"/>
        <v>0.4026073792992011</v>
      </c>
      <c r="AE52" s="12">
        <f t="shared" si="12"/>
        <v>0.40260521056812626</v>
      </c>
      <c r="AF52" s="12">
        <f t="shared" si="12"/>
        <v>0.40260342485445444</v>
      </c>
    </row>
    <row r="53" spans="1:32" x14ac:dyDescent="0.25">
      <c r="A53" t="s">
        <v>81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L2" sqref="L2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118</v>
      </c>
      <c r="B2" s="43">
        <f>'EPS Vehicle Class Mapping'!B47</f>
        <v>0</v>
      </c>
      <c r="C2" s="12">
        <f>'EPS Vehicle Class Mapping'!C47</f>
        <v>0</v>
      </c>
      <c r="D2" s="12">
        <f>'EPS Vehicle Class Mapping'!D47</f>
        <v>0</v>
      </c>
      <c r="E2" s="12">
        <f>'EPS Vehicle Class Mapping'!E47</f>
        <v>0</v>
      </c>
      <c r="F2" s="12">
        <f>'EPS Vehicle Class Mapping'!F47</f>
        <v>0.08</v>
      </c>
      <c r="G2" s="12">
        <f>'EPS Vehicle Class Mapping'!G47</f>
        <v>0.08</v>
      </c>
      <c r="H2" s="12">
        <f>'EPS Vehicle Class Mapping'!H47</f>
        <v>0.08</v>
      </c>
      <c r="I2" s="12">
        <f>'EPS Vehicle Class Mapping'!I47</f>
        <v>0.08</v>
      </c>
      <c r="J2" s="12">
        <f>'EPS Vehicle Class Mapping'!J47</f>
        <v>0.08</v>
      </c>
      <c r="K2" s="12">
        <f>'EPS Vehicle Class Mapping'!K47</f>
        <v>0.08</v>
      </c>
      <c r="L2" s="12">
        <f>'EPS Vehicle Class Mapping'!L47</f>
        <v>0.08</v>
      </c>
      <c r="M2" s="12">
        <f>'EPS Vehicle Class Mapping'!M47</f>
        <v>0.08</v>
      </c>
      <c r="N2" s="12">
        <f>'EPS Vehicle Class Mapping'!N47</f>
        <v>0.08</v>
      </c>
      <c r="O2" s="12">
        <f>'EPS Vehicle Class Mapping'!O47</f>
        <v>0.08</v>
      </c>
      <c r="P2" s="12">
        <f>'EPS Vehicle Class Mapping'!P47</f>
        <v>0.08</v>
      </c>
      <c r="Q2" s="12">
        <f>'EPS Vehicle Class Mapping'!Q47</f>
        <v>0.08</v>
      </c>
      <c r="R2" s="12">
        <f>'EPS Vehicle Class Mapping'!R47</f>
        <v>0.08</v>
      </c>
      <c r="S2" s="12">
        <f>'EPS Vehicle Class Mapping'!S47</f>
        <v>0.08</v>
      </c>
      <c r="T2" s="12">
        <f>'EPS Vehicle Class Mapping'!T47</f>
        <v>0.08</v>
      </c>
      <c r="U2" s="12">
        <f>'EPS Vehicle Class Mapping'!U47</f>
        <v>0.08</v>
      </c>
      <c r="V2" s="12">
        <f>'EPS Vehicle Class Mapping'!V47</f>
        <v>0.08</v>
      </c>
      <c r="W2" s="12">
        <f>'EPS Vehicle Class Mapping'!W47</f>
        <v>0.08</v>
      </c>
      <c r="X2" s="12">
        <f>'EPS Vehicle Class Mapping'!X47</f>
        <v>0.08</v>
      </c>
      <c r="Y2" s="12">
        <f>'EPS Vehicle Class Mapping'!Y47</f>
        <v>0.08</v>
      </c>
      <c r="Z2" s="12">
        <f>'EPS Vehicle Class Mapping'!Z47</f>
        <v>0.08</v>
      </c>
      <c r="AA2" s="12">
        <f>'EPS Vehicle Class Mapping'!AA47</f>
        <v>0.08</v>
      </c>
      <c r="AB2" s="12">
        <f>'EPS Vehicle Class Mapping'!AB47</f>
        <v>0.08</v>
      </c>
      <c r="AC2" s="12">
        <f>'EPS Vehicle Class Mapping'!AC47</f>
        <v>0.08</v>
      </c>
      <c r="AD2" s="12">
        <f>'EPS Vehicle Class Mapping'!AD47</f>
        <v>0.08</v>
      </c>
      <c r="AE2" s="12">
        <f>'EPS Vehicle Class Mapping'!AE47</f>
        <v>0.08</v>
      </c>
      <c r="AF2" s="12">
        <f>'EPS Vehicle Class Mapping'!AF47</f>
        <v>0.08</v>
      </c>
    </row>
    <row r="3" spans="1:32" x14ac:dyDescent="0.25">
      <c r="A3" s="1" t="s">
        <v>121</v>
      </c>
      <c r="B3" s="43">
        <f>'EPS Vehicle Class Mapping'!B48</f>
        <v>0</v>
      </c>
      <c r="C3" s="12">
        <f>'EPS Vehicle Class Mapping'!C48</f>
        <v>0</v>
      </c>
      <c r="D3" s="12">
        <f>'EPS Vehicle Class Mapping'!D48</f>
        <v>0</v>
      </c>
      <c r="E3" s="12">
        <f>'EPS Vehicle Class Mapping'!E48</f>
        <v>0</v>
      </c>
      <c r="F3" s="12">
        <f>'EPS Vehicle Class Mapping'!F48</f>
        <v>0.08</v>
      </c>
      <c r="G3" s="12">
        <f>'EPS Vehicle Class Mapping'!G48</f>
        <v>0.08</v>
      </c>
      <c r="H3" s="12">
        <f>'EPS Vehicle Class Mapping'!H48</f>
        <v>0.35</v>
      </c>
      <c r="I3" s="12">
        <f>'EPS Vehicle Class Mapping'!I48</f>
        <v>0.43</v>
      </c>
      <c r="J3" s="12">
        <f>'EPS Vehicle Class Mapping'!J48</f>
        <v>0.51</v>
      </c>
      <c r="K3" s="12">
        <f>'EPS Vehicle Class Mapping'!K48</f>
        <v>0.59</v>
      </c>
      <c r="L3" s="12">
        <f>'EPS Vehicle Class Mapping'!L48</f>
        <v>0.68</v>
      </c>
      <c r="M3" s="12">
        <f>'EPS Vehicle Class Mapping'!M48</f>
        <v>0.76</v>
      </c>
      <c r="N3" s="12">
        <f>'EPS Vehicle Class Mapping'!N48</f>
        <v>0.82</v>
      </c>
      <c r="O3" s="12">
        <f>'EPS Vehicle Class Mapping'!O48</f>
        <v>0.88</v>
      </c>
      <c r="P3" s="12">
        <f>'EPS Vehicle Class Mapping'!P48</f>
        <v>0.94</v>
      </c>
      <c r="Q3" s="12">
        <f>'EPS Vehicle Class Mapping'!Q48</f>
        <v>1</v>
      </c>
      <c r="R3" s="12">
        <f>'EPS Vehicle Class Mapping'!R48</f>
        <v>1</v>
      </c>
      <c r="S3" s="12">
        <f>'EPS Vehicle Class Mapping'!S48</f>
        <v>1</v>
      </c>
      <c r="T3" s="12">
        <f>'EPS Vehicle Class Mapping'!T48</f>
        <v>1</v>
      </c>
      <c r="U3" s="12">
        <f>'EPS Vehicle Class Mapping'!U48</f>
        <v>1</v>
      </c>
      <c r="V3" s="12">
        <f>'EPS Vehicle Class Mapping'!V48</f>
        <v>1</v>
      </c>
      <c r="W3" s="12">
        <f>'EPS Vehicle Class Mapping'!W48</f>
        <v>1</v>
      </c>
      <c r="X3" s="12">
        <f>'EPS Vehicle Class Mapping'!X48</f>
        <v>1</v>
      </c>
      <c r="Y3" s="12">
        <f>'EPS Vehicle Class Mapping'!Y48</f>
        <v>1</v>
      </c>
      <c r="Z3" s="12">
        <f>'EPS Vehicle Class Mapping'!Z48</f>
        <v>1</v>
      </c>
      <c r="AA3" s="12">
        <f>'EPS Vehicle Class Mapping'!AA48</f>
        <v>1</v>
      </c>
      <c r="AB3" s="12">
        <f>'EPS Vehicle Class Mapping'!AB48</f>
        <v>1</v>
      </c>
      <c r="AC3" s="12">
        <f>'EPS Vehicle Class Mapping'!AC48</f>
        <v>1</v>
      </c>
      <c r="AD3" s="12">
        <f>'EPS Vehicle Class Mapping'!AD48</f>
        <v>1</v>
      </c>
      <c r="AE3" s="12">
        <f>'EPS Vehicle Class Mapping'!AE48</f>
        <v>1</v>
      </c>
      <c r="AF3" s="12">
        <f>'EPS Vehicle Class Mapping'!AF48</f>
        <v>1</v>
      </c>
    </row>
    <row r="4" spans="1:32" x14ac:dyDescent="0.25">
      <c r="A4" s="48" t="s">
        <v>157</v>
      </c>
      <c r="B4" s="43">
        <f>B3</f>
        <v>0</v>
      </c>
      <c r="C4" s="12">
        <f t="shared" ref="C4:N4" si="0">C3</f>
        <v>0</v>
      </c>
      <c r="D4" s="12">
        <f t="shared" si="0"/>
        <v>0</v>
      </c>
      <c r="E4" s="12">
        <f t="shared" si="0"/>
        <v>0</v>
      </c>
      <c r="F4" s="12">
        <f t="shared" si="0"/>
        <v>0.08</v>
      </c>
      <c r="G4" s="12">
        <f t="shared" si="0"/>
        <v>0.08</v>
      </c>
      <c r="H4" s="12">
        <f t="shared" si="0"/>
        <v>0.35</v>
      </c>
      <c r="I4" s="12">
        <f t="shared" si="0"/>
        <v>0.43</v>
      </c>
      <c r="J4" s="12">
        <f t="shared" si="0"/>
        <v>0.51</v>
      </c>
      <c r="K4" s="12">
        <f t="shared" si="0"/>
        <v>0.59</v>
      </c>
      <c r="L4" s="12">
        <f t="shared" si="0"/>
        <v>0.68</v>
      </c>
      <c r="M4" s="12">
        <f t="shared" si="0"/>
        <v>0.76</v>
      </c>
      <c r="N4" s="12">
        <f t="shared" si="0"/>
        <v>0.82</v>
      </c>
      <c r="O4" s="12">
        <f>$N$4</f>
        <v>0.82</v>
      </c>
      <c r="P4" s="12">
        <f t="shared" ref="P4:AF4" si="1">$N$4</f>
        <v>0.82</v>
      </c>
      <c r="Q4" s="12">
        <f t="shared" si="1"/>
        <v>0.82</v>
      </c>
      <c r="R4" s="12">
        <f t="shared" si="1"/>
        <v>0.82</v>
      </c>
      <c r="S4" s="12">
        <f t="shared" si="1"/>
        <v>0.82</v>
      </c>
      <c r="T4" s="12">
        <f t="shared" si="1"/>
        <v>0.82</v>
      </c>
      <c r="U4" s="12">
        <f t="shared" si="1"/>
        <v>0.82</v>
      </c>
      <c r="V4" s="12">
        <f t="shared" si="1"/>
        <v>0.82</v>
      </c>
      <c r="W4" s="12">
        <f t="shared" si="1"/>
        <v>0.82</v>
      </c>
      <c r="X4" s="12">
        <f t="shared" si="1"/>
        <v>0.82</v>
      </c>
      <c r="Y4" s="12">
        <f t="shared" si="1"/>
        <v>0.82</v>
      </c>
      <c r="Z4" s="12">
        <f t="shared" si="1"/>
        <v>0.82</v>
      </c>
      <c r="AA4" s="12">
        <f t="shared" si="1"/>
        <v>0.82</v>
      </c>
      <c r="AB4" s="12">
        <f t="shared" si="1"/>
        <v>0.82</v>
      </c>
      <c r="AC4" s="12">
        <f t="shared" si="1"/>
        <v>0.82</v>
      </c>
      <c r="AD4" s="12">
        <f t="shared" si="1"/>
        <v>0.82</v>
      </c>
      <c r="AE4" s="12">
        <f t="shared" si="1"/>
        <v>0.82</v>
      </c>
      <c r="AF4" s="12">
        <f t="shared" si="1"/>
        <v>0.82</v>
      </c>
    </row>
    <row r="5" spans="1:32" x14ac:dyDescent="0.25">
      <c r="A5" s="1" t="s">
        <v>77</v>
      </c>
      <c r="B5" s="43">
        <f>'EPS Vehicle Class Mapping'!B49</f>
        <v>0</v>
      </c>
      <c r="C5" s="12">
        <f>'EPS Vehicle Class Mapping'!C49</f>
        <v>0</v>
      </c>
      <c r="D5" s="12">
        <f>'EPS Vehicle Class Mapping'!D49</f>
        <v>0</v>
      </c>
      <c r="E5" s="12">
        <f>'EPS Vehicle Class Mapping'!E49</f>
        <v>0</v>
      </c>
      <c r="F5" s="12">
        <f>'EPS Vehicle Class Mapping'!F49</f>
        <v>3.9118535662182166E-2</v>
      </c>
      <c r="G5" s="12">
        <f>'EPS Vehicle Class Mapping'!G49</f>
        <v>4.7811543587111538E-2</v>
      </c>
      <c r="H5" s="12">
        <f>'EPS Vehicle Class Mapping'!H49</f>
        <v>5.6504551512040903E-2</v>
      </c>
      <c r="I5" s="12">
        <f>'EPS Vehicle Class Mapping'!I49</f>
        <v>8.6930079249293704E-2</v>
      </c>
      <c r="J5" s="12">
        <f>'EPS Vehicle Class Mapping'!J49</f>
        <v>0.13039511887394054</v>
      </c>
      <c r="K5" s="12">
        <f>'EPS Vehicle Class Mapping'!K49</f>
        <v>0.17386015849858741</v>
      </c>
      <c r="L5" s="12">
        <f>'EPS Vehicle Class Mapping'!L49</f>
        <v>0.21732519812323425</v>
      </c>
      <c r="M5" s="12">
        <f>'EPS Vehicle Class Mapping'!M49</f>
        <v>0.23905771793555769</v>
      </c>
      <c r="N5" s="12">
        <f>'EPS Vehicle Class Mapping'!N49</f>
        <v>0.26079023774788107</v>
      </c>
      <c r="O5" s="12">
        <f>'EPS Vehicle Class Mapping'!O49</f>
        <v>0.28252275756020451</v>
      </c>
      <c r="P5" s="12">
        <f>'EPS Vehicle Class Mapping'!P49</f>
        <v>0.30425527737252789</v>
      </c>
      <c r="Q5" s="12">
        <f>'EPS Vehicle Class Mapping'!Q49</f>
        <v>0.32598779718485138</v>
      </c>
      <c r="R5" s="12">
        <f>'EPS Vehicle Class Mapping'!R49</f>
        <v>0.32598779718485138</v>
      </c>
      <c r="S5" s="12">
        <f>'EPS Vehicle Class Mapping'!S49</f>
        <v>0.32598779718485138</v>
      </c>
      <c r="T5" s="12">
        <f>'EPS Vehicle Class Mapping'!T49</f>
        <v>0.32598779718485138</v>
      </c>
      <c r="U5" s="12">
        <f>'EPS Vehicle Class Mapping'!U49</f>
        <v>0.32598779718485138</v>
      </c>
      <c r="V5" s="12">
        <f>'EPS Vehicle Class Mapping'!V49</f>
        <v>0.32598779718485138</v>
      </c>
      <c r="W5" s="12">
        <f>'EPS Vehicle Class Mapping'!W49</f>
        <v>0.32598779718485138</v>
      </c>
      <c r="X5" s="12">
        <f>'EPS Vehicle Class Mapping'!X49</f>
        <v>0.32598779718485138</v>
      </c>
      <c r="Y5" s="12">
        <f>'EPS Vehicle Class Mapping'!Y49</f>
        <v>0.32598779718485138</v>
      </c>
      <c r="Z5" s="12">
        <f>'EPS Vehicle Class Mapping'!Z49</f>
        <v>0.32598779718485138</v>
      </c>
      <c r="AA5" s="12">
        <f>'EPS Vehicle Class Mapping'!AA49</f>
        <v>0.32598779718485138</v>
      </c>
      <c r="AB5" s="12">
        <f>'EPS Vehicle Class Mapping'!AB49</f>
        <v>0.32598779718485138</v>
      </c>
      <c r="AC5" s="12">
        <f>'EPS Vehicle Class Mapping'!AC49</f>
        <v>0.32598779718485138</v>
      </c>
      <c r="AD5" s="12">
        <f>'EPS Vehicle Class Mapping'!AD49</f>
        <v>0.32598779718485138</v>
      </c>
      <c r="AE5" s="12">
        <f>'EPS Vehicle Class Mapping'!AE49</f>
        <v>0.32598779718485138</v>
      </c>
      <c r="AF5" s="12">
        <f>'EPS Vehicle Class Mapping'!AF49</f>
        <v>0.32598779718485138</v>
      </c>
    </row>
    <row r="6" spans="1:32" x14ac:dyDescent="0.25">
      <c r="A6" s="1" t="s">
        <v>78</v>
      </c>
      <c r="B6" s="43">
        <f>'EPS Vehicle Class Mapping'!B50</f>
        <v>0</v>
      </c>
      <c r="C6" s="12">
        <f>'EPS Vehicle Class Mapping'!C50</f>
        <v>0</v>
      </c>
      <c r="D6" s="12">
        <f>'EPS Vehicle Class Mapping'!D50</f>
        <v>0</v>
      </c>
      <c r="E6" s="12">
        <f>'EPS Vehicle Class Mapping'!E50</f>
        <v>0</v>
      </c>
      <c r="F6" s="12">
        <f>'EPS Vehicle Class Mapping'!F50</f>
        <v>0</v>
      </c>
      <c r="G6" s="12">
        <f>'EPS Vehicle Class Mapping'!G50</f>
        <v>0</v>
      </c>
      <c r="H6" s="12">
        <f>'EPS Vehicle Class Mapping'!H50</f>
        <v>0</v>
      </c>
      <c r="I6" s="12">
        <f>'EPS Vehicle Class Mapping'!I50</f>
        <v>0</v>
      </c>
      <c r="J6" s="12">
        <f>'EPS Vehicle Class Mapping'!J50</f>
        <v>0</v>
      </c>
      <c r="K6" s="12">
        <f>'EPS Vehicle Class Mapping'!K50</f>
        <v>0</v>
      </c>
      <c r="L6" s="12">
        <f>'EPS Vehicle Class Mapping'!L50</f>
        <v>0</v>
      </c>
      <c r="M6" s="12">
        <f>'EPS Vehicle Class Mapping'!M50</f>
        <v>0</v>
      </c>
      <c r="N6" s="12">
        <f>'EPS Vehicle Class Mapping'!N50</f>
        <v>0</v>
      </c>
      <c r="O6" s="12">
        <f>'EPS Vehicle Class Mapping'!O50</f>
        <v>0</v>
      </c>
      <c r="P6" s="12">
        <f>'EPS Vehicle Class Mapping'!P50</f>
        <v>0</v>
      </c>
      <c r="Q6" s="12">
        <f>'EPS Vehicle Class Mapping'!Q50</f>
        <v>0</v>
      </c>
      <c r="R6" s="12">
        <f>'EPS Vehicle Class Mapping'!R50</f>
        <v>0</v>
      </c>
      <c r="S6" s="12">
        <f>'EPS Vehicle Class Mapping'!S50</f>
        <v>0</v>
      </c>
      <c r="T6" s="12">
        <f>'EPS Vehicle Class Mapping'!T50</f>
        <v>0</v>
      </c>
      <c r="U6" s="12">
        <f>'EPS Vehicle Class Mapping'!U50</f>
        <v>0</v>
      </c>
      <c r="V6" s="12">
        <f>'EPS Vehicle Class Mapping'!V50</f>
        <v>0</v>
      </c>
      <c r="W6" s="12">
        <f>'EPS Vehicle Class Mapping'!W50</f>
        <v>0</v>
      </c>
      <c r="X6" s="12">
        <f>'EPS Vehicle Class Mapping'!X50</f>
        <v>0</v>
      </c>
      <c r="Y6" s="12">
        <f>'EPS Vehicle Class Mapping'!Y50</f>
        <v>0</v>
      </c>
      <c r="Z6" s="12">
        <f>'EPS Vehicle Class Mapping'!Z50</f>
        <v>0</v>
      </c>
      <c r="AA6" s="12">
        <f>'EPS Vehicle Class Mapping'!AA50</f>
        <v>0</v>
      </c>
      <c r="AB6" s="12">
        <f>'EPS Vehicle Class Mapping'!AB50</f>
        <v>0</v>
      </c>
      <c r="AC6" s="12">
        <f>'EPS Vehicle Class Mapping'!AC50</f>
        <v>0</v>
      </c>
      <c r="AD6" s="12">
        <f>'EPS Vehicle Class Mapping'!AD50</f>
        <v>0</v>
      </c>
      <c r="AE6" s="12">
        <f>'EPS Vehicle Class Mapping'!AE50</f>
        <v>0</v>
      </c>
      <c r="AF6" s="12">
        <f>'EPS Vehicle Class Mapping'!AF50</f>
        <v>0</v>
      </c>
    </row>
    <row r="7" spans="1:32" x14ac:dyDescent="0.25">
      <c r="A7" s="1" t="s">
        <v>79</v>
      </c>
      <c r="B7" s="43">
        <f>'EPS Vehicle Class Mapping'!B51</f>
        <v>0</v>
      </c>
      <c r="C7" s="12">
        <f>'EPS Vehicle Class Mapping'!C51</f>
        <v>0</v>
      </c>
      <c r="D7" s="12">
        <f>'EPS Vehicle Class Mapping'!D51</f>
        <v>0</v>
      </c>
      <c r="E7" s="12">
        <f>'EPS Vehicle Class Mapping'!E51</f>
        <v>0</v>
      </c>
      <c r="F7" s="12">
        <f>'EPS Vehicle Class Mapping'!F51</f>
        <v>6.0092351423574233E-2</v>
      </c>
      <c r="G7" s="12">
        <f>'EPS Vehicle Class Mapping'!G51</f>
        <v>8.007170495487044E-2</v>
      </c>
      <c r="H7" s="12">
        <f>'EPS Vehicle Class Mapping'!H51</f>
        <v>0.10754675715462489</v>
      </c>
      <c r="I7" s="12">
        <f>'EPS Vehicle Class Mapping'!I51</f>
        <v>0.16256127688111058</v>
      </c>
      <c r="J7" s="12">
        <f>'EPS Vehicle Class Mapping'!J51</f>
        <v>0.22511403505922528</v>
      </c>
      <c r="K7" s="12">
        <f>'EPS Vehicle Class Mapping'!K51</f>
        <v>0.28764855512481957</v>
      </c>
      <c r="L7" s="12">
        <f>'EPS Vehicle Class Mapping'!L51</f>
        <v>0.35012393285022902</v>
      </c>
      <c r="M7" s="12">
        <f>'EPS Vehicle Class Mapping'!M51</f>
        <v>0.40009157982742549</v>
      </c>
      <c r="N7" s="12">
        <f>'EPS Vehicle Class Mapping'!N51</f>
        <v>0.4501677577150176</v>
      </c>
      <c r="O7" s="12">
        <f>'EPS Vehicle Class Mapping'!O51</f>
        <v>0.5001508451310549</v>
      </c>
      <c r="P7" s="12">
        <f>'EPS Vehicle Class Mapping'!P51</f>
        <v>0.5501338837991816</v>
      </c>
      <c r="Q7" s="12">
        <f>'EPS Vehicle Class Mapping'!Q51</f>
        <v>0.60014491697173544</v>
      </c>
      <c r="R7" s="12">
        <f>'EPS Vehicle Class Mapping'!R51</f>
        <v>0.60012059658240735</v>
      </c>
      <c r="S7" s="12">
        <f>'EPS Vehicle Class Mapping'!S51</f>
        <v>0.600161934202605</v>
      </c>
      <c r="T7" s="12">
        <f>'EPS Vehicle Class Mapping'!T51</f>
        <v>0.60016393701902881</v>
      </c>
      <c r="U7" s="12">
        <f>'EPS Vehicle Class Mapping'!U51</f>
        <v>0.60017920871502439</v>
      </c>
      <c r="V7" s="12">
        <f>'EPS Vehicle Class Mapping'!V51</f>
        <v>0.60021168530300795</v>
      </c>
      <c r="W7" s="12">
        <f>'EPS Vehicle Class Mapping'!W51</f>
        <v>0.60021917370958355</v>
      </c>
      <c r="X7" s="12">
        <f>'EPS Vehicle Class Mapping'!X51</f>
        <v>0.60022013941623975</v>
      </c>
      <c r="Y7" s="12">
        <f>'EPS Vehicle Class Mapping'!Y51</f>
        <v>0.60024997430440052</v>
      </c>
      <c r="Z7" s="12">
        <f>'EPS Vehicle Class Mapping'!Z51</f>
        <v>0.6002767858670699</v>
      </c>
      <c r="AA7" s="12">
        <f>'EPS Vehicle Class Mapping'!AA51</f>
        <v>0.60025331577567864</v>
      </c>
      <c r="AB7" s="12">
        <f>'EPS Vehicle Class Mapping'!AB51</f>
        <v>0.60021121415169432</v>
      </c>
      <c r="AC7" s="12">
        <f>'EPS Vehicle Class Mapping'!AC51</f>
        <v>0.60014973485583689</v>
      </c>
      <c r="AD7" s="12">
        <f>'EPS Vehicle Class Mapping'!AD51</f>
        <v>0.60006877964945415</v>
      </c>
      <c r="AE7" s="12">
        <f>'EPS Vehicle Class Mapping'!AE51</f>
        <v>0.60001224832570577</v>
      </c>
      <c r="AF7" s="12">
        <f>'EPS Vehicle Class Mapping'!AF51</f>
        <v>0.5999947196049078</v>
      </c>
    </row>
    <row r="8" spans="1:32" x14ac:dyDescent="0.25">
      <c r="A8" s="1" t="s">
        <v>80</v>
      </c>
      <c r="B8" s="43">
        <f>'EPS Vehicle Class Mapping'!B52</f>
        <v>0</v>
      </c>
      <c r="C8" s="12">
        <f>'EPS Vehicle Class Mapping'!C52</f>
        <v>0</v>
      </c>
      <c r="D8" s="12">
        <f>'EPS Vehicle Class Mapping'!D52</f>
        <v>0</v>
      </c>
      <c r="E8" s="12">
        <f>'EPS Vehicle Class Mapping'!E52</f>
        <v>0</v>
      </c>
      <c r="F8" s="12">
        <f>'EPS Vehicle Class Mapping'!F52</f>
        <v>5.0324585389953345E-2</v>
      </c>
      <c r="G8" s="12">
        <f>'EPS Vehicle Class Mapping'!G52</f>
        <v>7.0320874013171178E-2</v>
      </c>
      <c r="H8" s="12">
        <f>'EPS Vehicle Class Mapping'!H52</f>
        <v>0.10023841199827981</v>
      </c>
      <c r="I8" s="12">
        <f>'EPS Vehicle Class Mapping'!I52</f>
        <v>0.15039415219720934</v>
      </c>
      <c r="J8" s="12">
        <f>'EPS Vehicle Class Mapping'!J52</f>
        <v>0.20078269763173362</v>
      </c>
      <c r="K8" s="12">
        <f>'EPS Vehicle Class Mapping'!K52</f>
        <v>0.25116640642453203</v>
      </c>
      <c r="L8" s="12">
        <f>'EPS Vehicle Class Mapping'!L52</f>
        <v>0.30154673662148429</v>
      </c>
      <c r="M8" s="12">
        <f>'EPS Vehicle Class Mapping'!M52</f>
        <v>0.35154017073763533</v>
      </c>
      <c r="N8" s="12">
        <f>'EPS Vehicle Class Mapping'!N52</f>
        <v>0.40153478185130786</v>
      </c>
      <c r="O8" s="12">
        <f>'EPS Vehicle Class Mapping'!O52</f>
        <v>0.40191215883585885</v>
      </c>
      <c r="P8" s="12">
        <f>'EPS Vehicle Class Mapping'!P52</f>
        <v>0.40228783363087045</v>
      </c>
      <c r="Q8" s="12">
        <f>'EPS Vehicle Class Mapping'!Q52</f>
        <v>0.40266255578760335</v>
      </c>
      <c r="R8" s="12">
        <f>'EPS Vehicle Class Mapping'!R52</f>
        <v>0.40265708999618932</v>
      </c>
      <c r="S8" s="12">
        <f>'EPS Vehicle Class Mapping'!S52</f>
        <v>0.40265231563660031</v>
      </c>
      <c r="T8" s="12">
        <f>'EPS Vehicle Class Mapping'!T52</f>
        <v>0.40264788033224125</v>
      </c>
      <c r="U8" s="12">
        <f>'EPS Vehicle Class Mapping'!U52</f>
        <v>0.40264231400382128</v>
      </c>
      <c r="V8" s="12">
        <f>'EPS Vehicle Class Mapping'!V52</f>
        <v>0.40263675353806344</v>
      </c>
      <c r="W8" s="12">
        <f>'EPS Vehicle Class Mapping'!W52</f>
        <v>0.40263074466734672</v>
      </c>
      <c r="X8" s="12">
        <f>'EPS Vehicle Class Mapping'!X52</f>
        <v>0.40262607887975699</v>
      </c>
      <c r="Y8" s="12">
        <f>'EPS Vehicle Class Mapping'!Y52</f>
        <v>0.40262195913313187</v>
      </c>
      <c r="Z8" s="12">
        <f>'EPS Vehicle Class Mapping'!Z52</f>
        <v>0.40261845654978912</v>
      </c>
      <c r="AA8" s="12">
        <f>'EPS Vehicle Class Mapping'!AA52</f>
        <v>0.40261567998612185</v>
      </c>
      <c r="AB8" s="12">
        <f>'EPS Vehicle Class Mapping'!AB52</f>
        <v>0.40261281993963333</v>
      </c>
      <c r="AC8" s="12">
        <f>'EPS Vehicle Class Mapping'!AC52</f>
        <v>0.40260981140882179</v>
      </c>
      <c r="AD8" s="12">
        <f>'EPS Vehicle Class Mapping'!AD52</f>
        <v>0.4026073792992011</v>
      </c>
      <c r="AE8" s="12">
        <f>'EPS Vehicle Class Mapping'!AE52</f>
        <v>0.40260521056812626</v>
      </c>
      <c r="AF8" s="12">
        <f>'EPS Vehicle Class Mapping'!AF52</f>
        <v>0.40260342485445444</v>
      </c>
    </row>
    <row r="9" spans="1:32" x14ac:dyDescent="0.25">
      <c r="A9" s="1" t="s">
        <v>81</v>
      </c>
      <c r="B9" s="43">
        <f>'EPS Vehicle Class Mapping'!B53</f>
        <v>0</v>
      </c>
      <c r="C9" s="12">
        <f>'EPS Vehicle Class Mapping'!C53</f>
        <v>0</v>
      </c>
      <c r="D9" s="12">
        <f>'EPS Vehicle Class Mapping'!D53</f>
        <v>0</v>
      </c>
      <c r="E9" s="12">
        <f>'EPS Vehicle Class Mapping'!E53</f>
        <v>0</v>
      </c>
      <c r="F9" s="12">
        <f>'EPS Vehicle Class Mapping'!F53</f>
        <v>0</v>
      </c>
      <c r="G9" s="12">
        <f>'EPS Vehicle Class Mapping'!G53</f>
        <v>0</v>
      </c>
      <c r="H9" s="12">
        <f>'EPS Vehicle Class Mapping'!H53</f>
        <v>0</v>
      </c>
      <c r="I9" s="12">
        <f>'EPS Vehicle Class Mapping'!I53</f>
        <v>0</v>
      </c>
      <c r="J9" s="12">
        <f>'EPS Vehicle Class Mapping'!J53</f>
        <v>0</v>
      </c>
      <c r="K9" s="12">
        <f>'EPS Vehicle Class Mapping'!K53</f>
        <v>0</v>
      </c>
      <c r="L9" s="12">
        <f>'EPS Vehicle Class Mapping'!L53</f>
        <v>0</v>
      </c>
      <c r="M9" s="12">
        <f>'EPS Vehicle Class Mapping'!M53</f>
        <v>0</v>
      </c>
      <c r="N9" s="12">
        <f>'EPS Vehicle Class Mapping'!N53</f>
        <v>0</v>
      </c>
      <c r="O9" s="12">
        <f>'EPS Vehicle Class Mapping'!O53</f>
        <v>0</v>
      </c>
      <c r="P9" s="12">
        <f>'EPS Vehicle Class Mapping'!P53</f>
        <v>0</v>
      </c>
      <c r="Q9" s="12">
        <f>'EPS Vehicle Class Mapping'!Q53</f>
        <v>0</v>
      </c>
      <c r="R9" s="12">
        <f>'EPS Vehicle Class Mapping'!R53</f>
        <v>0</v>
      </c>
      <c r="S9" s="12">
        <f>'EPS Vehicle Class Mapping'!S53</f>
        <v>0</v>
      </c>
      <c r="T9" s="12">
        <f>'EPS Vehicle Class Mapping'!T53</f>
        <v>0</v>
      </c>
      <c r="U9" s="12">
        <f>'EPS Vehicle Class Mapping'!U53</f>
        <v>0</v>
      </c>
      <c r="V9" s="12">
        <f>'EPS Vehicle Class Mapping'!V53</f>
        <v>0</v>
      </c>
      <c r="W9" s="12">
        <f>'EPS Vehicle Class Mapping'!W53</f>
        <v>0</v>
      </c>
      <c r="X9" s="12">
        <f>'EPS Vehicle Class Mapping'!X53</f>
        <v>0</v>
      </c>
      <c r="Y9" s="12">
        <f>'EPS Vehicle Class Mapping'!Y53</f>
        <v>0</v>
      </c>
      <c r="Z9" s="12">
        <f>'EPS Vehicle Class Mapping'!Z53</f>
        <v>0</v>
      </c>
      <c r="AA9" s="12">
        <f>'EPS Vehicle Class Mapping'!AA53</f>
        <v>0</v>
      </c>
      <c r="AB9" s="12">
        <f>'EPS Vehicle Class Mapping'!AB53</f>
        <v>0</v>
      </c>
      <c r="AC9" s="12">
        <f>'EPS Vehicle Class Mapping'!AC53</f>
        <v>0</v>
      </c>
      <c r="AD9" s="12">
        <f>'EPS Vehicle Class Mapping'!AD53</f>
        <v>0</v>
      </c>
      <c r="AE9" s="12">
        <f>'EPS Vehicle Class Mapping'!AE53</f>
        <v>0</v>
      </c>
      <c r="AF9" s="12">
        <f>'EPS Vehicle Class Mapping'!AF53</f>
        <v>0</v>
      </c>
    </row>
    <row r="12" spans="1:32" ht="29.25" customHeight="1" x14ac:dyDescent="0.25">
      <c r="A12" s="39" t="s">
        <v>152</v>
      </c>
      <c r="B12" s="46" t="s">
        <v>215</v>
      </c>
      <c r="C12" s="46" t="s">
        <v>216</v>
      </c>
      <c r="D12" s="125" t="s">
        <v>122</v>
      </c>
      <c r="E12" s="126"/>
      <c r="F12" s="127"/>
      <c r="G12" s="122" t="s">
        <v>151</v>
      </c>
      <c r="H12" s="123"/>
      <c r="I12" s="124"/>
    </row>
    <row r="13" spans="1:32" x14ac:dyDescent="0.25">
      <c r="B13" s="45"/>
      <c r="C13" s="15"/>
      <c r="D13" s="44" t="s">
        <v>119</v>
      </c>
      <c r="E13" s="1" t="s">
        <v>120</v>
      </c>
      <c r="F13" s="38" t="s">
        <v>123</v>
      </c>
      <c r="G13" s="26" t="s">
        <v>153</v>
      </c>
      <c r="H13" s="1" t="s">
        <v>154</v>
      </c>
      <c r="I13" s="38" t="s">
        <v>150</v>
      </c>
      <c r="J13" s="1"/>
      <c r="K13" s="1"/>
    </row>
    <row r="14" spans="1:32" x14ac:dyDescent="0.25">
      <c r="A14" t="s">
        <v>2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3</v>
      </c>
      <c r="B15" s="45">
        <f t="shared" ref="B15:B73" si="2">IF(E15&gt;0,0,1)</f>
        <v>1</v>
      </c>
      <c r="C15" s="15">
        <f t="shared" ref="C15:C73" si="3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4</v>
      </c>
      <c r="B16" s="45">
        <f t="shared" si="2"/>
        <v>1</v>
      </c>
      <c r="C16" s="15">
        <f t="shared" si="3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5</v>
      </c>
      <c r="B17" s="45">
        <f t="shared" si="2"/>
        <v>1</v>
      </c>
      <c r="C17" s="15">
        <f t="shared" si="3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6</v>
      </c>
      <c r="B18" s="45">
        <f t="shared" si="2"/>
        <v>1</v>
      </c>
      <c r="C18" s="15" t="b">
        <f t="shared" si="3"/>
        <v>0</v>
      </c>
      <c r="D18" s="41">
        <v>1</v>
      </c>
      <c r="E18">
        <v>0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7</v>
      </c>
      <c r="B19" s="45">
        <f t="shared" si="2"/>
        <v>1</v>
      </c>
      <c r="C19" s="15" t="b">
        <f t="shared" si="3"/>
        <v>0</v>
      </c>
      <c r="D19" s="41">
        <v>1</v>
      </c>
      <c r="E19">
        <v>0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8</v>
      </c>
      <c r="B20" s="45">
        <f t="shared" si="2"/>
        <v>1</v>
      </c>
      <c r="C20" s="15">
        <f t="shared" si="3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9</v>
      </c>
      <c r="B21" s="45">
        <f t="shared" si="2"/>
        <v>1</v>
      </c>
      <c r="C21" s="15">
        <f t="shared" si="3"/>
        <v>1</v>
      </c>
      <c r="D21" s="41">
        <v>0</v>
      </c>
      <c r="E21">
        <v>0</v>
      </c>
      <c r="F21" s="16">
        <v>0</v>
      </c>
      <c r="G21" s="15"/>
      <c r="H21">
        <v>2026</v>
      </c>
      <c r="I21" s="16"/>
    </row>
    <row r="22" spans="1:9" x14ac:dyDescent="0.25">
      <c r="A22" t="s">
        <v>10</v>
      </c>
      <c r="B22" s="45">
        <f t="shared" si="2"/>
        <v>1</v>
      </c>
      <c r="C22" s="15">
        <f t="shared" si="3"/>
        <v>1</v>
      </c>
      <c r="D22" s="41">
        <v>0</v>
      </c>
      <c r="E22">
        <v>0</v>
      </c>
      <c r="F22" s="16">
        <v>0</v>
      </c>
      <c r="G22" s="15"/>
      <c r="H22">
        <v>2026</v>
      </c>
      <c r="I22" s="16"/>
    </row>
    <row r="23" spans="1:9" x14ac:dyDescent="0.25">
      <c r="A23" t="s">
        <v>11</v>
      </c>
      <c r="B23" s="45">
        <f t="shared" si="2"/>
        <v>1</v>
      </c>
      <c r="C23" s="15">
        <f t="shared" si="3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12</v>
      </c>
      <c r="B24" s="45">
        <f t="shared" si="2"/>
        <v>1</v>
      </c>
      <c r="C24" s="15">
        <f t="shared" si="3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13</v>
      </c>
      <c r="B25" s="45">
        <f t="shared" si="2"/>
        <v>1</v>
      </c>
      <c r="C25" s="15">
        <f t="shared" si="3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14</v>
      </c>
      <c r="B26" s="45">
        <f t="shared" si="2"/>
        <v>1</v>
      </c>
      <c r="C26" s="15">
        <f t="shared" si="3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15</v>
      </c>
      <c r="B27" s="45">
        <f t="shared" si="2"/>
        <v>1</v>
      </c>
      <c r="C27" s="15">
        <f t="shared" si="3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16</v>
      </c>
      <c r="B28" s="45">
        <f t="shared" si="2"/>
        <v>1</v>
      </c>
      <c r="C28" s="15">
        <f t="shared" si="3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17</v>
      </c>
      <c r="B29" s="45">
        <f t="shared" si="2"/>
        <v>1</v>
      </c>
      <c r="C29" s="15">
        <f t="shared" si="3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18</v>
      </c>
      <c r="B30" s="45">
        <f t="shared" si="2"/>
        <v>1</v>
      </c>
      <c r="C30" s="15">
        <f t="shared" si="3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19</v>
      </c>
      <c r="B31" s="45">
        <f t="shared" si="2"/>
        <v>1</v>
      </c>
      <c r="C31" s="15">
        <f t="shared" si="3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20</v>
      </c>
      <c r="B32" s="45">
        <f t="shared" si="2"/>
        <v>1</v>
      </c>
      <c r="C32" s="15">
        <f t="shared" si="3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21</v>
      </c>
      <c r="B33" s="45">
        <f t="shared" si="2"/>
        <v>1</v>
      </c>
      <c r="C33" s="15">
        <f t="shared" si="3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22</v>
      </c>
      <c r="B34" s="45">
        <f t="shared" si="2"/>
        <v>1</v>
      </c>
      <c r="C34" s="15" t="b">
        <f t="shared" si="3"/>
        <v>0</v>
      </c>
      <c r="D34" s="41">
        <v>1</v>
      </c>
      <c r="E34">
        <v>0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23</v>
      </c>
      <c r="B35" s="45">
        <f t="shared" si="2"/>
        <v>1</v>
      </c>
      <c r="C35" s="15" t="b">
        <f t="shared" si="3"/>
        <v>0</v>
      </c>
      <c r="D35" s="41">
        <v>1</v>
      </c>
      <c r="E35">
        <v>0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24</v>
      </c>
      <c r="B36" s="45">
        <f t="shared" si="2"/>
        <v>1</v>
      </c>
      <c r="C36" s="15">
        <f t="shared" si="3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25</v>
      </c>
      <c r="B37" s="45">
        <f t="shared" si="2"/>
        <v>1</v>
      </c>
      <c r="C37" s="15">
        <f t="shared" si="3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26</v>
      </c>
      <c r="B38" s="45">
        <f t="shared" si="2"/>
        <v>1</v>
      </c>
      <c r="C38" s="15">
        <f t="shared" si="3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27</v>
      </c>
      <c r="B39" s="45">
        <f t="shared" si="2"/>
        <v>1</v>
      </c>
      <c r="C39" s="15">
        <f t="shared" si="3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28</v>
      </c>
      <c r="B40" s="45">
        <f t="shared" si="2"/>
        <v>1</v>
      </c>
      <c r="C40" s="15">
        <f t="shared" si="3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29</v>
      </c>
      <c r="B41" s="45">
        <f t="shared" si="2"/>
        <v>1</v>
      </c>
      <c r="C41" s="15">
        <f t="shared" si="3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30</v>
      </c>
      <c r="B42" s="45">
        <f t="shared" si="2"/>
        <v>1</v>
      </c>
      <c r="C42" s="15">
        <f t="shared" si="3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31</v>
      </c>
      <c r="B43" s="45">
        <f t="shared" si="2"/>
        <v>1</v>
      </c>
      <c r="C43" s="15">
        <f t="shared" si="3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32</v>
      </c>
      <c r="B44" s="45">
        <f t="shared" si="2"/>
        <v>1</v>
      </c>
      <c r="C44" s="15" t="b">
        <f t="shared" si="3"/>
        <v>0</v>
      </c>
      <c r="D44" s="41">
        <v>1</v>
      </c>
      <c r="E44">
        <v>0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33</v>
      </c>
      <c r="B45" s="45">
        <f t="shared" si="2"/>
        <v>1</v>
      </c>
      <c r="C45" s="15" t="b">
        <f t="shared" si="3"/>
        <v>0</v>
      </c>
      <c r="D45" s="41">
        <v>1</v>
      </c>
      <c r="E45">
        <v>0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34</v>
      </c>
      <c r="B46" s="45">
        <f t="shared" si="2"/>
        <v>1</v>
      </c>
      <c r="C46" s="15" t="b">
        <f t="shared" si="3"/>
        <v>0</v>
      </c>
      <c r="D46" s="41">
        <v>1</v>
      </c>
      <c r="E46">
        <v>0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35</v>
      </c>
      <c r="B47" s="45">
        <f t="shared" si="2"/>
        <v>1</v>
      </c>
      <c r="C47" s="15">
        <f t="shared" si="3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36</v>
      </c>
      <c r="B48" s="45">
        <f t="shared" si="2"/>
        <v>1</v>
      </c>
      <c r="C48" s="15">
        <f t="shared" si="3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37</v>
      </c>
      <c r="B49" s="45">
        <f t="shared" si="2"/>
        <v>1</v>
      </c>
      <c r="C49" s="15">
        <f t="shared" si="3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38</v>
      </c>
      <c r="B50" s="45">
        <f t="shared" si="2"/>
        <v>1</v>
      </c>
      <c r="C50" s="15">
        <f t="shared" si="3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39</v>
      </c>
      <c r="B51" s="45">
        <f t="shared" si="2"/>
        <v>1</v>
      </c>
      <c r="C51" s="15" t="b">
        <f t="shared" si="3"/>
        <v>0</v>
      </c>
      <c r="D51" s="41">
        <v>1</v>
      </c>
      <c r="E51">
        <v>0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40</v>
      </c>
      <c r="B52" s="45">
        <f t="shared" si="2"/>
        <v>1</v>
      </c>
      <c r="C52" s="15">
        <f t="shared" si="3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41</v>
      </c>
      <c r="B53" s="45">
        <f t="shared" si="2"/>
        <v>1</v>
      </c>
      <c r="C53" s="15" t="b">
        <f t="shared" si="3"/>
        <v>0</v>
      </c>
      <c r="D53" s="41">
        <v>1</v>
      </c>
      <c r="E53">
        <v>0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42</v>
      </c>
      <c r="B54" s="45">
        <f t="shared" si="2"/>
        <v>1</v>
      </c>
      <c r="C54" s="15">
        <f t="shared" si="3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43</v>
      </c>
      <c r="B55" s="45">
        <f t="shared" si="2"/>
        <v>1</v>
      </c>
      <c r="C55" s="15">
        <f t="shared" si="3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44</v>
      </c>
      <c r="B56" s="45">
        <f t="shared" si="2"/>
        <v>1</v>
      </c>
      <c r="C56" s="15">
        <f t="shared" si="3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45</v>
      </c>
      <c r="B57" s="45">
        <f t="shared" si="2"/>
        <v>1</v>
      </c>
      <c r="C57" s="15">
        <f t="shared" si="3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46</v>
      </c>
      <c r="B58" s="45">
        <f t="shared" si="2"/>
        <v>1</v>
      </c>
      <c r="C58" s="15">
        <f t="shared" si="3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47</v>
      </c>
      <c r="B59" s="45">
        <f t="shared" si="2"/>
        <v>1</v>
      </c>
      <c r="C59" s="15" t="b">
        <f t="shared" si="3"/>
        <v>0</v>
      </c>
      <c r="D59" s="41">
        <v>1</v>
      </c>
      <c r="E59">
        <v>0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48</v>
      </c>
      <c r="B60" s="45">
        <f t="shared" si="2"/>
        <v>1</v>
      </c>
      <c r="C60" s="15">
        <f t="shared" si="3"/>
        <v>1</v>
      </c>
      <c r="D60" s="41">
        <v>1</v>
      </c>
      <c r="E60">
        <v>0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49</v>
      </c>
      <c r="B61" s="45">
        <f t="shared" si="2"/>
        <v>1</v>
      </c>
      <c r="C61" s="15" t="b">
        <f t="shared" si="3"/>
        <v>0</v>
      </c>
      <c r="D61" s="41">
        <v>1</v>
      </c>
      <c r="E61">
        <v>0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50</v>
      </c>
      <c r="B62" s="45">
        <f t="shared" si="2"/>
        <v>1</v>
      </c>
      <c r="C62" s="15">
        <f t="shared" si="3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51</v>
      </c>
      <c r="B63" s="45">
        <f t="shared" si="2"/>
        <v>1</v>
      </c>
      <c r="C63" s="15">
        <f t="shared" si="3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52</v>
      </c>
      <c r="B64" s="45">
        <f t="shared" si="2"/>
        <v>1</v>
      </c>
      <c r="C64" s="15">
        <f t="shared" si="3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53</v>
      </c>
      <c r="B65" s="45">
        <f t="shared" si="2"/>
        <v>1</v>
      </c>
      <c r="C65" s="15">
        <f t="shared" si="3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54</v>
      </c>
      <c r="B66" s="45">
        <f t="shared" si="2"/>
        <v>1</v>
      </c>
      <c r="C66" s="15">
        <f t="shared" si="3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55</v>
      </c>
      <c r="B67" s="45">
        <f t="shared" si="2"/>
        <v>1</v>
      </c>
      <c r="C67" s="15">
        <f t="shared" si="3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56</v>
      </c>
      <c r="B68" s="45">
        <f t="shared" si="2"/>
        <v>1</v>
      </c>
      <c r="C68" s="15">
        <f t="shared" si="3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57</v>
      </c>
      <c r="B69" s="45">
        <f t="shared" si="2"/>
        <v>1</v>
      </c>
      <c r="C69" s="15">
        <f t="shared" si="3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58</v>
      </c>
      <c r="B70" s="45">
        <f t="shared" si="2"/>
        <v>1</v>
      </c>
      <c r="C70" s="15">
        <f t="shared" si="3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59</v>
      </c>
      <c r="B71" s="45">
        <f t="shared" si="2"/>
        <v>1</v>
      </c>
      <c r="C71" s="15">
        <f t="shared" si="3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60</v>
      </c>
      <c r="B72" s="45">
        <f t="shared" si="2"/>
        <v>1</v>
      </c>
      <c r="C72" s="15">
        <f t="shared" si="3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61</v>
      </c>
      <c r="B73" s="45">
        <f t="shared" si="2"/>
        <v>1</v>
      </c>
      <c r="C73" s="15">
        <f t="shared" si="3"/>
        <v>1</v>
      </c>
      <c r="D73" s="42">
        <v>0</v>
      </c>
      <c r="E73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7"/>
      <c r="B1" s="74" t="s">
        <v>288</v>
      </c>
      <c r="C1" s="75">
        <v>2022</v>
      </c>
      <c r="D1" s="75">
        <v>2023</v>
      </c>
      <c r="E1" s="75">
        <v>2024</v>
      </c>
      <c r="F1" s="75">
        <v>2025</v>
      </c>
      <c r="G1" s="75">
        <v>2026</v>
      </c>
      <c r="H1" s="75">
        <v>2027</v>
      </c>
      <c r="I1" s="75">
        <v>2028</v>
      </c>
      <c r="J1" s="75">
        <v>2029</v>
      </c>
      <c r="K1" s="75">
        <v>2030</v>
      </c>
      <c r="L1" s="75">
        <v>2031</v>
      </c>
      <c r="M1" s="75">
        <v>2032</v>
      </c>
      <c r="N1" s="75">
        <v>2033</v>
      </c>
      <c r="O1" s="75">
        <v>2034</v>
      </c>
      <c r="P1" s="75">
        <v>2035</v>
      </c>
      <c r="Q1" s="75">
        <v>2036</v>
      </c>
      <c r="R1" s="75">
        <v>2037</v>
      </c>
      <c r="S1" s="75">
        <v>2038</v>
      </c>
      <c r="T1" s="75">
        <v>2039</v>
      </c>
      <c r="U1" s="75">
        <v>2040</v>
      </c>
      <c r="V1" s="75">
        <v>2041</v>
      </c>
      <c r="W1" s="75">
        <v>2042</v>
      </c>
      <c r="X1" s="75">
        <v>2043</v>
      </c>
      <c r="Y1" s="75">
        <v>2044</v>
      </c>
      <c r="Z1" s="75">
        <v>2045</v>
      </c>
      <c r="AA1" s="75">
        <v>2046</v>
      </c>
      <c r="AB1" s="75">
        <v>2047</v>
      </c>
      <c r="AC1" s="75">
        <v>2048</v>
      </c>
      <c r="AD1" s="75">
        <v>2049</v>
      </c>
      <c r="AE1" s="75">
        <v>2050</v>
      </c>
      <c r="AF1" s="97"/>
      <c r="AG1" s="97"/>
    </row>
    <row r="2" spans="1:33" ht="15.75" thickTop="1" x14ac:dyDescent="0.25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</row>
    <row r="3" spans="1:33" x14ac:dyDescent="0.25">
      <c r="A3" s="97"/>
      <c r="B3" s="97"/>
      <c r="C3" s="103" t="s">
        <v>289</v>
      </c>
      <c r="D3" s="103" t="s">
        <v>290</v>
      </c>
      <c r="E3" s="100"/>
      <c r="F3" s="100"/>
      <c r="G3" s="100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</row>
    <row r="4" spans="1:33" x14ac:dyDescent="0.25">
      <c r="A4" s="97"/>
      <c r="B4" s="97"/>
      <c r="C4" s="103" t="s">
        <v>291</v>
      </c>
      <c r="D4" s="103" t="s">
        <v>292</v>
      </c>
      <c r="E4" s="100"/>
      <c r="F4" s="100"/>
      <c r="G4" s="103" t="s">
        <v>293</v>
      </c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</row>
    <row r="5" spans="1:33" x14ac:dyDescent="0.25">
      <c r="A5" s="97"/>
      <c r="B5" s="97"/>
      <c r="C5" s="103" t="s">
        <v>294</v>
      </c>
      <c r="D5" s="103" t="s">
        <v>295</v>
      </c>
      <c r="E5" s="100"/>
      <c r="F5" s="100"/>
      <c r="G5" s="100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</row>
    <row r="6" spans="1:33" x14ac:dyDescent="0.25">
      <c r="A6" s="97"/>
      <c r="B6" s="97"/>
      <c r="C6" s="103" t="s">
        <v>296</v>
      </c>
      <c r="D6" s="100"/>
      <c r="E6" s="103" t="s">
        <v>297</v>
      </c>
      <c r="F6" s="100"/>
      <c r="G6" s="100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</row>
    <row r="7" spans="1:33" x14ac:dyDescent="0.25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</row>
    <row r="8" spans="1:33" x14ac:dyDescent="0.25">
      <c r="A8" s="97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</row>
    <row r="9" spans="1:33" x14ac:dyDescent="0.25">
      <c r="A9" s="97"/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</row>
    <row r="10" spans="1:33" ht="15.75" x14ac:dyDescent="0.25">
      <c r="A10" s="99" t="s">
        <v>573</v>
      </c>
      <c r="B10" s="79" t="s">
        <v>574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101" t="s">
        <v>572</v>
      </c>
      <c r="AG10" s="96"/>
    </row>
    <row r="11" spans="1:33" x14ac:dyDescent="0.25">
      <c r="A11" s="97"/>
      <c r="B11" s="82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101" t="s">
        <v>300</v>
      </c>
      <c r="AG11" s="96"/>
    </row>
    <row r="12" spans="1:33" x14ac:dyDescent="0.25">
      <c r="A12" s="97"/>
      <c r="B12" s="8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1" t="s">
        <v>301</v>
      </c>
      <c r="AG12" s="96"/>
    </row>
    <row r="13" spans="1:33" ht="61.5" thickBot="1" x14ac:dyDescent="0.3">
      <c r="A13" s="97"/>
      <c r="B13" s="84" t="s">
        <v>575</v>
      </c>
      <c r="C13" s="84">
        <v>2022</v>
      </c>
      <c r="D13" s="84">
        <v>2023</v>
      </c>
      <c r="E13" s="84">
        <v>2024</v>
      </c>
      <c r="F13" s="84">
        <v>2025</v>
      </c>
      <c r="G13" s="84">
        <v>2026</v>
      </c>
      <c r="H13" s="84">
        <v>2027</v>
      </c>
      <c r="I13" s="84">
        <v>2028</v>
      </c>
      <c r="J13" s="84">
        <v>2029</v>
      </c>
      <c r="K13" s="84">
        <v>2030</v>
      </c>
      <c r="L13" s="84">
        <v>2031</v>
      </c>
      <c r="M13" s="84">
        <v>2032</v>
      </c>
      <c r="N13" s="84">
        <v>2033</v>
      </c>
      <c r="O13" s="84">
        <v>2034</v>
      </c>
      <c r="P13" s="84">
        <v>2035</v>
      </c>
      <c r="Q13" s="84">
        <v>2036</v>
      </c>
      <c r="R13" s="84">
        <v>2037</v>
      </c>
      <c r="S13" s="84">
        <v>2038</v>
      </c>
      <c r="T13" s="84">
        <v>2039</v>
      </c>
      <c r="U13" s="84">
        <v>2040</v>
      </c>
      <c r="V13" s="84">
        <v>2041</v>
      </c>
      <c r="W13" s="84">
        <v>2042</v>
      </c>
      <c r="X13" s="84">
        <v>2043</v>
      </c>
      <c r="Y13" s="84">
        <v>2044</v>
      </c>
      <c r="Z13" s="84">
        <v>2045</v>
      </c>
      <c r="AA13" s="84">
        <v>2046</v>
      </c>
      <c r="AB13" s="84">
        <v>2047</v>
      </c>
      <c r="AC13" s="84">
        <v>2048</v>
      </c>
      <c r="AD13" s="84">
        <v>2049</v>
      </c>
      <c r="AE13" s="84">
        <v>2050</v>
      </c>
      <c r="AF13" s="85" t="s">
        <v>302</v>
      </c>
      <c r="AG13" s="96"/>
    </row>
    <row r="14" spans="1:33" ht="15.75" thickTop="1" x14ac:dyDescent="0.25">
      <c r="A14" s="97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ht="24.75" x14ac:dyDescent="0.25">
      <c r="A15" s="97"/>
      <c r="B15" s="86" t="s">
        <v>576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24.75" x14ac:dyDescent="0.25">
      <c r="A16" s="97"/>
      <c r="B16" s="86" t="s">
        <v>577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48.75" x14ac:dyDescent="0.25">
      <c r="A17" s="97"/>
      <c r="B17" s="86" t="s">
        <v>578</v>
      </c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</row>
    <row r="18" spans="1:33" ht="72.75" x14ac:dyDescent="0.25">
      <c r="A18" s="99" t="s">
        <v>579</v>
      </c>
      <c r="B18" s="87" t="s">
        <v>580</v>
      </c>
      <c r="C18" s="94">
        <v>2843.298096</v>
      </c>
      <c r="D18" s="94">
        <v>2901.3588869999999</v>
      </c>
      <c r="E18" s="94">
        <v>2922.5065920000002</v>
      </c>
      <c r="F18" s="94">
        <v>2933.360107</v>
      </c>
      <c r="G18" s="94">
        <v>2954.2380370000001</v>
      </c>
      <c r="H18" s="94">
        <v>2981.9343260000001</v>
      </c>
      <c r="I18" s="94">
        <v>3007.5581050000001</v>
      </c>
      <c r="J18" s="94">
        <v>3027.5729980000001</v>
      </c>
      <c r="K18" s="94">
        <v>3042.8432619999999</v>
      </c>
      <c r="L18" s="94">
        <v>3055.7746579999998</v>
      </c>
      <c r="M18" s="94">
        <v>3066.6516109999998</v>
      </c>
      <c r="N18" s="94">
        <v>3082.359375</v>
      </c>
      <c r="O18" s="94">
        <v>3102.4182129999999</v>
      </c>
      <c r="P18" s="94">
        <v>3120.7375489999999</v>
      </c>
      <c r="Q18" s="94">
        <v>3135.6208499999998</v>
      </c>
      <c r="R18" s="94">
        <v>3152.9177249999998</v>
      </c>
      <c r="S18" s="94">
        <v>3172.435547</v>
      </c>
      <c r="T18" s="94">
        <v>3192.100586</v>
      </c>
      <c r="U18" s="94">
        <v>3214.5629880000001</v>
      </c>
      <c r="V18" s="94">
        <v>3237.5805660000001</v>
      </c>
      <c r="W18" s="94">
        <v>3261.5847170000002</v>
      </c>
      <c r="X18" s="94">
        <v>3284.897461</v>
      </c>
      <c r="Y18" s="94">
        <v>3309.0390619999998</v>
      </c>
      <c r="Z18" s="94">
        <v>3334.7033689999998</v>
      </c>
      <c r="AA18" s="94">
        <v>3364.522461</v>
      </c>
      <c r="AB18" s="94">
        <v>3396.5351559999999</v>
      </c>
      <c r="AC18" s="94">
        <v>3429.5627439999998</v>
      </c>
      <c r="AD18" s="94">
        <v>3463.0249020000001</v>
      </c>
      <c r="AE18" s="94">
        <v>3499.5429690000001</v>
      </c>
      <c r="AF18" s="89">
        <v>7.4440000000000001E-3</v>
      </c>
      <c r="AG18" s="96"/>
    </row>
    <row r="19" spans="1:33" ht="48.75" x14ac:dyDescent="0.25">
      <c r="A19" s="99" t="s">
        <v>581</v>
      </c>
      <c r="B19" s="87" t="s">
        <v>582</v>
      </c>
      <c r="C19" s="94">
        <v>102.214951</v>
      </c>
      <c r="D19" s="94">
        <v>103.34345999999999</v>
      </c>
      <c r="E19" s="94">
        <v>103.55378</v>
      </c>
      <c r="F19" s="94">
        <v>104.36998699999999</v>
      </c>
      <c r="G19" s="94">
        <v>105.656265</v>
      </c>
      <c r="H19" s="94">
        <v>107.002548</v>
      </c>
      <c r="I19" s="94">
        <v>108.204063</v>
      </c>
      <c r="J19" s="94">
        <v>109.329842</v>
      </c>
      <c r="K19" s="94">
        <v>110.214569</v>
      </c>
      <c r="L19" s="94">
        <v>111.063705</v>
      </c>
      <c r="M19" s="94">
        <v>112.175911</v>
      </c>
      <c r="N19" s="94">
        <v>113.26731100000001</v>
      </c>
      <c r="O19" s="94">
        <v>114.361328</v>
      </c>
      <c r="P19" s="94">
        <v>115.539856</v>
      </c>
      <c r="Q19" s="94">
        <v>116.693398</v>
      </c>
      <c r="R19" s="94">
        <v>117.934776</v>
      </c>
      <c r="S19" s="94">
        <v>119.26325199999999</v>
      </c>
      <c r="T19" s="94">
        <v>120.517143</v>
      </c>
      <c r="U19" s="94">
        <v>121.965698</v>
      </c>
      <c r="V19" s="94">
        <v>123.543205</v>
      </c>
      <c r="W19" s="94">
        <v>125.055435</v>
      </c>
      <c r="X19" s="94">
        <v>126.490196</v>
      </c>
      <c r="Y19" s="94">
        <v>127.831902</v>
      </c>
      <c r="Z19" s="94">
        <v>129.14802599999999</v>
      </c>
      <c r="AA19" s="94">
        <v>130.647919</v>
      </c>
      <c r="AB19" s="94">
        <v>132.25534099999999</v>
      </c>
      <c r="AC19" s="94">
        <v>133.71923799999999</v>
      </c>
      <c r="AD19" s="94">
        <v>135.16911300000001</v>
      </c>
      <c r="AE19" s="94">
        <v>137.065033</v>
      </c>
      <c r="AF19" s="89">
        <v>1.0533000000000001E-2</v>
      </c>
      <c r="AG19" s="96"/>
    </row>
    <row r="20" spans="1:33" ht="72.75" x14ac:dyDescent="0.25">
      <c r="A20" s="99" t="s">
        <v>583</v>
      </c>
      <c r="B20" s="87" t="s">
        <v>584</v>
      </c>
      <c r="C20" s="94">
        <v>321.95498700000002</v>
      </c>
      <c r="D20" s="94">
        <v>320.72061200000002</v>
      </c>
      <c r="E20" s="94">
        <v>321.15664700000002</v>
      </c>
      <c r="F20" s="94">
        <v>324.03918499999997</v>
      </c>
      <c r="G20" s="94">
        <v>328.45147700000001</v>
      </c>
      <c r="H20" s="94">
        <v>332.319275</v>
      </c>
      <c r="I20" s="94">
        <v>335.87875400000001</v>
      </c>
      <c r="J20" s="94">
        <v>338.62100199999998</v>
      </c>
      <c r="K20" s="94">
        <v>341.15325899999999</v>
      </c>
      <c r="L20" s="94">
        <v>344.16229199999998</v>
      </c>
      <c r="M20" s="94">
        <v>348.16583300000002</v>
      </c>
      <c r="N20" s="94">
        <v>351.54122899999999</v>
      </c>
      <c r="O20" s="94">
        <v>354.83010899999999</v>
      </c>
      <c r="P20" s="94">
        <v>358.344696</v>
      </c>
      <c r="Q20" s="94">
        <v>361.39355499999999</v>
      </c>
      <c r="R20" s="94">
        <v>364.92678799999999</v>
      </c>
      <c r="S20" s="94">
        <v>368.38064600000001</v>
      </c>
      <c r="T20" s="94">
        <v>371.81143200000002</v>
      </c>
      <c r="U20" s="94">
        <v>375.58807400000001</v>
      </c>
      <c r="V20" s="94">
        <v>379.58752399999997</v>
      </c>
      <c r="W20" s="94">
        <v>383.51464800000002</v>
      </c>
      <c r="X20" s="94">
        <v>387.20883199999997</v>
      </c>
      <c r="Y20" s="94">
        <v>390.63339200000001</v>
      </c>
      <c r="Z20" s="94">
        <v>393.83795199999997</v>
      </c>
      <c r="AA20" s="94">
        <v>397.54263300000002</v>
      </c>
      <c r="AB20" s="94">
        <v>401.35467499999999</v>
      </c>
      <c r="AC20" s="94">
        <v>404.65982100000002</v>
      </c>
      <c r="AD20" s="94">
        <v>408.22445699999997</v>
      </c>
      <c r="AE20" s="94">
        <v>413.08251999999999</v>
      </c>
      <c r="AF20" s="89">
        <v>8.9409999999999993E-3</v>
      </c>
      <c r="AG20" s="96"/>
    </row>
    <row r="21" spans="1:33" ht="48.75" x14ac:dyDescent="0.25">
      <c r="A21" s="97"/>
      <c r="B21" s="86" t="s">
        <v>585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36.75" x14ac:dyDescent="0.25">
      <c r="A22" s="99" t="s">
        <v>586</v>
      </c>
      <c r="B22" s="87" t="s">
        <v>587</v>
      </c>
      <c r="C22" s="94">
        <v>175.473648</v>
      </c>
      <c r="D22" s="94">
        <v>186.883286</v>
      </c>
      <c r="E22" s="94">
        <v>193.369202</v>
      </c>
      <c r="F22" s="94">
        <v>197.39228800000001</v>
      </c>
      <c r="G22" s="94">
        <v>200.32751500000001</v>
      </c>
      <c r="H22" s="94">
        <v>202.52967799999999</v>
      </c>
      <c r="I22" s="94">
        <v>204.211411</v>
      </c>
      <c r="J22" s="94">
        <v>205.46838399999999</v>
      </c>
      <c r="K22" s="94">
        <v>206.39357000000001</v>
      </c>
      <c r="L22" s="94">
        <v>207.029404</v>
      </c>
      <c r="M22" s="94">
        <v>207.54084800000001</v>
      </c>
      <c r="N22" s="94">
        <v>207.99565100000001</v>
      </c>
      <c r="O22" s="94">
        <v>208.43975800000001</v>
      </c>
      <c r="P22" s="94">
        <v>208.79684399999999</v>
      </c>
      <c r="Q22" s="94">
        <v>209.10339400000001</v>
      </c>
      <c r="R22" s="94">
        <v>209.37013200000001</v>
      </c>
      <c r="S22" s="94">
        <v>209.49378999999999</v>
      </c>
      <c r="T22" s="94">
        <v>209.54415900000001</v>
      </c>
      <c r="U22" s="94">
        <v>209.54357899999999</v>
      </c>
      <c r="V22" s="94">
        <v>209.49118000000001</v>
      </c>
      <c r="W22" s="94">
        <v>209.41184999999999</v>
      </c>
      <c r="X22" s="94">
        <v>209.25843800000001</v>
      </c>
      <c r="Y22" s="94">
        <v>209.10913099999999</v>
      </c>
      <c r="Z22" s="94">
        <v>208.931015</v>
      </c>
      <c r="AA22" s="94">
        <v>208.81189000000001</v>
      </c>
      <c r="AB22" s="94">
        <v>208.60612499999999</v>
      </c>
      <c r="AC22" s="94">
        <v>208.41769400000001</v>
      </c>
      <c r="AD22" s="94">
        <v>208.192352</v>
      </c>
      <c r="AE22" s="94">
        <v>207.995926</v>
      </c>
      <c r="AF22" s="89">
        <v>6.0910000000000001E-3</v>
      </c>
      <c r="AG22" s="96"/>
    </row>
    <row r="23" spans="1:33" ht="36.75" x14ac:dyDescent="0.25">
      <c r="A23" s="99" t="s">
        <v>588</v>
      </c>
      <c r="B23" s="87" t="s">
        <v>589</v>
      </c>
      <c r="C23" s="94">
        <v>30.144946999999998</v>
      </c>
      <c r="D23" s="94">
        <v>32.030231000000001</v>
      </c>
      <c r="E23" s="94">
        <v>33.064109999999999</v>
      </c>
      <c r="F23" s="94">
        <v>33.706195999999998</v>
      </c>
      <c r="G23" s="94">
        <v>34.620327000000003</v>
      </c>
      <c r="H23" s="94">
        <v>35.443916000000002</v>
      </c>
      <c r="I23" s="94">
        <v>36.137473999999997</v>
      </c>
      <c r="J23" s="94">
        <v>36.650322000000003</v>
      </c>
      <c r="K23" s="94">
        <v>37.00806</v>
      </c>
      <c r="L23" s="94">
        <v>37.264552999999999</v>
      </c>
      <c r="M23" s="94">
        <v>37.633518000000002</v>
      </c>
      <c r="N23" s="94">
        <v>38.067889999999998</v>
      </c>
      <c r="O23" s="94">
        <v>38.564194000000001</v>
      </c>
      <c r="P23" s="94">
        <v>38.985652999999999</v>
      </c>
      <c r="Q23" s="94">
        <v>39.398944999999998</v>
      </c>
      <c r="R23" s="94">
        <v>39.809189000000003</v>
      </c>
      <c r="S23" s="94">
        <v>40.237045000000002</v>
      </c>
      <c r="T23" s="94">
        <v>40.652228999999998</v>
      </c>
      <c r="U23" s="94">
        <v>41.127974999999999</v>
      </c>
      <c r="V23" s="94">
        <v>41.567630999999999</v>
      </c>
      <c r="W23" s="94">
        <v>42.019573000000001</v>
      </c>
      <c r="X23" s="94">
        <v>42.407310000000003</v>
      </c>
      <c r="Y23" s="94">
        <v>42.842342000000002</v>
      </c>
      <c r="Z23" s="94">
        <v>43.266334999999998</v>
      </c>
      <c r="AA23" s="94">
        <v>43.867863</v>
      </c>
      <c r="AB23" s="94">
        <v>44.361511</v>
      </c>
      <c r="AC23" s="94">
        <v>44.905074999999997</v>
      </c>
      <c r="AD23" s="94">
        <v>45.395485000000001</v>
      </c>
      <c r="AE23" s="94">
        <v>46.002594000000002</v>
      </c>
      <c r="AF23" s="89">
        <v>1.521E-2</v>
      </c>
      <c r="AG23" s="96"/>
    </row>
    <row r="24" spans="1:33" ht="36.75" x14ac:dyDescent="0.25">
      <c r="A24" s="97"/>
      <c r="B24" s="86" t="s">
        <v>590</v>
      </c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</row>
    <row r="25" spans="1:33" x14ac:dyDescent="0.25">
      <c r="A25" s="99" t="s">
        <v>591</v>
      </c>
      <c r="B25" s="87" t="s">
        <v>592</v>
      </c>
      <c r="C25" s="94">
        <v>1173.034668</v>
      </c>
      <c r="D25" s="94">
        <v>1318.6945800000001</v>
      </c>
      <c r="E25" s="94">
        <v>1361.6110839999999</v>
      </c>
      <c r="F25" s="94">
        <v>1371.6551509999999</v>
      </c>
      <c r="G25" s="94">
        <v>1402.9279790000001</v>
      </c>
      <c r="H25" s="94">
        <v>1433.8398440000001</v>
      </c>
      <c r="I25" s="94">
        <v>1461.472168</v>
      </c>
      <c r="J25" s="94">
        <v>1484.8291019999999</v>
      </c>
      <c r="K25" s="94">
        <v>1504.2687989999999</v>
      </c>
      <c r="L25" s="94">
        <v>1524.7269289999999</v>
      </c>
      <c r="M25" s="94">
        <v>1552.256836</v>
      </c>
      <c r="N25" s="94">
        <v>1583.9248050000001</v>
      </c>
      <c r="O25" s="94">
        <v>1615.380249</v>
      </c>
      <c r="P25" s="94">
        <v>1647.3461910000001</v>
      </c>
      <c r="Q25" s="94">
        <v>1682.5896</v>
      </c>
      <c r="R25" s="94">
        <v>1721.046875</v>
      </c>
      <c r="S25" s="94">
        <v>1761.139038</v>
      </c>
      <c r="T25" s="94">
        <v>1801.9410399999999</v>
      </c>
      <c r="U25" s="94">
        <v>1848.0720209999999</v>
      </c>
      <c r="V25" s="94">
        <v>1894.2041019999999</v>
      </c>
      <c r="W25" s="94">
        <v>1941.463013</v>
      </c>
      <c r="X25" s="94">
        <v>1990.3642580000001</v>
      </c>
      <c r="Y25" s="94">
        <v>2038.4373780000001</v>
      </c>
      <c r="Z25" s="94">
        <v>2085.6875</v>
      </c>
      <c r="AA25" s="94">
        <v>2134.0048830000001</v>
      </c>
      <c r="AB25" s="94">
        <v>2185.8969729999999</v>
      </c>
      <c r="AC25" s="94">
        <v>2238.836182</v>
      </c>
      <c r="AD25" s="94">
        <v>2292.3554690000001</v>
      </c>
      <c r="AE25" s="94">
        <v>2350.2690429999998</v>
      </c>
      <c r="AF25" s="89">
        <v>2.513E-2</v>
      </c>
      <c r="AG25" s="96"/>
    </row>
    <row r="26" spans="1:33" ht="36.75" x14ac:dyDescent="0.25">
      <c r="A26" s="97"/>
      <c r="B26" s="86" t="s">
        <v>593</v>
      </c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</row>
    <row r="27" spans="1:33" x14ac:dyDescent="0.25">
      <c r="A27" s="99" t="s">
        <v>594</v>
      </c>
      <c r="B27" s="87" t="s">
        <v>595</v>
      </c>
      <c r="C27" s="94">
        <v>1620.4948730000001</v>
      </c>
      <c r="D27" s="94">
        <v>1600.1008300000001</v>
      </c>
      <c r="E27" s="94">
        <v>1666.9197999999999</v>
      </c>
      <c r="F27" s="94">
        <v>1628.408447</v>
      </c>
      <c r="G27" s="94">
        <v>1561.420654</v>
      </c>
      <c r="H27" s="94">
        <v>1509.649414</v>
      </c>
      <c r="I27" s="94">
        <v>1489.7312010000001</v>
      </c>
      <c r="J27" s="94">
        <v>1507.5151370000001</v>
      </c>
      <c r="K27" s="94">
        <v>1500.1649170000001</v>
      </c>
      <c r="L27" s="94">
        <v>1506.952393</v>
      </c>
      <c r="M27" s="94">
        <v>1522.1982419999999</v>
      </c>
      <c r="N27" s="94">
        <v>1534.73938</v>
      </c>
      <c r="O27" s="94">
        <v>1543.237427</v>
      </c>
      <c r="P27" s="94">
        <v>1554.590698</v>
      </c>
      <c r="Q27" s="94">
        <v>1557.5253909999999</v>
      </c>
      <c r="R27" s="94">
        <v>1562.481567</v>
      </c>
      <c r="S27" s="94">
        <v>1568.966064</v>
      </c>
      <c r="T27" s="94">
        <v>1568.3394780000001</v>
      </c>
      <c r="U27" s="94">
        <v>1571.777466</v>
      </c>
      <c r="V27" s="94">
        <v>1585.611206</v>
      </c>
      <c r="W27" s="94">
        <v>1597.3070070000001</v>
      </c>
      <c r="X27" s="94">
        <v>1600.190918</v>
      </c>
      <c r="Y27" s="94">
        <v>1601.832764</v>
      </c>
      <c r="Z27" s="94">
        <v>1602.998779</v>
      </c>
      <c r="AA27" s="94">
        <v>1608.1293949999999</v>
      </c>
      <c r="AB27" s="94">
        <v>1618.0823969999999</v>
      </c>
      <c r="AC27" s="94">
        <v>1630.8079829999999</v>
      </c>
      <c r="AD27" s="94">
        <v>1636.8905030000001</v>
      </c>
      <c r="AE27" s="94">
        <v>1649.469482</v>
      </c>
      <c r="AF27" s="89">
        <v>6.3299999999999999E-4</v>
      </c>
      <c r="AG27" s="96"/>
    </row>
    <row r="28" spans="1:33" ht="36.75" x14ac:dyDescent="0.25">
      <c r="A28" s="99" t="s">
        <v>596</v>
      </c>
      <c r="B28" s="87" t="s">
        <v>597</v>
      </c>
      <c r="C28" s="94">
        <v>444.898865</v>
      </c>
      <c r="D28" s="94">
        <v>450.42761200000001</v>
      </c>
      <c r="E28" s="94">
        <v>448.61004600000001</v>
      </c>
      <c r="F28" s="94">
        <v>446.74627700000002</v>
      </c>
      <c r="G28" s="94">
        <v>445.22772200000003</v>
      </c>
      <c r="H28" s="94">
        <v>442.84777800000001</v>
      </c>
      <c r="I28" s="94">
        <v>440.43005399999998</v>
      </c>
      <c r="J28" s="94">
        <v>437.02459700000003</v>
      </c>
      <c r="K28" s="94">
        <v>434.036407</v>
      </c>
      <c r="L28" s="94">
        <v>431.39211999999998</v>
      </c>
      <c r="M28" s="94">
        <v>429.99737499999998</v>
      </c>
      <c r="N28" s="94">
        <v>428.16067500000003</v>
      </c>
      <c r="O28" s="94">
        <v>426.27862499999998</v>
      </c>
      <c r="P28" s="94">
        <v>424.17816199999999</v>
      </c>
      <c r="Q28" s="94">
        <v>421.71697999999998</v>
      </c>
      <c r="R28" s="94">
        <v>419.81463600000001</v>
      </c>
      <c r="S28" s="94">
        <v>417.567047</v>
      </c>
      <c r="T28" s="94">
        <v>415.80767800000001</v>
      </c>
      <c r="U28" s="94">
        <v>414.04513500000002</v>
      </c>
      <c r="V28" s="94">
        <v>412.52209499999998</v>
      </c>
      <c r="W28" s="94">
        <v>411.24774200000002</v>
      </c>
      <c r="X28" s="94">
        <v>409.97735599999999</v>
      </c>
      <c r="Y28" s="94">
        <v>408.52224699999999</v>
      </c>
      <c r="Z28" s="94">
        <v>406.63034099999999</v>
      </c>
      <c r="AA28" s="94">
        <v>405.358521</v>
      </c>
      <c r="AB28" s="94">
        <v>403.865906</v>
      </c>
      <c r="AC28" s="94">
        <v>401.97906499999999</v>
      </c>
      <c r="AD28" s="94">
        <v>400.55664100000001</v>
      </c>
      <c r="AE28" s="94">
        <v>400.09832799999998</v>
      </c>
      <c r="AF28" s="89">
        <v>-3.7829999999999999E-3</v>
      </c>
      <c r="AG28" s="96"/>
    </row>
    <row r="29" spans="1:33" x14ac:dyDescent="0.25">
      <c r="A29" s="97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</row>
    <row r="30" spans="1:33" ht="36.75" x14ac:dyDescent="0.25">
      <c r="A30" s="97"/>
      <c r="B30" s="86" t="s">
        <v>598</v>
      </c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</row>
    <row r="31" spans="1:33" ht="24.75" x14ac:dyDescent="0.25">
      <c r="A31" s="97"/>
      <c r="B31" s="86" t="s">
        <v>599</v>
      </c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</row>
    <row r="32" spans="1:33" ht="72.75" x14ac:dyDescent="0.25">
      <c r="A32" s="99" t="s">
        <v>600</v>
      </c>
      <c r="B32" s="87" t="s">
        <v>601</v>
      </c>
      <c r="C32" s="88">
        <v>35.855949000000003</v>
      </c>
      <c r="D32" s="88">
        <v>36.277985000000001</v>
      </c>
      <c r="E32" s="88">
        <v>39.337012999999999</v>
      </c>
      <c r="F32" s="88">
        <v>42.578201</v>
      </c>
      <c r="G32" s="88">
        <v>47.262627000000002</v>
      </c>
      <c r="H32" s="88">
        <v>47.227249</v>
      </c>
      <c r="I32" s="88">
        <v>47.18121</v>
      </c>
      <c r="J32" s="88">
        <v>47.168773999999999</v>
      </c>
      <c r="K32" s="88">
        <v>47.163848999999999</v>
      </c>
      <c r="L32" s="88">
        <v>47.152081000000003</v>
      </c>
      <c r="M32" s="88">
        <v>47.159278999999998</v>
      </c>
      <c r="N32" s="88">
        <v>47.152672000000003</v>
      </c>
      <c r="O32" s="88">
        <v>47.146118000000001</v>
      </c>
      <c r="P32" s="88">
        <v>47.131686999999999</v>
      </c>
      <c r="Q32" s="88">
        <v>47.138325000000002</v>
      </c>
      <c r="R32" s="88">
        <v>47.119869000000001</v>
      </c>
      <c r="S32" s="88">
        <v>47.100937000000002</v>
      </c>
      <c r="T32" s="88">
        <v>47.084251000000002</v>
      </c>
      <c r="U32" s="88">
        <v>47.059879000000002</v>
      </c>
      <c r="V32" s="88">
        <v>47.032314</v>
      </c>
      <c r="W32" s="88">
        <v>47.004074000000003</v>
      </c>
      <c r="X32" s="88">
        <v>46.960155</v>
      </c>
      <c r="Y32" s="88">
        <v>46.939563999999997</v>
      </c>
      <c r="Z32" s="88">
        <v>46.910690000000002</v>
      </c>
      <c r="AA32" s="88">
        <v>46.948238000000003</v>
      </c>
      <c r="AB32" s="88">
        <v>46.913113000000003</v>
      </c>
      <c r="AC32" s="88">
        <v>46.906829999999999</v>
      </c>
      <c r="AD32" s="88">
        <v>46.880138000000002</v>
      </c>
      <c r="AE32" s="88">
        <v>46.870857000000001</v>
      </c>
      <c r="AF32" s="89">
        <v>9.613E-3</v>
      </c>
      <c r="AG32" s="96"/>
    </row>
    <row r="33" spans="1:33" ht="24.75" x14ac:dyDescent="0.25">
      <c r="A33" s="99" t="s">
        <v>602</v>
      </c>
      <c r="B33" s="87" t="s">
        <v>603</v>
      </c>
      <c r="C33" s="88">
        <v>45.004654000000002</v>
      </c>
      <c r="D33" s="88">
        <v>45.471119000000002</v>
      </c>
      <c r="E33" s="88">
        <v>49.460312000000002</v>
      </c>
      <c r="F33" s="88">
        <v>53.789036000000003</v>
      </c>
      <c r="G33" s="88">
        <v>59.791530999999999</v>
      </c>
      <c r="H33" s="88">
        <v>59.803519999999999</v>
      </c>
      <c r="I33" s="88">
        <v>59.817413000000002</v>
      </c>
      <c r="J33" s="88">
        <v>59.819332000000003</v>
      </c>
      <c r="K33" s="88">
        <v>59.821598000000002</v>
      </c>
      <c r="L33" s="88">
        <v>59.822445000000002</v>
      </c>
      <c r="M33" s="88">
        <v>59.827472999999998</v>
      </c>
      <c r="N33" s="88">
        <v>59.828792999999997</v>
      </c>
      <c r="O33" s="88">
        <v>59.830779999999997</v>
      </c>
      <c r="P33" s="88">
        <v>59.831119999999999</v>
      </c>
      <c r="Q33" s="88">
        <v>59.842136000000004</v>
      </c>
      <c r="R33" s="88">
        <v>59.842136000000004</v>
      </c>
      <c r="S33" s="88">
        <v>59.842136000000004</v>
      </c>
      <c r="T33" s="88">
        <v>59.843197000000004</v>
      </c>
      <c r="U33" s="88">
        <v>59.843197000000004</v>
      </c>
      <c r="V33" s="88">
        <v>59.843231000000003</v>
      </c>
      <c r="W33" s="88">
        <v>59.845177</v>
      </c>
      <c r="X33" s="88">
        <v>59.845177</v>
      </c>
      <c r="Y33" s="88">
        <v>59.848227999999999</v>
      </c>
      <c r="Z33" s="88">
        <v>59.848227999999999</v>
      </c>
      <c r="AA33" s="88">
        <v>59.867775000000002</v>
      </c>
      <c r="AB33" s="88">
        <v>59.867775000000002</v>
      </c>
      <c r="AC33" s="88">
        <v>59.867775000000002</v>
      </c>
      <c r="AD33" s="88">
        <v>59.867775000000002</v>
      </c>
      <c r="AE33" s="88">
        <v>59.867775000000002</v>
      </c>
      <c r="AF33" s="89">
        <v>1.0244E-2</v>
      </c>
      <c r="AG33" s="96"/>
    </row>
    <row r="34" spans="1:33" ht="36.75" x14ac:dyDescent="0.25">
      <c r="A34" s="99" t="s">
        <v>604</v>
      </c>
      <c r="B34" s="87" t="s">
        <v>605</v>
      </c>
      <c r="C34" s="88">
        <v>32.047302000000002</v>
      </c>
      <c r="D34" s="88">
        <v>32.608868000000001</v>
      </c>
      <c r="E34" s="88">
        <v>35.403008</v>
      </c>
      <c r="F34" s="88">
        <v>38.46349</v>
      </c>
      <c r="G34" s="88">
        <v>42.755749000000002</v>
      </c>
      <c r="H34" s="88">
        <v>42.75658</v>
      </c>
      <c r="I34" s="88">
        <v>42.76173</v>
      </c>
      <c r="J34" s="88">
        <v>42.76173</v>
      </c>
      <c r="K34" s="88">
        <v>42.761840999999997</v>
      </c>
      <c r="L34" s="88">
        <v>42.762084999999999</v>
      </c>
      <c r="M34" s="88">
        <v>42.762169</v>
      </c>
      <c r="N34" s="88">
        <v>42.762360000000001</v>
      </c>
      <c r="O34" s="88">
        <v>42.762390000000003</v>
      </c>
      <c r="P34" s="88">
        <v>42.762520000000002</v>
      </c>
      <c r="Q34" s="88">
        <v>42.762554000000002</v>
      </c>
      <c r="R34" s="88">
        <v>42.762698999999998</v>
      </c>
      <c r="S34" s="88">
        <v>42.762756000000003</v>
      </c>
      <c r="T34" s="88">
        <v>42.762824999999999</v>
      </c>
      <c r="U34" s="88">
        <v>42.762897000000002</v>
      </c>
      <c r="V34" s="88">
        <v>42.762962000000002</v>
      </c>
      <c r="W34" s="88">
        <v>42.763016</v>
      </c>
      <c r="X34" s="88">
        <v>42.763103000000001</v>
      </c>
      <c r="Y34" s="88">
        <v>42.763103000000001</v>
      </c>
      <c r="Z34" s="88">
        <v>42.763184000000003</v>
      </c>
      <c r="AA34" s="88">
        <v>42.763184000000003</v>
      </c>
      <c r="AB34" s="88">
        <v>42.763294000000002</v>
      </c>
      <c r="AC34" s="88">
        <v>42.763294000000002</v>
      </c>
      <c r="AD34" s="88">
        <v>42.763393000000001</v>
      </c>
      <c r="AE34" s="88">
        <v>42.763393000000001</v>
      </c>
      <c r="AF34" s="89">
        <v>1.0356000000000001E-2</v>
      </c>
      <c r="AG34" s="96"/>
    </row>
    <row r="35" spans="1:33" ht="60.75" x14ac:dyDescent="0.25">
      <c r="A35" s="99" t="s">
        <v>606</v>
      </c>
      <c r="B35" s="87" t="s">
        <v>607</v>
      </c>
      <c r="C35" s="88">
        <v>41.802036000000001</v>
      </c>
      <c r="D35" s="88">
        <v>43.267200000000003</v>
      </c>
      <c r="E35" s="88">
        <v>44.448151000000003</v>
      </c>
      <c r="F35" s="88">
        <v>47.052714999999999</v>
      </c>
      <c r="G35" s="88">
        <v>48.571758000000003</v>
      </c>
      <c r="H35" s="88">
        <v>49.792529999999999</v>
      </c>
      <c r="I35" s="88">
        <v>52.281478999999997</v>
      </c>
      <c r="J35" s="88">
        <v>53.248958999999999</v>
      </c>
      <c r="K35" s="88">
        <v>53.962006000000002</v>
      </c>
      <c r="L35" s="88">
        <v>54.332034999999998</v>
      </c>
      <c r="M35" s="88">
        <v>54.872646000000003</v>
      </c>
      <c r="N35" s="88">
        <v>55.329352999999998</v>
      </c>
      <c r="O35" s="88">
        <v>55.771633000000001</v>
      </c>
      <c r="P35" s="88">
        <v>56.242725</v>
      </c>
      <c r="Q35" s="88">
        <v>56.632603000000003</v>
      </c>
      <c r="R35" s="88">
        <v>56.856194000000002</v>
      </c>
      <c r="S35" s="88">
        <v>57.030456999999998</v>
      </c>
      <c r="T35" s="88">
        <v>57.310715000000002</v>
      </c>
      <c r="U35" s="88">
        <v>57.240420999999998</v>
      </c>
      <c r="V35" s="88">
        <v>57.306023000000003</v>
      </c>
      <c r="W35" s="88">
        <v>57.371867999999999</v>
      </c>
      <c r="X35" s="88">
        <v>57.326743999999998</v>
      </c>
      <c r="Y35" s="88">
        <v>57.237999000000002</v>
      </c>
      <c r="Z35" s="88">
        <v>57.125121999999998</v>
      </c>
      <c r="AA35" s="88">
        <v>57.475963999999998</v>
      </c>
      <c r="AB35" s="88">
        <v>57.327747000000002</v>
      </c>
      <c r="AC35" s="88">
        <v>57.273457000000001</v>
      </c>
      <c r="AD35" s="88">
        <v>57.524818000000003</v>
      </c>
      <c r="AE35" s="88">
        <v>57.479156000000003</v>
      </c>
      <c r="AF35" s="89">
        <v>1.1439E-2</v>
      </c>
      <c r="AG35" s="96"/>
    </row>
    <row r="36" spans="1:33" ht="24.75" x14ac:dyDescent="0.25">
      <c r="A36" s="99" t="s">
        <v>608</v>
      </c>
      <c r="B36" s="87" t="s">
        <v>609</v>
      </c>
      <c r="C36" s="88">
        <v>56.582644999999999</v>
      </c>
      <c r="D36" s="88">
        <v>58.322226999999998</v>
      </c>
      <c r="E36" s="88">
        <v>59.783313999999997</v>
      </c>
      <c r="F36" s="88">
        <v>64.222374000000002</v>
      </c>
      <c r="G36" s="88">
        <v>65.997482000000005</v>
      </c>
      <c r="H36" s="88">
        <v>68.148635999999996</v>
      </c>
      <c r="I36" s="88">
        <v>72.759444999999999</v>
      </c>
      <c r="J36" s="88">
        <v>74.876166999999995</v>
      </c>
      <c r="K36" s="88">
        <v>76.446303999999998</v>
      </c>
      <c r="L36" s="88">
        <v>77.157302999999999</v>
      </c>
      <c r="M36" s="88">
        <v>78.145363000000003</v>
      </c>
      <c r="N36" s="88">
        <v>78.735664</v>
      </c>
      <c r="O36" s="88">
        <v>79.269256999999996</v>
      </c>
      <c r="P36" s="88">
        <v>79.864814999999993</v>
      </c>
      <c r="Q36" s="88">
        <v>80.311751999999998</v>
      </c>
      <c r="R36" s="88">
        <v>80.510566999999995</v>
      </c>
      <c r="S36" s="88">
        <v>80.643073999999999</v>
      </c>
      <c r="T36" s="88">
        <v>81.042243999999997</v>
      </c>
      <c r="U36" s="88">
        <v>80.790893999999994</v>
      </c>
      <c r="V36" s="88">
        <v>80.999863000000005</v>
      </c>
      <c r="W36" s="88">
        <v>81.213393999999994</v>
      </c>
      <c r="X36" s="88">
        <v>81.251564000000002</v>
      </c>
      <c r="Y36" s="88">
        <v>81.126784999999998</v>
      </c>
      <c r="Z36" s="88">
        <v>80.963654000000005</v>
      </c>
      <c r="AA36" s="88">
        <v>81.962256999999994</v>
      </c>
      <c r="AB36" s="88">
        <v>81.685669000000004</v>
      </c>
      <c r="AC36" s="88">
        <v>81.574020000000004</v>
      </c>
      <c r="AD36" s="88">
        <v>82.338425000000001</v>
      </c>
      <c r="AE36" s="88">
        <v>82.243483999999995</v>
      </c>
      <c r="AF36" s="89">
        <v>1.3446E-2</v>
      </c>
      <c r="AG36" s="96"/>
    </row>
    <row r="37" spans="1:33" ht="36.75" x14ac:dyDescent="0.25">
      <c r="A37" s="99" t="s">
        <v>610</v>
      </c>
      <c r="B37" s="87" t="s">
        <v>611</v>
      </c>
      <c r="C37" s="88">
        <v>36.263930999999999</v>
      </c>
      <c r="D37" s="88">
        <v>37.832123000000003</v>
      </c>
      <c r="E37" s="88">
        <v>39.014805000000003</v>
      </c>
      <c r="F37" s="88">
        <v>41.375152999999997</v>
      </c>
      <c r="G37" s="88">
        <v>42.876761999999999</v>
      </c>
      <c r="H37" s="88">
        <v>43.911583</v>
      </c>
      <c r="I37" s="88">
        <v>45.953789</v>
      </c>
      <c r="J37" s="88">
        <v>46.678477999999998</v>
      </c>
      <c r="K37" s="88">
        <v>47.207011999999999</v>
      </c>
      <c r="L37" s="88">
        <v>47.518374999999999</v>
      </c>
      <c r="M37" s="88">
        <v>47.939487</v>
      </c>
      <c r="N37" s="88">
        <v>48.362620999999997</v>
      </c>
      <c r="O37" s="88">
        <v>48.779860999999997</v>
      </c>
      <c r="P37" s="88">
        <v>49.233046999999999</v>
      </c>
      <c r="Q37" s="88">
        <v>49.585566999999998</v>
      </c>
      <c r="R37" s="88">
        <v>49.838344999999997</v>
      </c>
      <c r="S37" s="88">
        <v>50.048076999999999</v>
      </c>
      <c r="T37" s="88">
        <v>50.325744999999998</v>
      </c>
      <c r="U37" s="88">
        <v>50.338009</v>
      </c>
      <c r="V37" s="88">
        <v>50.426777000000001</v>
      </c>
      <c r="W37" s="88">
        <v>50.517310999999999</v>
      </c>
      <c r="X37" s="88">
        <v>50.542614</v>
      </c>
      <c r="Y37" s="88">
        <v>50.50412</v>
      </c>
      <c r="Z37" s="88">
        <v>50.459384999999997</v>
      </c>
      <c r="AA37" s="88">
        <v>50.618049999999997</v>
      </c>
      <c r="AB37" s="88">
        <v>50.565734999999997</v>
      </c>
      <c r="AC37" s="88">
        <v>50.535651999999999</v>
      </c>
      <c r="AD37" s="88">
        <v>50.739390999999998</v>
      </c>
      <c r="AE37" s="88">
        <v>50.721836000000003</v>
      </c>
      <c r="AF37" s="89">
        <v>1.2055E-2</v>
      </c>
      <c r="AG37" s="96"/>
    </row>
    <row r="38" spans="1:33" ht="48.75" x14ac:dyDescent="0.25">
      <c r="A38" s="99" t="s">
        <v>612</v>
      </c>
      <c r="B38" s="87" t="s">
        <v>613</v>
      </c>
      <c r="C38" s="88">
        <v>37.621077999999997</v>
      </c>
      <c r="D38" s="88">
        <v>38.382415999999999</v>
      </c>
      <c r="E38" s="88">
        <v>39.075671999999997</v>
      </c>
      <c r="F38" s="88">
        <v>40.794502000000001</v>
      </c>
      <c r="G38" s="88">
        <v>41.684994000000003</v>
      </c>
      <c r="H38" s="88">
        <v>42.387779000000002</v>
      </c>
      <c r="I38" s="88">
        <v>43.992404999999998</v>
      </c>
      <c r="J38" s="88">
        <v>44.482399000000001</v>
      </c>
      <c r="K38" s="88">
        <v>44.828845999999999</v>
      </c>
      <c r="L38" s="88">
        <v>45.012852000000002</v>
      </c>
      <c r="M38" s="88">
        <v>45.295108999999997</v>
      </c>
      <c r="N38" s="88">
        <v>45.549660000000003</v>
      </c>
      <c r="O38" s="88">
        <v>45.800465000000003</v>
      </c>
      <c r="P38" s="88">
        <v>46.072913999999997</v>
      </c>
      <c r="Q38" s="88">
        <v>46.308185999999999</v>
      </c>
      <c r="R38" s="88">
        <v>46.454895</v>
      </c>
      <c r="S38" s="88">
        <v>46.573441000000003</v>
      </c>
      <c r="T38" s="88">
        <v>46.763412000000002</v>
      </c>
      <c r="U38" s="88">
        <v>46.743324000000001</v>
      </c>
      <c r="V38" s="88">
        <v>46.781216000000001</v>
      </c>
      <c r="W38" s="88">
        <v>46.812752000000003</v>
      </c>
      <c r="X38" s="88">
        <v>46.781078000000001</v>
      </c>
      <c r="Y38" s="88">
        <v>46.720787000000001</v>
      </c>
      <c r="Z38" s="88">
        <v>46.649310999999997</v>
      </c>
      <c r="AA38" s="88">
        <v>46.812587999999998</v>
      </c>
      <c r="AB38" s="88">
        <v>46.721981</v>
      </c>
      <c r="AC38" s="88">
        <v>46.686661000000001</v>
      </c>
      <c r="AD38" s="88">
        <v>46.844208000000002</v>
      </c>
      <c r="AE38" s="88">
        <v>46.809134999999998</v>
      </c>
      <c r="AF38" s="89">
        <v>7.835E-3</v>
      </c>
      <c r="AG38" s="96"/>
    </row>
    <row r="39" spans="1:33" ht="24.75" x14ac:dyDescent="0.25">
      <c r="A39" s="99" t="s">
        <v>614</v>
      </c>
      <c r="B39" s="87" t="s">
        <v>615</v>
      </c>
      <c r="C39" s="88">
        <v>49.658656999999998</v>
      </c>
      <c r="D39" s="88">
        <v>50.63982</v>
      </c>
      <c r="E39" s="88">
        <v>51.418788999999997</v>
      </c>
      <c r="F39" s="88">
        <v>54.041266999999998</v>
      </c>
      <c r="G39" s="88">
        <v>54.808311000000003</v>
      </c>
      <c r="H39" s="88">
        <v>55.812793999999997</v>
      </c>
      <c r="I39" s="88">
        <v>58.414130999999998</v>
      </c>
      <c r="J39" s="88">
        <v>59.295653999999999</v>
      </c>
      <c r="K39" s="88">
        <v>59.885936999999998</v>
      </c>
      <c r="L39" s="88">
        <v>60.128425999999997</v>
      </c>
      <c r="M39" s="88">
        <v>60.482559000000002</v>
      </c>
      <c r="N39" s="88">
        <v>60.696911</v>
      </c>
      <c r="O39" s="88">
        <v>60.896141</v>
      </c>
      <c r="P39" s="88">
        <v>61.139969000000001</v>
      </c>
      <c r="Q39" s="88">
        <v>61.342109999999998</v>
      </c>
      <c r="R39" s="88">
        <v>61.456459000000002</v>
      </c>
      <c r="S39" s="88">
        <v>61.545490000000001</v>
      </c>
      <c r="T39" s="88">
        <v>61.791069</v>
      </c>
      <c r="U39" s="88">
        <v>61.720492999999998</v>
      </c>
      <c r="V39" s="88">
        <v>61.820892000000001</v>
      </c>
      <c r="W39" s="88">
        <v>61.909644999999998</v>
      </c>
      <c r="X39" s="88">
        <v>61.923454</v>
      </c>
      <c r="Y39" s="88">
        <v>61.848678999999997</v>
      </c>
      <c r="Z39" s="88">
        <v>61.762374999999999</v>
      </c>
      <c r="AA39" s="88">
        <v>62.120818999999997</v>
      </c>
      <c r="AB39" s="88">
        <v>61.989952000000002</v>
      </c>
      <c r="AC39" s="88">
        <v>61.932670999999999</v>
      </c>
      <c r="AD39" s="88">
        <v>62.331699</v>
      </c>
      <c r="AE39" s="88">
        <v>62.272804000000001</v>
      </c>
      <c r="AF39" s="89">
        <v>8.1169999999999992E-3</v>
      </c>
      <c r="AG39" s="96"/>
    </row>
    <row r="40" spans="1:33" ht="36.75" x14ac:dyDescent="0.25">
      <c r="A40" s="99" t="s">
        <v>616</v>
      </c>
      <c r="B40" s="87" t="s">
        <v>617</v>
      </c>
      <c r="C40" s="88">
        <v>32.951321</v>
      </c>
      <c r="D40" s="88">
        <v>33.825710000000001</v>
      </c>
      <c r="E40" s="88">
        <v>34.570250999999999</v>
      </c>
      <c r="F40" s="88">
        <v>36.235542000000002</v>
      </c>
      <c r="G40" s="88">
        <v>37.203814999999999</v>
      </c>
      <c r="H40" s="88">
        <v>37.859802000000002</v>
      </c>
      <c r="I40" s="88">
        <v>39.251300999999998</v>
      </c>
      <c r="J40" s="88">
        <v>39.654640000000001</v>
      </c>
      <c r="K40" s="88">
        <v>39.942870999999997</v>
      </c>
      <c r="L40" s="88">
        <v>40.123778999999999</v>
      </c>
      <c r="M40" s="88">
        <v>40.372107999999997</v>
      </c>
      <c r="N40" s="88">
        <v>40.635685000000002</v>
      </c>
      <c r="O40" s="88">
        <v>40.898228000000003</v>
      </c>
      <c r="P40" s="88">
        <v>41.187041999999998</v>
      </c>
      <c r="Q40" s="88">
        <v>41.415565000000001</v>
      </c>
      <c r="R40" s="88">
        <v>41.589336000000003</v>
      </c>
      <c r="S40" s="88">
        <v>41.735809000000003</v>
      </c>
      <c r="T40" s="88">
        <v>41.930031</v>
      </c>
      <c r="U40" s="88">
        <v>41.954326999999999</v>
      </c>
      <c r="V40" s="88">
        <v>42.014381</v>
      </c>
      <c r="W40" s="88">
        <v>42.070942000000002</v>
      </c>
      <c r="X40" s="88">
        <v>42.089371</v>
      </c>
      <c r="Y40" s="88">
        <v>42.062252000000001</v>
      </c>
      <c r="Z40" s="88">
        <v>42.034523</v>
      </c>
      <c r="AA40" s="88">
        <v>42.106945000000003</v>
      </c>
      <c r="AB40" s="88">
        <v>42.074627</v>
      </c>
      <c r="AC40" s="88">
        <v>42.053328999999998</v>
      </c>
      <c r="AD40" s="88">
        <v>42.192115999999999</v>
      </c>
      <c r="AE40" s="88">
        <v>42.175429999999999</v>
      </c>
      <c r="AF40" s="89">
        <v>8.8529999999999998E-3</v>
      </c>
      <c r="AG40" s="96"/>
    </row>
    <row r="41" spans="1:33" ht="48.75" x14ac:dyDescent="0.25">
      <c r="A41" s="99" t="s">
        <v>618</v>
      </c>
      <c r="B41" s="87" t="s">
        <v>619</v>
      </c>
      <c r="C41" s="88">
        <v>30.687853</v>
      </c>
      <c r="D41" s="88">
        <v>31.308468000000001</v>
      </c>
      <c r="E41" s="88">
        <v>31.873774999999998</v>
      </c>
      <c r="F41" s="88">
        <v>33.275241999999999</v>
      </c>
      <c r="G41" s="88">
        <v>34.001517999999997</v>
      </c>
      <c r="H41" s="88">
        <v>34.574638</v>
      </c>
      <c r="I41" s="88">
        <v>35.883228000000003</v>
      </c>
      <c r="J41" s="88">
        <v>36.282809999999998</v>
      </c>
      <c r="K41" s="88">
        <v>36.565350000000002</v>
      </c>
      <c r="L41" s="88">
        <v>36.715401</v>
      </c>
      <c r="M41" s="88">
        <v>36.945652000000003</v>
      </c>
      <c r="N41" s="88">
        <v>37.153278</v>
      </c>
      <c r="O41" s="88">
        <v>37.357868000000003</v>
      </c>
      <c r="P41" s="88">
        <v>37.580081999999997</v>
      </c>
      <c r="Q41" s="88">
        <v>37.772025999999997</v>
      </c>
      <c r="R41" s="88">
        <v>37.891651000000003</v>
      </c>
      <c r="S41" s="88">
        <v>37.988308000000004</v>
      </c>
      <c r="T41" s="88">
        <v>38.143211000000001</v>
      </c>
      <c r="U41" s="88">
        <v>38.126759</v>
      </c>
      <c r="V41" s="88">
        <v>38.157573999999997</v>
      </c>
      <c r="W41" s="88">
        <v>38.183200999999997</v>
      </c>
      <c r="X41" s="88">
        <v>38.157218999999998</v>
      </c>
      <c r="Y41" s="88">
        <v>38.107975000000003</v>
      </c>
      <c r="Z41" s="88">
        <v>38.049587000000002</v>
      </c>
      <c r="AA41" s="88">
        <v>38.182837999999997</v>
      </c>
      <c r="AB41" s="88">
        <v>38.108822000000004</v>
      </c>
      <c r="AC41" s="88">
        <v>38.080002</v>
      </c>
      <c r="AD41" s="88">
        <v>38.208388999999997</v>
      </c>
      <c r="AE41" s="88">
        <v>38.179749000000001</v>
      </c>
      <c r="AF41" s="89">
        <v>7.8320000000000004E-3</v>
      </c>
      <c r="AG41" s="96"/>
    </row>
    <row r="42" spans="1:33" ht="24.75" x14ac:dyDescent="0.25">
      <c r="A42" s="99" t="s">
        <v>620</v>
      </c>
      <c r="B42" s="87" t="s">
        <v>621</v>
      </c>
      <c r="C42" s="88">
        <v>40.552002000000002</v>
      </c>
      <c r="D42" s="88">
        <v>41.353237</v>
      </c>
      <c r="E42" s="88">
        <v>41.989353000000001</v>
      </c>
      <c r="F42" s="88">
        <v>44.130909000000003</v>
      </c>
      <c r="G42" s="88">
        <v>44.757289999999998</v>
      </c>
      <c r="H42" s="88">
        <v>45.577564000000002</v>
      </c>
      <c r="I42" s="88">
        <v>47.701855000000002</v>
      </c>
      <c r="J42" s="88">
        <v>48.421719000000003</v>
      </c>
      <c r="K42" s="88">
        <v>48.903754999999997</v>
      </c>
      <c r="L42" s="88">
        <v>49.101771999999997</v>
      </c>
      <c r="M42" s="88">
        <v>49.390965000000001</v>
      </c>
      <c r="N42" s="88">
        <v>49.566006000000002</v>
      </c>
      <c r="O42" s="88">
        <v>49.728703000000003</v>
      </c>
      <c r="P42" s="88">
        <v>49.927813999999998</v>
      </c>
      <c r="Q42" s="88">
        <v>50.092888000000002</v>
      </c>
      <c r="R42" s="88">
        <v>50.186264000000001</v>
      </c>
      <c r="S42" s="88">
        <v>50.258968000000003</v>
      </c>
      <c r="T42" s="88">
        <v>50.459515000000003</v>
      </c>
      <c r="U42" s="88">
        <v>50.401878000000004</v>
      </c>
      <c r="V42" s="88">
        <v>50.483868000000001</v>
      </c>
      <c r="W42" s="88">
        <v>50.556342999999998</v>
      </c>
      <c r="X42" s="88">
        <v>50.567619000000001</v>
      </c>
      <c r="Y42" s="88">
        <v>50.506557000000001</v>
      </c>
      <c r="Z42" s="88">
        <v>50.436081000000001</v>
      </c>
      <c r="AA42" s="88">
        <v>50.728789999999996</v>
      </c>
      <c r="AB42" s="88">
        <v>50.621924999999997</v>
      </c>
      <c r="AC42" s="88">
        <v>50.575145999999997</v>
      </c>
      <c r="AD42" s="88">
        <v>50.901001000000001</v>
      </c>
      <c r="AE42" s="88">
        <v>50.852905</v>
      </c>
      <c r="AF42" s="89">
        <v>8.1169999999999992E-3</v>
      </c>
      <c r="AG42" s="96"/>
    </row>
    <row r="43" spans="1:33" ht="36.75" x14ac:dyDescent="0.25">
      <c r="A43" s="99" t="s">
        <v>622</v>
      </c>
      <c r="B43" s="87" t="s">
        <v>623</v>
      </c>
      <c r="C43" s="88">
        <v>26.867122999999999</v>
      </c>
      <c r="D43" s="88">
        <v>27.580062999999999</v>
      </c>
      <c r="E43" s="88">
        <v>28.18713</v>
      </c>
      <c r="F43" s="88">
        <v>29.544938999999999</v>
      </c>
      <c r="G43" s="88">
        <v>30.334429</v>
      </c>
      <c r="H43" s="88">
        <v>30.869291</v>
      </c>
      <c r="I43" s="88">
        <v>32.003860000000003</v>
      </c>
      <c r="J43" s="88">
        <v>32.332729</v>
      </c>
      <c r="K43" s="88">
        <v>32.567737999999999</v>
      </c>
      <c r="L43" s="88">
        <v>32.715243999999998</v>
      </c>
      <c r="M43" s="88">
        <v>32.917721</v>
      </c>
      <c r="N43" s="88">
        <v>33.132629000000001</v>
      </c>
      <c r="O43" s="88">
        <v>33.346694999999997</v>
      </c>
      <c r="P43" s="88">
        <v>33.582183999999998</v>
      </c>
      <c r="Q43" s="88">
        <v>33.768512999999999</v>
      </c>
      <c r="R43" s="88">
        <v>33.910198000000001</v>
      </c>
      <c r="S43" s="88">
        <v>34.029625000000003</v>
      </c>
      <c r="T43" s="88">
        <v>34.187984</v>
      </c>
      <c r="U43" s="88">
        <v>34.207794</v>
      </c>
      <c r="V43" s="88">
        <v>34.25676</v>
      </c>
      <c r="W43" s="88">
        <v>34.302878999999997</v>
      </c>
      <c r="X43" s="88">
        <v>34.317905000000003</v>
      </c>
      <c r="Y43" s="88">
        <v>34.295791999999999</v>
      </c>
      <c r="Z43" s="88">
        <v>34.273186000000003</v>
      </c>
      <c r="AA43" s="88">
        <v>34.332233000000002</v>
      </c>
      <c r="AB43" s="88">
        <v>34.305881999999997</v>
      </c>
      <c r="AC43" s="88">
        <v>34.288516999999999</v>
      </c>
      <c r="AD43" s="88">
        <v>34.401679999999999</v>
      </c>
      <c r="AE43" s="88">
        <v>34.388072999999999</v>
      </c>
      <c r="AF43" s="89">
        <v>8.8529999999999998E-3</v>
      </c>
      <c r="AG43" s="96"/>
    </row>
    <row r="44" spans="1:33" ht="36.75" x14ac:dyDescent="0.25">
      <c r="A44" s="99" t="s">
        <v>624</v>
      </c>
      <c r="B44" s="87" t="s">
        <v>625</v>
      </c>
      <c r="C44" s="88">
        <v>24.416388999999999</v>
      </c>
      <c r="D44" s="88">
        <v>24.836956000000001</v>
      </c>
      <c r="E44" s="88">
        <v>25.286928</v>
      </c>
      <c r="F44" s="88">
        <v>25.785551000000002</v>
      </c>
      <c r="G44" s="88">
        <v>26.309719000000001</v>
      </c>
      <c r="H44" s="88">
        <v>26.853071</v>
      </c>
      <c r="I44" s="88">
        <v>27.439551999999999</v>
      </c>
      <c r="J44" s="88">
        <v>28.039261</v>
      </c>
      <c r="K44" s="88">
        <v>28.645572999999999</v>
      </c>
      <c r="L44" s="88">
        <v>29.223606</v>
      </c>
      <c r="M44" s="88">
        <v>29.795773000000001</v>
      </c>
      <c r="N44" s="88">
        <v>30.329742</v>
      </c>
      <c r="O44" s="88">
        <v>30.858115999999999</v>
      </c>
      <c r="P44" s="88">
        <v>31.383734</v>
      </c>
      <c r="Q44" s="88">
        <v>31.896933000000001</v>
      </c>
      <c r="R44" s="88">
        <v>32.386234000000002</v>
      </c>
      <c r="S44" s="88">
        <v>32.857269000000002</v>
      </c>
      <c r="T44" s="88">
        <v>33.317824999999999</v>
      </c>
      <c r="U44" s="88">
        <v>33.744926</v>
      </c>
      <c r="V44" s="88">
        <v>34.150565999999998</v>
      </c>
      <c r="W44" s="88">
        <v>34.526347999999999</v>
      </c>
      <c r="X44" s="88">
        <v>34.855293000000003</v>
      </c>
      <c r="Y44" s="88">
        <v>35.133709000000003</v>
      </c>
      <c r="Z44" s="88">
        <v>35.376598000000001</v>
      </c>
      <c r="AA44" s="88">
        <v>35.587673000000002</v>
      </c>
      <c r="AB44" s="88">
        <v>35.763168</v>
      </c>
      <c r="AC44" s="88">
        <v>35.911662999999997</v>
      </c>
      <c r="AD44" s="88">
        <v>36.041504000000003</v>
      </c>
      <c r="AE44" s="88">
        <v>36.145099999999999</v>
      </c>
      <c r="AF44" s="89">
        <v>1.4109E-2</v>
      </c>
      <c r="AG44" s="96"/>
    </row>
    <row r="45" spans="1:33" ht="48.75" x14ac:dyDescent="0.25">
      <c r="A45" s="99" t="s">
        <v>626</v>
      </c>
      <c r="B45" s="87" t="s">
        <v>627</v>
      </c>
      <c r="C45" s="88">
        <v>15.821263</v>
      </c>
      <c r="D45" s="88">
        <v>16.131247999999999</v>
      </c>
      <c r="E45" s="88">
        <v>16.678804</v>
      </c>
      <c r="F45" s="88">
        <v>17.193453000000002</v>
      </c>
      <c r="G45" s="88">
        <v>17.382670999999998</v>
      </c>
      <c r="H45" s="88">
        <v>17.655719999999999</v>
      </c>
      <c r="I45" s="88">
        <v>17.641428000000001</v>
      </c>
      <c r="J45" s="88">
        <v>17.714843999999999</v>
      </c>
      <c r="K45" s="88">
        <v>17.746100999999999</v>
      </c>
      <c r="L45" s="88">
        <v>17.752108</v>
      </c>
      <c r="M45" s="88">
        <v>17.726762999999998</v>
      </c>
      <c r="N45" s="88">
        <v>17.703925999999999</v>
      </c>
      <c r="O45" s="88">
        <v>17.685976</v>
      </c>
      <c r="P45" s="88">
        <v>17.669809000000001</v>
      </c>
      <c r="Q45" s="88">
        <v>17.656127999999999</v>
      </c>
      <c r="R45" s="88">
        <v>17.644224000000001</v>
      </c>
      <c r="S45" s="88">
        <v>17.635103000000001</v>
      </c>
      <c r="T45" s="88">
        <v>17.627134000000002</v>
      </c>
      <c r="U45" s="88">
        <v>17.621216</v>
      </c>
      <c r="V45" s="88">
        <v>17.615825999999998</v>
      </c>
      <c r="W45" s="88">
        <v>17.612106000000001</v>
      </c>
      <c r="X45" s="88">
        <v>17.608646</v>
      </c>
      <c r="Y45" s="88">
        <v>17.607035</v>
      </c>
      <c r="Z45" s="88">
        <v>17.606117000000001</v>
      </c>
      <c r="AA45" s="88">
        <v>17.607099999999999</v>
      </c>
      <c r="AB45" s="88">
        <v>17.455801000000001</v>
      </c>
      <c r="AC45" s="88">
        <v>17.469227</v>
      </c>
      <c r="AD45" s="88">
        <v>17.484673999999998</v>
      </c>
      <c r="AE45" s="88">
        <v>17.514999</v>
      </c>
      <c r="AF45" s="89">
        <v>3.6389999999999999E-3</v>
      </c>
      <c r="AG45" s="96"/>
    </row>
    <row r="46" spans="1:33" ht="48.75" x14ac:dyDescent="0.25">
      <c r="A46" s="99" t="s">
        <v>628</v>
      </c>
      <c r="B46" s="87" t="s">
        <v>629</v>
      </c>
      <c r="C46" s="88">
        <v>13.428094</v>
      </c>
      <c r="D46" s="88">
        <v>13.70518</v>
      </c>
      <c r="E46" s="88">
        <v>13.988607999999999</v>
      </c>
      <c r="F46" s="88">
        <v>14.298017</v>
      </c>
      <c r="G46" s="88">
        <v>14.623931000000001</v>
      </c>
      <c r="H46" s="88">
        <v>14.947717000000001</v>
      </c>
      <c r="I46" s="88">
        <v>15.224836</v>
      </c>
      <c r="J46" s="88">
        <v>15.477124999999999</v>
      </c>
      <c r="K46" s="88">
        <v>15.708449999999999</v>
      </c>
      <c r="L46" s="88">
        <v>15.906402999999999</v>
      </c>
      <c r="M46" s="88">
        <v>16.084123999999999</v>
      </c>
      <c r="N46" s="88">
        <v>16.239180000000001</v>
      </c>
      <c r="O46" s="88">
        <v>16.374127999999999</v>
      </c>
      <c r="P46" s="88">
        <v>16.504307000000001</v>
      </c>
      <c r="Q46" s="88">
        <v>16.623000999999999</v>
      </c>
      <c r="R46" s="88">
        <v>16.732641000000001</v>
      </c>
      <c r="S46" s="88">
        <v>16.834803000000001</v>
      </c>
      <c r="T46" s="88">
        <v>16.930444999999999</v>
      </c>
      <c r="U46" s="88">
        <v>17.012526000000001</v>
      </c>
      <c r="V46" s="88">
        <v>17.084282000000002</v>
      </c>
      <c r="W46" s="88">
        <v>17.141766000000001</v>
      </c>
      <c r="X46" s="88">
        <v>17.21096</v>
      </c>
      <c r="Y46" s="88">
        <v>17.279800000000002</v>
      </c>
      <c r="Z46" s="88">
        <v>17.324511999999999</v>
      </c>
      <c r="AA46" s="88">
        <v>17.374506</v>
      </c>
      <c r="AB46" s="88">
        <v>17.402925</v>
      </c>
      <c r="AC46" s="88">
        <v>17.441884999999999</v>
      </c>
      <c r="AD46" s="88">
        <v>17.468942999999999</v>
      </c>
      <c r="AE46" s="88">
        <v>17.502464</v>
      </c>
      <c r="AF46" s="89">
        <v>9.5090000000000001E-3</v>
      </c>
      <c r="AG46" s="96"/>
    </row>
    <row r="47" spans="1:33" ht="24.75" x14ac:dyDescent="0.25">
      <c r="A47" s="99" t="s">
        <v>630</v>
      </c>
      <c r="B47" s="87" t="s">
        <v>631</v>
      </c>
      <c r="C47" s="88">
        <v>7.4724060000000003</v>
      </c>
      <c r="D47" s="88">
        <v>7.5785289999999996</v>
      </c>
      <c r="E47" s="88">
        <v>7.7053229999999999</v>
      </c>
      <c r="F47" s="88">
        <v>7.8485899999999997</v>
      </c>
      <c r="G47" s="88">
        <v>8.002383</v>
      </c>
      <c r="H47" s="88">
        <v>8.1636769999999999</v>
      </c>
      <c r="I47" s="88">
        <v>8.3212849999999996</v>
      </c>
      <c r="J47" s="88">
        <v>8.4797550000000008</v>
      </c>
      <c r="K47" s="88">
        <v>8.6382940000000001</v>
      </c>
      <c r="L47" s="88">
        <v>8.7959300000000002</v>
      </c>
      <c r="M47" s="88">
        <v>8.9485489999999999</v>
      </c>
      <c r="N47" s="88">
        <v>9.0909969999999998</v>
      </c>
      <c r="O47" s="88">
        <v>9.2225160000000006</v>
      </c>
      <c r="P47" s="88">
        <v>9.3430680000000006</v>
      </c>
      <c r="Q47" s="88">
        <v>9.4533149999999999</v>
      </c>
      <c r="R47" s="88">
        <v>9.5530629999999999</v>
      </c>
      <c r="S47" s="88">
        <v>9.6434440000000006</v>
      </c>
      <c r="T47" s="88">
        <v>9.7267100000000006</v>
      </c>
      <c r="U47" s="88">
        <v>9.8045930000000006</v>
      </c>
      <c r="V47" s="88">
        <v>9.8772749999999991</v>
      </c>
      <c r="W47" s="88">
        <v>9.9424309999999991</v>
      </c>
      <c r="X47" s="88">
        <v>10.001567</v>
      </c>
      <c r="Y47" s="88">
        <v>10.055840999999999</v>
      </c>
      <c r="Z47" s="88">
        <v>10.108454</v>
      </c>
      <c r="AA47" s="88">
        <v>10.161227999999999</v>
      </c>
      <c r="AB47" s="88">
        <v>10.213310999999999</v>
      </c>
      <c r="AC47" s="88">
        <v>10.263764</v>
      </c>
      <c r="AD47" s="88">
        <v>10.314513</v>
      </c>
      <c r="AE47" s="88">
        <v>10.365861000000001</v>
      </c>
      <c r="AF47" s="89">
        <v>1.1757999999999999E-2</v>
      </c>
      <c r="AG47" s="96"/>
    </row>
    <row r="48" spans="1:33" ht="36.75" x14ac:dyDescent="0.25">
      <c r="A48" s="97"/>
      <c r="B48" s="86" t="s">
        <v>632</v>
      </c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</row>
    <row r="49" spans="1:33" x14ac:dyDescent="0.25">
      <c r="A49" s="99" t="s">
        <v>633</v>
      </c>
      <c r="B49" s="87" t="s">
        <v>634</v>
      </c>
      <c r="C49" s="88">
        <v>72.717087000000006</v>
      </c>
      <c r="D49" s="88">
        <v>73.091971999999998</v>
      </c>
      <c r="E49" s="88">
        <v>73.492531</v>
      </c>
      <c r="F49" s="88">
        <v>74.018456</v>
      </c>
      <c r="G49" s="88">
        <v>74.683121</v>
      </c>
      <c r="H49" s="88">
        <v>75.131766999999996</v>
      </c>
      <c r="I49" s="88">
        <v>75.592140000000001</v>
      </c>
      <c r="J49" s="88">
        <v>76.024017000000001</v>
      </c>
      <c r="K49" s="88">
        <v>76.492362999999997</v>
      </c>
      <c r="L49" s="88">
        <v>77.014213999999996</v>
      </c>
      <c r="M49" s="88">
        <v>77.600960000000001</v>
      </c>
      <c r="N49" s="88">
        <v>78.266677999999999</v>
      </c>
      <c r="O49" s="88">
        <v>78.981505999999996</v>
      </c>
      <c r="P49" s="88">
        <v>79.730591000000004</v>
      </c>
      <c r="Q49" s="88">
        <v>80.489220000000003</v>
      </c>
      <c r="R49" s="88">
        <v>81.260979000000006</v>
      </c>
      <c r="S49" s="88">
        <v>82.048454000000007</v>
      </c>
      <c r="T49" s="88">
        <v>82.814575000000005</v>
      </c>
      <c r="U49" s="88">
        <v>83.594772000000006</v>
      </c>
      <c r="V49" s="88">
        <v>84.382309000000006</v>
      </c>
      <c r="W49" s="88">
        <v>85.171204000000003</v>
      </c>
      <c r="X49" s="88">
        <v>85.974022000000005</v>
      </c>
      <c r="Y49" s="88">
        <v>86.764037999999999</v>
      </c>
      <c r="Z49" s="88">
        <v>87.549926999999997</v>
      </c>
      <c r="AA49" s="88">
        <v>88.321090999999996</v>
      </c>
      <c r="AB49" s="88">
        <v>89.091155999999998</v>
      </c>
      <c r="AC49" s="88">
        <v>89.849761999999998</v>
      </c>
      <c r="AD49" s="88">
        <v>90.593376000000006</v>
      </c>
      <c r="AE49" s="88">
        <v>91.328147999999999</v>
      </c>
      <c r="AF49" s="89">
        <v>8.1720000000000004E-3</v>
      </c>
      <c r="AG49" s="96"/>
    </row>
    <row r="50" spans="1:33" ht="36.75" x14ac:dyDescent="0.25">
      <c r="A50" s="97"/>
      <c r="B50" s="86" t="s">
        <v>635</v>
      </c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</row>
    <row r="51" spans="1:33" x14ac:dyDescent="0.25">
      <c r="A51" s="99" t="s">
        <v>636</v>
      </c>
      <c r="B51" s="87" t="s">
        <v>595</v>
      </c>
      <c r="C51" s="88">
        <v>3.3663400000000001</v>
      </c>
      <c r="D51" s="88">
        <v>3.3698929999999998</v>
      </c>
      <c r="E51" s="88">
        <v>3.3734500000000001</v>
      </c>
      <c r="F51" s="88">
        <v>3.3770099999999998</v>
      </c>
      <c r="G51" s="88">
        <v>3.3805740000000002</v>
      </c>
      <c r="H51" s="88">
        <v>3.3841420000000002</v>
      </c>
      <c r="I51" s="88">
        <v>3.3877130000000002</v>
      </c>
      <c r="J51" s="88">
        <v>3.391289</v>
      </c>
      <c r="K51" s="88">
        <v>3.3948680000000002</v>
      </c>
      <c r="L51" s="88">
        <v>3.3984510000000001</v>
      </c>
      <c r="M51" s="88">
        <v>3.402037</v>
      </c>
      <c r="N51" s="88">
        <v>3.4056280000000001</v>
      </c>
      <c r="O51" s="88">
        <v>3.4092220000000002</v>
      </c>
      <c r="P51" s="88">
        <v>3.41282</v>
      </c>
      <c r="Q51" s="88">
        <v>3.4164219999999998</v>
      </c>
      <c r="R51" s="88">
        <v>3.4200270000000002</v>
      </c>
      <c r="S51" s="88">
        <v>3.4236369999999998</v>
      </c>
      <c r="T51" s="88">
        <v>3.4272499999999999</v>
      </c>
      <c r="U51" s="88">
        <v>3.4308670000000001</v>
      </c>
      <c r="V51" s="88">
        <v>3.434488</v>
      </c>
      <c r="W51" s="88">
        <v>3.438113</v>
      </c>
      <c r="X51" s="88">
        <v>3.4417409999999999</v>
      </c>
      <c r="Y51" s="88">
        <v>3.445373</v>
      </c>
      <c r="Z51" s="88">
        <v>3.4490099999999999</v>
      </c>
      <c r="AA51" s="88">
        <v>3.4526490000000001</v>
      </c>
      <c r="AB51" s="88">
        <v>3.4562930000000001</v>
      </c>
      <c r="AC51" s="88">
        <v>3.4599410000000002</v>
      </c>
      <c r="AD51" s="88">
        <v>3.4635929999999999</v>
      </c>
      <c r="AE51" s="88">
        <v>3.4672480000000001</v>
      </c>
      <c r="AF51" s="89">
        <v>1.0549999999999999E-3</v>
      </c>
      <c r="AG51" s="96"/>
    </row>
    <row r="52" spans="1:33" ht="36.75" x14ac:dyDescent="0.25">
      <c r="A52" s="99" t="s">
        <v>637</v>
      </c>
      <c r="B52" s="87" t="s">
        <v>597</v>
      </c>
      <c r="C52" s="88">
        <v>4.8202259999999999</v>
      </c>
      <c r="D52" s="88">
        <v>4.8389660000000001</v>
      </c>
      <c r="E52" s="88">
        <v>4.8577789999999998</v>
      </c>
      <c r="F52" s="88">
        <v>4.876665</v>
      </c>
      <c r="G52" s="88">
        <v>4.8956239999999998</v>
      </c>
      <c r="H52" s="88">
        <v>4.9146570000000001</v>
      </c>
      <c r="I52" s="88">
        <v>4.933764</v>
      </c>
      <c r="J52" s="88">
        <v>4.9529449999999997</v>
      </c>
      <c r="K52" s="88">
        <v>4.9722</v>
      </c>
      <c r="L52" s="88">
        <v>4.9915310000000002</v>
      </c>
      <c r="M52" s="88">
        <v>5.0109370000000002</v>
      </c>
      <c r="N52" s="88">
        <v>5.0304180000000001</v>
      </c>
      <c r="O52" s="88">
        <v>5.0499749999999999</v>
      </c>
      <c r="P52" s="88">
        <v>5.0696079999999997</v>
      </c>
      <c r="Q52" s="88">
        <v>5.0893170000000003</v>
      </c>
      <c r="R52" s="88">
        <v>5.1091030000000002</v>
      </c>
      <c r="S52" s="88">
        <v>5.1289660000000001</v>
      </c>
      <c r="T52" s="88">
        <v>5.1489060000000002</v>
      </c>
      <c r="U52" s="88">
        <v>5.1689230000000004</v>
      </c>
      <c r="V52" s="88">
        <v>5.189019</v>
      </c>
      <c r="W52" s="88">
        <v>5.2091919999999998</v>
      </c>
      <c r="X52" s="88">
        <v>5.2294450000000001</v>
      </c>
      <c r="Y52" s="88">
        <v>5.2497749999999996</v>
      </c>
      <c r="Z52" s="88">
        <v>5.2701849999999997</v>
      </c>
      <c r="AA52" s="88">
        <v>5.2906740000000001</v>
      </c>
      <c r="AB52" s="88">
        <v>5.3112430000000002</v>
      </c>
      <c r="AC52" s="88">
        <v>5.3318919999999999</v>
      </c>
      <c r="AD52" s="88">
        <v>5.3526210000000001</v>
      </c>
      <c r="AE52" s="88">
        <v>5.3734299999999999</v>
      </c>
      <c r="AF52" s="89">
        <v>3.888E-3</v>
      </c>
      <c r="AG52" s="96"/>
    </row>
    <row r="53" spans="1:33" x14ac:dyDescent="0.25">
      <c r="A53" s="97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</row>
    <row r="54" spans="1:33" ht="24.75" x14ac:dyDescent="0.25">
      <c r="A54" s="97"/>
      <c r="B54" s="86" t="s">
        <v>638</v>
      </c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</row>
    <row r="55" spans="1:33" ht="36.75" x14ac:dyDescent="0.25">
      <c r="A55" s="97"/>
      <c r="B55" s="86" t="s">
        <v>639</v>
      </c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</row>
    <row r="56" spans="1:33" ht="36.75" x14ac:dyDescent="0.25">
      <c r="A56" s="99" t="s">
        <v>640</v>
      </c>
      <c r="B56" s="87" t="s">
        <v>641</v>
      </c>
      <c r="C56" s="92">
        <v>14.541973</v>
      </c>
      <c r="D56" s="92">
        <v>14.586114</v>
      </c>
      <c r="E56" s="92">
        <v>14.429691999999999</v>
      </c>
      <c r="F56" s="92">
        <v>14.201924999999999</v>
      </c>
      <c r="G56" s="92">
        <v>14.016909</v>
      </c>
      <c r="H56" s="92">
        <v>13.860763</v>
      </c>
      <c r="I56" s="92">
        <v>13.679087000000001</v>
      </c>
      <c r="J56" s="92">
        <v>13.473832</v>
      </c>
      <c r="K56" s="92">
        <v>13.253083</v>
      </c>
      <c r="L56" s="92">
        <v>13.044086</v>
      </c>
      <c r="M56" s="92">
        <v>12.836978</v>
      </c>
      <c r="N56" s="92">
        <v>12.674039</v>
      </c>
      <c r="O56" s="92">
        <v>12.534656</v>
      </c>
      <c r="P56" s="92">
        <v>12.394664000000001</v>
      </c>
      <c r="Q56" s="92">
        <v>12.251548</v>
      </c>
      <c r="R56" s="92">
        <v>12.130822</v>
      </c>
      <c r="S56" s="92">
        <v>12.028416</v>
      </c>
      <c r="T56" s="92">
        <v>11.933923</v>
      </c>
      <c r="U56" s="92">
        <v>11.864001</v>
      </c>
      <c r="V56" s="92">
        <v>11.805396</v>
      </c>
      <c r="W56" s="92">
        <v>11.762741999999999</v>
      </c>
      <c r="X56" s="92">
        <v>11.733644</v>
      </c>
      <c r="Y56" s="92">
        <v>11.725387</v>
      </c>
      <c r="Z56" s="92">
        <v>11.735775</v>
      </c>
      <c r="AA56" s="92">
        <v>11.770763000000001</v>
      </c>
      <c r="AB56" s="92">
        <v>11.824349</v>
      </c>
      <c r="AC56" s="92">
        <v>11.889715000000001</v>
      </c>
      <c r="AD56" s="92">
        <v>11.962910000000001</v>
      </c>
      <c r="AE56" s="92">
        <v>12.054455000000001</v>
      </c>
      <c r="AF56" s="89">
        <v>-6.6779999999999999E-3</v>
      </c>
      <c r="AG56" s="96"/>
    </row>
    <row r="57" spans="1:33" ht="48.75" x14ac:dyDescent="0.25">
      <c r="A57" s="99" t="s">
        <v>642</v>
      </c>
      <c r="B57" s="87" t="s">
        <v>643</v>
      </c>
      <c r="C57" s="92">
        <v>0.95150299999999999</v>
      </c>
      <c r="D57" s="92">
        <v>0.94255800000000001</v>
      </c>
      <c r="E57" s="92">
        <v>0.92534000000000005</v>
      </c>
      <c r="F57" s="92">
        <v>0.91245200000000004</v>
      </c>
      <c r="G57" s="92">
        <v>0.903111</v>
      </c>
      <c r="H57" s="92">
        <v>0.89480700000000002</v>
      </c>
      <c r="I57" s="92">
        <v>0.88838499999999998</v>
      </c>
      <c r="J57" s="92">
        <v>0.88299499999999997</v>
      </c>
      <c r="K57" s="92">
        <v>0.87703299999999995</v>
      </c>
      <c r="L57" s="92">
        <v>0.87279099999999998</v>
      </c>
      <c r="M57" s="92">
        <v>0.87179099999999998</v>
      </c>
      <c r="N57" s="92">
        <v>0.87186799999999998</v>
      </c>
      <c r="O57" s="92">
        <v>0.87303399999999998</v>
      </c>
      <c r="P57" s="92">
        <v>0.87507400000000002</v>
      </c>
      <c r="Q57" s="92">
        <v>0.87749999999999995</v>
      </c>
      <c r="R57" s="92">
        <v>0.881023</v>
      </c>
      <c r="S57" s="92">
        <v>0.88554100000000002</v>
      </c>
      <c r="T57" s="92">
        <v>0.88979600000000003</v>
      </c>
      <c r="U57" s="92">
        <v>0.896146</v>
      </c>
      <c r="V57" s="92">
        <v>0.90392399999999995</v>
      </c>
      <c r="W57" s="92">
        <v>0.91192099999999998</v>
      </c>
      <c r="X57" s="92">
        <v>0.91867500000000002</v>
      </c>
      <c r="Y57" s="92">
        <v>0.92472100000000002</v>
      </c>
      <c r="Z57" s="92">
        <v>0.93183000000000005</v>
      </c>
      <c r="AA57" s="92">
        <v>0.93994</v>
      </c>
      <c r="AB57" s="92">
        <v>0.94994999999999996</v>
      </c>
      <c r="AC57" s="92">
        <v>0.95831999999999995</v>
      </c>
      <c r="AD57" s="92">
        <v>0.96721000000000001</v>
      </c>
      <c r="AE57" s="92">
        <v>0.97889800000000005</v>
      </c>
      <c r="AF57" s="89">
        <v>1.0139999999999999E-3</v>
      </c>
      <c r="AG57" s="96"/>
    </row>
    <row r="58" spans="1:33" ht="36.75" x14ac:dyDescent="0.25">
      <c r="A58" s="99" t="s">
        <v>644</v>
      </c>
      <c r="B58" s="87" t="s">
        <v>645</v>
      </c>
      <c r="C58" s="92">
        <v>0.21216299999999999</v>
      </c>
      <c r="D58" s="92">
        <v>0.22231200000000001</v>
      </c>
      <c r="E58" s="92">
        <v>0.22695699999999999</v>
      </c>
      <c r="F58" s="92">
        <v>0.22801299999999999</v>
      </c>
      <c r="G58" s="92">
        <v>0.228798</v>
      </c>
      <c r="H58" s="92">
        <v>0.229238</v>
      </c>
      <c r="I58" s="92">
        <v>0.229403</v>
      </c>
      <c r="J58" s="92">
        <v>0.229156</v>
      </c>
      <c r="K58" s="92">
        <v>0.228548</v>
      </c>
      <c r="L58" s="92">
        <v>0.22755600000000001</v>
      </c>
      <c r="M58" s="92">
        <v>0.22653000000000001</v>
      </c>
      <c r="N58" s="92">
        <v>0.22600500000000001</v>
      </c>
      <c r="O58" s="92">
        <v>0.22533600000000001</v>
      </c>
      <c r="P58" s="92">
        <v>0.22447300000000001</v>
      </c>
      <c r="Q58" s="92">
        <v>0.223496</v>
      </c>
      <c r="R58" s="92">
        <v>0.22194</v>
      </c>
      <c r="S58" s="92">
        <v>0.22057599999999999</v>
      </c>
      <c r="T58" s="92">
        <v>0.21909899999999999</v>
      </c>
      <c r="U58" s="92">
        <v>0.2175</v>
      </c>
      <c r="V58" s="92">
        <v>0.215784</v>
      </c>
      <c r="W58" s="92">
        <v>0.214032</v>
      </c>
      <c r="X58" s="92">
        <v>0.21201700000000001</v>
      </c>
      <c r="Y58" s="92">
        <v>0.21015400000000001</v>
      </c>
      <c r="Z58" s="92">
        <v>0.20821500000000001</v>
      </c>
      <c r="AA58" s="92">
        <v>0.206535</v>
      </c>
      <c r="AB58" s="92">
        <v>0.20446300000000001</v>
      </c>
      <c r="AC58" s="92">
        <v>0.20246</v>
      </c>
      <c r="AD58" s="92">
        <v>0.20028199999999999</v>
      </c>
      <c r="AE58" s="92">
        <v>0.198183</v>
      </c>
      <c r="AF58" s="89">
        <v>-2.4320000000000001E-3</v>
      </c>
      <c r="AG58" s="96"/>
    </row>
    <row r="59" spans="1:33" ht="24.75" x14ac:dyDescent="0.25">
      <c r="A59" s="99" t="s">
        <v>646</v>
      </c>
      <c r="B59" s="87" t="s">
        <v>647</v>
      </c>
      <c r="C59" s="92">
        <v>5.9211260000000001</v>
      </c>
      <c r="D59" s="92">
        <v>5.8150050000000002</v>
      </c>
      <c r="E59" s="92">
        <v>5.7261790000000001</v>
      </c>
      <c r="F59" s="92">
        <v>5.6708869999999996</v>
      </c>
      <c r="G59" s="92">
        <v>5.6364150000000004</v>
      </c>
      <c r="H59" s="92">
        <v>5.5889559999999996</v>
      </c>
      <c r="I59" s="92">
        <v>5.5406930000000001</v>
      </c>
      <c r="J59" s="92">
        <v>5.4803899999999999</v>
      </c>
      <c r="K59" s="92">
        <v>5.4188489999999998</v>
      </c>
      <c r="L59" s="92">
        <v>5.3674910000000002</v>
      </c>
      <c r="M59" s="92">
        <v>5.3360620000000001</v>
      </c>
      <c r="N59" s="92">
        <v>5.3021260000000003</v>
      </c>
      <c r="O59" s="92">
        <v>5.2741230000000003</v>
      </c>
      <c r="P59" s="92">
        <v>5.25631</v>
      </c>
      <c r="Q59" s="92">
        <v>5.2378020000000003</v>
      </c>
      <c r="R59" s="92">
        <v>5.2322259999999998</v>
      </c>
      <c r="S59" s="92">
        <v>5.2306210000000002</v>
      </c>
      <c r="T59" s="92">
        <v>5.2322899999999999</v>
      </c>
      <c r="U59" s="92">
        <v>5.2416010000000002</v>
      </c>
      <c r="V59" s="92">
        <v>5.2565660000000003</v>
      </c>
      <c r="W59" s="92">
        <v>5.2744609999999996</v>
      </c>
      <c r="X59" s="92">
        <v>5.2923179999999999</v>
      </c>
      <c r="Y59" s="92">
        <v>5.3090260000000002</v>
      </c>
      <c r="Z59" s="92">
        <v>5.323563</v>
      </c>
      <c r="AA59" s="92">
        <v>5.3446429999999996</v>
      </c>
      <c r="AB59" s="92">
        <v>5.367305</v>
      </c>
      <c r="AC59" s="92">
        <v>5.3838540000000004</v>
      </c>
      <c r="AD59" s="92">
        <v>5.4034690000000003</v>
      </c>
      <c r="AE59" s="92">
        <v>5.43954</v>
      </c>
      <c r="AF59" s="89">
        <v>-3.0249999999999999E-3</v>
      </c>
      <c r="AG59" s="96"/>
    </row>
    <row r="60" spans="1:33" ht="24.75" x14ac:dyDescent="0.25">
      <c r="A60" s="99" t="s">
        <v>648</v>
      </c>
      <c r="B60" s="87" t="s">
        <v>649</v>
      </c>
      <c r="C60" s="92">
        <v>4.3913000000000001E-2</v>
      </c>
      <c r="D60" s="92">
        <v>4.5564E-2</v>
      </c>
      <c r="E60" s="92">
        <v>4.6540999999999999E-2</v>
      </c>
      <c r="F60" s="92">
        <v>4.7204999999999997E-2</v>
      </c>
      <c r="G60" s="92">
        <v>4.7899999999999998E-2</v>
      </c>
      <c r="H60" s="92">
        <v>4.8571000000000003E-2</v>
      </c>
      <c r="I60" s="92">
        <v>4.9133000000000003E-2</v>
      </c>
      <c r="J60" s="92">
        <v>4.9707000000000001E-2</v>
      </c>
      <c r="K60" s="92">
        <v>5.015E-2</v>
      </c>
      <c r="L60" s="92">
        <v>5.0598999999999998E-2</v>
      </c>
      <c r="M60" s="92">
        <v>5.1139999999999998E-2</v>
      </c>
      <c r="N60" s="92">
        <v>5.1727000000000002E-2</v>
      </c>
      <c r="O60" s="92">
        <v>5.2368999999999999E-2</v>
      </c>
      <c r="P60" s="92">
        <v>5.2923999999999999E-2</v>
      </c>
      <c r="Q60" s="92">
        <v>5.3456999999999998E-2</v>
      </c>
      <c r="R60" s="92">
        <v>5.3973E-2</v>
      </c>
      <c r="S60" s="92">
        <v>5.4510000000000003E-2</v>
      </c>
      <c r="T60" s="92">
        <v>5.5034E-2</v>
      </c>
      <c r="U60" s="92">
        <v>5.5627000000000003E-2</v>
      </c>
      <c r="V60" s="92">
        <v>5.6181000000000002E-2</v>
      </c>
      <c r="W60" s="92">
        <v>5.6753999999999999E-2</v>
      </c>
      <c r="X60" s="92">
        <v>5.7258000000000003E-2</v>
      </c>
      <c r="Y60" s="92">
        <v>5.7815999999999999E-2</v>
      </c>
      <c r="Z60" s="92">
        <v>5.8367000000000002E-2</v>
      </c>
      <c r="AA60" s="92">
        <v>5.9116000000000002E-2</v>
      </c>
      <c r="AB60" s="92">
        <v>5.9750999999999999E-2</v>
      </c>
      <c r="AC60" s="92">
        <v>6.0444999999999999E-2</v>
      </c>
      <c r="AD60" s="92">
        <v>6.1081000000000003E-2</v>
      </c>
      <c r="AE60" s="92">
        <v>6.1848E-2</v>
      </c>
      <c r="AF60" s="89">
        <v>1.2305999999999999E-2</v>
      </c>
      <c r="AG60" s="96"/>
    </row>
    <row r="61" spans="1:33" ht="24.75" x14ac:dyDescent="0.25">
      <c r="A61" s="99" t="s">
        <v>650</v>
      </c>
      <c r="B61" s="87" t="s">
        <v>651</v>
      </c>
      <c r="C61" s="92">
        <v>0.48138199999999998</v>
      </c>
      <c r="D61" s="92">
        <v>0.47482200000000002</v>
      </c>
      <c r="E61" s="92">
        <v>0.49412899999999998</v>
      </c>
      <c r="F61" s="92">
        <v>0.48220400000000002</v>
      </c>
      <c r="G61" s="92">
        <v>0.46188000000000001</v>
      </c>
      <c r="H61" s="92">
        <v>0.44609500000000002</v>
      </c>
      <c r="I61" s="92">
        <v>0.439745</v>
      </c>
      <c r="J61" s="92">
        <v>0.44452599999999998</v>
      </c>
      <c r="K61" s="92">
        <v>0.44189200000000001</v>
      </c>
      <c r="L61" s="92">
        <v>0.44342300000000001</v>
      </c>
      <c r="M61" s="92">
        <v>0.44743699999999997</v>
      </c>
      <c r="N61" s="92">
        <v>0.45064799999999999</v>
      </c>
      <c r="O61" s="92">
        <v>0.45266600000000001</v>
      </c>
      <c r="P61" s="92">
        <v>0.455515</v>
      </c>
      <c r="Q61" s="92">
        <v>0.45589400000000002</v>
      </c>
      <c r="R61" s="92">
        <v>0.45686199999999999</v>
      </c>
      <c r="S61" s="92">
        <v>0.45827499999999999</v>
      </c>
      <c r="T61" s="92">
        <v>0.45760899999999999</v>
      </c>
      <c r="U61" s="92">
        <v>0.45812799999999998</v>
      </c>
      <c r="V61" s="92">
        <v>0.461673</v>
      </c>
      <c r="W61" s="92">
        <v>0.464588</v>
      </c>
      <c r="X61" s="92">
        <v>0.46493699999999999</v>
      </c>
      <c r="Y61" s="92">
        <v>0.46492299999999998</v>
      </c>
      <c r="Z61" s="92">
        <v>0.46477099999999999</v>
      </c>
      <c r="AA61" s="92">
        <v>0.46576699999999999</v>
      </c>
      <c r="AB61" s="92">
        <v>0.46815499999999999</v>
      </c>
      <c r="AC61" s="92">
        <v>0.47133999999999998</v>
      </c>
      <c r="AD61" s="92">
        <v>0.47259899999999999</v>
      </c>
      <c r="AE61" s="92">
        <v>0.47572900000000001</v>
      </c>
      <c r="AF61" s="89">
        <v>-4.2200000000000001E-4</v>
      </c>
      <c r="AG61" s="96"/>
    </row>
    <row r="62" spans="1:33" ht="36.75" x14ac:dyDescent="0.25">
      <c r="A62" s="99" t="s">
        <v>652</v>
      </c>
      <c r="B62" s="87" t="s">
        <v>653</v>
      </c>
      <c r="C62" s="92">
        <v>9.8239000000000007E-2</v>
      </c>
      <c r="D62" s="92">
        <v>9.8920999999999995E-2</v>
      </c>
      <c r="E62" s="92">
        <v>9.8114999999999994E-2</v>
      </c>
      <c r="F62" s="92">
        <v>9.7346000000000002E-2</v>
      </c>
      <c r="G62" s="92">
        <v>9.6685999999999994E-2</v>
      </c>
      <c r="H62" s="92">
        <v>9.5823000000000005E-2</v>
      </c>
      <c r="I62" s="92">
        <v>9.4964999999999994E-2</v>
      </c>
      <c r="J62" s="92">
        <v>9.3891000000000002E-2</v>
      </c>
      <c r="K62" s="92">
        <v>9.2919000000000002E-2</v>
      </c>
      <c r="L62" s="92">
        <v>9.2030000000000001E-2</v>
      </c>
      <c r="M62" s="92">
        <v>9.1400999999999996E-2</v>
      </c>
      <c r="N62" s="92">
        <v>9.0674000000000005E-2</v>
      </c>
      <c r="O62" s="92">
        <v>8.9934E-2</v>
      </c>
      <c r="P62" s="92">
        <v>8.9168999999999998E-2</v>
      </c>
      <c r="Q62" s="92">
        <v>8.8332999999999995E-2</v>
      </c>
      <c r="R62" s="92">
        <v>8.7614999999999998E-2</v>
      </c>
      <c r="S62" s="92">
        <v>8.6832999999999994E-2</v>
      </c>
      <c r="T62" s="92">
        <v>8.6156999999999997E-2</v>
      </c>
      <c r="U62" s="92">
        <v>8.5473999999999994E-2</v>
      </c>
      <c r="V62" s="92">
        <v>8.4846000000000005E-2</v>
      </c>
      <c r="W62" s="92">
        <v>8.4274000000000002E-2</v>
      </c>
      <c r="X62" s="92">
        <v>8.3705000000000002E-2</v>
      </c>
      <c r="Y62" s="92">
        <v>8.3102999999999996E-2</v>
      </c>
      <c r="Z62" s="92">
        <v>8.2418000000000005E-2</v>
      </c>
      <c r="AA62" s="92">
        <v>8.1855999999999998E-2</v>
      </c>
      <c r="AB62" s="92">
        <v>8.1249000000000002E-2</v>
      </c>
      <c r="AC62" s="92">
        <v>8.0573000000000006E-2</v>
      </c>
      <c r="AD62" s="92">
        <v>7.9990000000000006E-2</v>
      </c>
      <c r="AE62" s="92">
        <v>7.9592999999999997E-2</v>
      </c>
      <c r="AF62" s="89">
        <v>-7.489E-3</v>
      </c>
      <c r="AG62" s="96"/>
    </row>
    <row r="63" spans="1:33" ht="48.75" x14ac:dyDescent="0.25">
      <c r="A63" s="99" t="s">
        <v>654</v>
      </c>
      <c r="B63" s="87" t="s">
        <v>655</v>
      </c>
      <c r="C63" s="92">
        <v>0.93502799999999997</v>
      </c>
      <c r="D63" s="92">
        <v>0.88183</v>
      </c>
      <c r="E63" s="92">
        <v>0.87772700000000003</v>
      </c>
      <c r="F63" s="92">
        <v>0.87860400000000005</v>
      </c>
      <c r="G63" s="92">
        <v>0.87124999999999997</v>
      </c>
      <c r="H63" s="92">
        <v>0.86844900000000003</v>
      </c>
      <c r="I63" s="92">
        <v>0.86268900000000004</v>
      </c>
      <c r="J63" s="92">
        <v>0.85914199999999996</v>
      </c>
      <c r="K63" s="92">
        <v>0.85663400000000001</v>
      </c>
      <c r="L63" s="92">
        <v>0.85713600000000001</v>
      </c>
      <c r="M63" s="92">
        <v>0.857437</v>
      </c>
      <c r="N63" s="92">
        <v>0.85799999999999998</v>
      </c>
      <c r="O63" s="92">
        <v>0.85775999999999997</v>
      </c>
      <c r="P63" s="92">
        <v>0.85821800000000004</v>
      </c>
      <c r="Q63" s="92">
        <v>0.85754699999999995</v>
      </c>
      <c r="R63" s="92">
        <v>0.85761399999999999</v>
      </c>
      <c r="S63" s="92">
        <v>0.85763500000000004</v>
      </c>
      <c r="T63" s="92">
        <v>0.85734999999999995</v>
      </c>
      <c r="U63" s="92">
        <v>0.85724500000000003</v>
      </c>
      <c r="V63" s="92">
        <v>0.85730099999999998</v>
      </c>
      <c r="W63" s="92">
        <v>0.85782999999999998</v>
      </c>
      <c r="X63" s="92">
        <v>0.85782000000000003</v>
      </c>
      <c r="Y63" s="92">
        <v>0.85804800000000003</v>
      </c>
      <c r="Z63" s="92">
        <v>0.85806800000000005</v>
      </c>
      <c r="AA63" s="92">
        <v>0.86063299999999998</v>
      </c>
      <c r="AB63" s="92">
        <v>0.86092400000000002</v>
      </c>
      <c r="AC63" s="92">
        <v>0.85983399999999999</v>
      </c>
      <c r="AD63" s="92">
        <v>0.85912200000000005</v>
      </c>
      <c r="AE63" s="92">
        <v>0.85809500000000005</v>
      </c>
      <c r="AF63" s="89">
        <v>-3.0620000000000001E-3</v>
      </c>
      <c r="AG63" s="96"/>
    </row>
    <row r="64" spans="1:33" ht="36.75" x14ac:dyDescent="0.25">
      <c r="A64" s="99" t="s">
        <v>656</v>
      </c>
      <c r="B64" s="87" t="s">
        <v>657</v>
      </c>
      <c r="C64" s="92">
        <v>0.20283699999999999</v>
      </c>
      <c r="D64" s="92">
        <v>0.19916300000000001</v>
      </c>
      <c r="E64" s="92">
        <v>0.19580500000000001</v>
      </c>
      <c r="F64" s="92">
        <v>0.19373699999999999</v>
      </c>
      <c r="G64" s="92">
        <v>0.19281300000000001</v>
      </c>
      <c r="H64" s="92">
        <v>0.19189700000000001</v>
      </c>
      <c r="I64" s="92">
        <v>0.19073399999999999</v>
      </c>
      <c r="J64" s="92">
        <v>0.18920999999999999</v>
      </c>
      <c r="K64" s="92">
        <v>0.18740399999999999</v>
      </c>
      <c r="L64" s="92">
        <v>0.18567700000000001</v>
      </c>
      <c r="M64" s="92">
        <v>0.18446699999999999</v>
      </c>
      <c r="N64" s="92">
        <v>0.18361</v>
      </c>
      <c r="O64" s="92">
        <v>0.182778</v>
      </c>
      <c r="P64" s="92">
        <v>0.18199799999999999</v>
      </c>
      <c r="Q64" s="92">
        <v>0.18145</v>
      </c>
      <c r="R64" s="92">
        <v>0.18110599999999999</v>
      </c>
      <c r="S64" s="92">
        <v>0.18074599999999999</v>
      </c>
      <c r="T64" s="92">
        <v>0.18038299999999999</v>
      </c>
      <c r="U64" s="92">
        <v>0.18029500000000001</v>
      </c>
      <c r="V64" s="92">
        <v>0.18016099999999999</v>
      </c>
      <c r="W64" s="92">
        <v>0.17998800000000001</v>
      </c>
      <c r="X64" s="92">
        <v>0.179814</v>
      </c>
      <c r="Y64" s="92">
        <v>0.17955699999999999</v>
      </c>
      <c r="Z64" s="92">
        <v>0.17924399999999999</v>
      </c>
      <c r="AA64" s="92">
        <v>0.17895</v>
      </c>
      <c r="AB64" s="92">
        <v>0.178728</v>
      </c>
      <c r="AC64" s="92">
        <v>0.17849100000000001</v>
      </c>
      <c r="AD64" s="92">
        <v>0.178228</v>
      </c>
      <c r="AE64" s="92">
        <v>0.17815600000000001</v>
      </c>
      <c r="AF64" s="89">
        <v>-4.6230000000000004E-3</v>
      </c>
      <c r="AG64" s="96"/>
    </row>
    <row r="65" spans="1:33" x14ac:dyDescent="0.25">
      <c r="A65" s="99" t="s">
        <v>658</v>
      </c>
      <c r="B65" s="87" t="s">
        <v>659</v>
      </c>
      <c r="C65" s="92">
        <v>2.8028080000000002</v>
      </c>
      <c r="D65" s="92">
        <v>3.008168</v>
      </c>
      <c r="E65" s="92">
        <v>3.0512030000000001</v>
      </c>
      <c r="F65" s="92">
        <v>3.0571109999999999</v>
      </c>
      <c r="G65" s="92">
        <v>3.095898</v>
      </c>
      <c r="H65" s="92">
        <v>3.1342270000000001</v>
      </c>
      <c r="I65" s="92">
        <v>3.164552</v>
      </c>
      <c r="J65" s="92">
        <v>3.1871079999999998</v>
      </c>
      <c r="K65" s="92">
        <v>3.2029380000000001</v>
      </c>
      <c r="L65" s="92">
        <v>3.2187830000000002</v>
      </c>
      <c r="M65" s="92">
        <v>3.2439369999999998</v>
      </c>
      <c r="N65" s="92">
        <v>3.270448</v>
      </c>
      <c r="O65" s="92">
        <v>3.294403</v>
      </c>
      <c r="P65" s="92">
        <v>3.322924</v>
      </c>
      <c r="Q65" s="92">
        <v>3.3598249999999998</v>
      </c>
      <c r="R65" s="92">
        <v>3.4038949999999999</v>
      </c>
      <c r="S65" s="92">
        <v>3.4501719999999998</v>
      </c>
      <c r="T65" s="92">
        <v>3.498488</v>
      </c>
      <c r="U65" s="92">
        <v>3.5546440000000001</v>
      </c>
      <c r="V65" s="92">
        <v>3.608403</v>
      </c>
      <c r="W65" s="92">
        <v>3.6630980000000002</v>
      </c>
      <c r="X65" s="92">
        <v>3.7186249999999998</v>
      </c>
      <c r="Y65" s="92">
        <v>3.7740100000000001</v>
      </c>
      <c r="Z65" s="92">
        <v>3.8279190000000001</v>
      </c>
      <c r="AA65" s="92">
        <v>3.8804340000000002</v>
      </c>
      <c r="AB65" s="92">
        <v>3.9367380000000001</v>
      </c>
      <c r="AC65" s="92">
        <v>3.9936039999999999</v>
      </c>
      <c r="AD65" s="92">
        <v>4.0496509999999999</v>
      </c>
      <c r="AE65" s="92">
        <v>4.112158</v>
      </c>
      <c r="AF65" s="89">
        <v>1.3783999999999999E-2</v>
      </c>
      <c r="AG65" s="96"/>
    </row>
    <row r="66" spans="1:33" ht="24.75" x14ac:dyDescent="0.25">
      <c r="A66" s="99" t="s">
        <v>660</v>
      </c>
      <c r="B66" s="87" t="s">
        <v>661</v>
      </c>
      <c r="C66" s="92">
        <v>0.43083199999999999</v>
      </c>
      <c r="D66" s="92">
        <v>0.43313099999999999</v>
      </c>
      <c r="E66" s="92">
        <v>0.43396800000000002</v>
      </c>
      <c r="F66" s="92">
        <v>0.43462800000000001</v>
      </c>
      <c r="G66" s="92">
        <v>0.43516199999999999</v>
      </c>
      <c r="H66" s="92">
        <v>0.43594699999999997</v>
      </c>
      <c r="I66" s="92">
        <v>0.43650600000000001</v>
      </c>
      <c r="J66" s="92">
        <v>0.43695099999999998</v>
      </c>
      <c r="K66" s="92">
        <v>0.437332</v>
      </c>
      <c r="L66" s="92">
        <v>0.43757600000000002</v>
      </c>
      <c r="M66" s="92">
        <v>0.43774400000000002</v>
      </c>
      <c r="N66" s="92">
        <v>0.43782700000000002</v>
      </c>
      <c r="O66" s="92">
        <v>0.43785800000000002</v>
      </c>
      <c r="P66" s="92">
        <v>0.43787900000000002</v>
      </c>
      <c r="Q66" s="92">
        <v>0.438004</v>
      </c>
      <c r="R66" s="92">
        <v>0.43820300000000001</v>
      </c>
      <c r="S66" s="92">
        <v>0.43841200000000002</v>
      </c>
      <c r="T66" s="92">
        <v>0.43863099999999999</v>
      </c>
      <c r="U66" s="92">
        <v>0.43885800000000003</v>
      </c>
      <c r="V66" s="92">
        <v>0.43909300000000001</v>
      </c>
      <c r="W66" s="92">
        <v>0.43933499999999998</v>
      </c>
      <c r="X66" s="92">
        <v>0.43958399999999997</v>
      </c>
      <c r="Y66" s="92">
        <v>0.43983899999999998</v>
      </c>
      <c r="Z66" s="92">
        <v>0.44009900000000002</v>
      </c>
      <c r="AA66" s="92">
        <v>0.44036399999999998</v>
      </c>
      <c r="AB66" s="92">
        <v>0.440633</v>
      </c>
      <c r="AC66" s="92">
        <v>0.44090699999999999</v>
      </c>
      <c r="AD66" s="92">
        <v>0.44118400000000002</v>
      </c>
      <c r="AE66" s="92">
        <v>0.441465</v>
      </c>
      <c r="AF66" s="89">
        <v>8.7100000000000003E-4</v>
      </c>
      <c r="AG66" s="96"/>
    </row>
    <row r="67" spans="1:33" ht="24.75" x14ac:dyDescent="0.25">
      <c r="A67" s="99" t="s">
        <v>662</v>
      </c>
      <c r="B67" s="87" t="s">
        <v>663</v>
      </c>
      <c r="C67" s="92">
        <v>0.125945</v>
      </c>
      <c r="D67" s="92">
        <v>0.12592500000000001</v>
      </c>
      <c r="E67" s="92">
        <v>0.12601200000000001</v>
      </c>
      <c r="F67" s="92">
        <v>0.12605</v>
      </c>
      <c r="G67" s="92">
        <v>0.126114</v>
      </c>
      <c r="H67" s="92">
        <v>0.12598400000000001</v>
      </c>
      <c r="I67" s="92">
        <v>0.12585299999999999</v>
      </c>
      <c r="J67" s="92">
        <v>0.12575500000000001</v>
      </c>
      <c r="K67" s="92">
        <v>0.12565200000000001</v>
      </c>
      <c r="L67" s="92">
        <v>0.12554599999999999</v>
      </c>
      <c r="M67" s="92">
        <v>0.12543899999999999</v>
      </c>
      <c r="N67" s="92">
        <v>0.12533</v>
      </c>
      <c r="O67" s="92">
        <v>0.12525</v>
      </c>
      <c r="P67" s="92">
        <v>0.125225</v>
      </c>
      <c r="Q67" s="92">
        <v>0.12525500000000001</v>
      </c>
      <c r="R67" s="92">
        <v>0.12531800000000001</v>
      </c>
      <c r="S67" s="92">
        <v>0.125412</v>
      </c>
      <c r="T67" s="92">
        <v>0.125527</v>
      </c>
      <c r="U67" s="92">
        <v>0.125667</v>
      </c>
      <c r="V67" s="92">
        <v>0.12579699999999999</v>
      </c>
      <c r="W67" s="92">
        <v>0.12592500000000001</v>
      </c>
      <c r="X67" s="92">
        <v>0.12604599999999999</v>
      </c>
      <c r="Y67" s="92">
        <v>0.126166</v>
      </c>
      <c r="Z67" s="92">
        <v>0.12631999999999999</v>
      </c>
      <c r="AA67" s="92">
        <v>0.12649199999999999</v>
      </c>
      <c r="AB67" s="92">
        <v>0.126661</v>
      </c>
      <c r="AC67" s="92">
        <v>0.12681100000000001</v>
      </c>
      <c r="AD67" s="92">
        <v>0.126974</v>
      </c>
      <c r="AE67" s="92">
        <v>0.12715899999999999</v>
      </c>
      <c r="AF67" s="89">
        <v>3.4200000000000002E-4</v>
      </c>
      <c r="AG67" s="96"/>
    </row>
    <row r="68" spans="1:33" ht="36.75" x14ac:dyDescent="0.25">
      <c r="A68" s="99" t="s">
        <v>664</v>
      </c>
      <c r="B68" s="87" t="s">
        <v>665</v>
      </c>
      <c r="C68" s="92">
        <v>0.90573199999999998</v>
      </c>
      <c r="D68" s="92">
        <v>0.82054300000000002</v>
      </c>
      <c r="E68" s="92">
        <v>0.76098200000000005</v>
      </c>
      <c r="F68" s="92">
        <v>0.72675199999999995</v>
      </c>
      <c r="G68" s="92">
        <v>0.69584999999999997</v>
      </c>
      <c r="H68" s="92">
        <v>0.65398500000000004</v>
      </c>
      <c r="I68" s="92">
        <v>0.61392800000000003</v>
      </c>
      <c r="J68" s="92">
        <v>0.61203300000000005</v>
      </c>
      <c r="K68" s="92">
        <v>0.61031599999999997</v>
      </c>
      <c r="L68" s="92">
        <v>0.61189700000000002</v>
      </c>
      <c r="M68" s="92">
        <v>0.61776399999999998</v>
      </c>
      <c r="N68" s="92">
        <v>0.62628499999999998</v>
      </c>
      <c r="O68" s="92">
        <v>0.63076699999999997</v>
      </c>
      <c r="P68" s="92">
        <v>0.63347699999999996</v>
      </c>
      <c r="Q68" s="92">
        <v>0.63400299999999998</v>
      </c>
      <c r="R68" s="92">
        <v>0.63296799999999998</v>
      </c>
      <c r="S68" s="92">
        <v>0.63783100000000004</v>
      </c>
      <c r="T68" s="92">
        <v>0.63666800000000001</v>
      </c>
      <c r="U68" s="92">
        <v>0.64580700000000002</v>
      </c>
      <c r="V68" s="92">
        <v>0.65242699999999998</v>
      </c>
      <c r="W68" s="92">
        <v>0.65816600000000003</v>
      </c>
      <c r="X68" s="92">
        <v>0.66099399999999997</v>
      </c>
      <c r="Y68" s="92">
        <v>0.66509499999999999</v>
      </c>
      <c r="Z68" s="92">
        <v>0.66920299999999999</v>
      </c>
      <c r="AA68" s="92">
        <v>0.67453399999999997</v>
      </c>
      <c r="AB68" s="92">
        <v>0.68213500000000005</v>
      </c>
      <c r="AC68" s="92">
        <v>0.68949099999999997</v>
      </c>
      <c r="AD68" s="92">
        <v>0.691882</v>
      </c>
      <c r="AE68" s="92">
        <v>0.69677699999999998</v>
      </c>
      <c r="AF68" s="89">
        <v>-9.3229999999999997E-3</v>
      </c>
      <c r="AG68" s="96"/>
    </row>
    <row r="69" spans="1:33" ht="60.75" x14ac:dyDescent="0.25">
      <c r="A69" s="99" t="s">
        <v>666</v>
      </c>
      <c r="B69" s="87" t="s">
        <v>667</v>
      </c>
      <c r="C69" s="92">
        <v>0.33252300000000001</v>
      </c>
      <c r="D69" s="92">
        <v>0.377971</v>
      </c>
      <c r="E69" s="92">
        <v>0.38400499999999999</v>
      </c>
      <c r="F69" s="92">
        <v>0.40878300000000001</v>
      </c>
      <c r="G69" s="92">
        <v>0.44626100000000002</v>
      </c>
      <c r="H69" s="92">
        <v>0.47717300000000001</v>
      </c>
      <c r="I69" s="92">
        <v>0.50361</v>
      </c>
      <c r="J69" s="92">
        <v>0.52757100000000001</v>
      </c>
      <c r="K69" s="92">
        <v>0.57796899999999996</v>
      </c>
      <c r="L69" s="92">
        <v>0.62836700000000001</v>
      </c>
      <c r="M69" s="92">
        <v>0.68000400000000005</v>
      </c>
      <c r="N69" s="92">
        <v>0.72916400000000003</v>
      </c>
      <c r="O69" s="92">
        <v>0.77116200000000001</v>
      </c>
      <c r="P69" s="92">
        <v>0.79636099999999999</v>
      </c>
      <c r="Q69" s="92">
        <v>0.81439899999999998</v>
      </c>
      <c r="R69" s="92">
        <v>0.82996000000000003</v>
      </c>
      <c r="S69" s="92">
        <v>0.83835999999999999</v>
      </c>
      <c r="T69" s="92">
        <v>0.83835999999999999</v>
      </c>
      <c r="U69" s="92">
        <v>0.83959799999999996</v>
      </c>
      <c r="V69" s="92">
        <v>0.83835999999999999</v>
      </c>
      <c r="W69" s="92">
        <v>0.83835999999999999</v>
      </c>
      <c r="X69" s="92">
        <v>0.83835999999999999</v>
      </c>
      <c r="Y69" s="92">
        <v>0.83959799999999996</v>
      </c>
      <c r="Z69" s="92">
        <v>0.83835999999999999</v>
      </c>
      <c r="AA69" s="92">
        <v>0.83835999999999999</v>
      </c>
      <c r="AB69" s="92">
        <v>0.83835999999999999</v>
      </c>
      <c r="AC69" s="92">
        <v>0.83959799999999996</v>
      </c>
      <c r="AD69" s="92">
        <v>0.83835999999999999</v>
      </c>
      <c r="AE69" s="92">
        <v>0.83835999999999999</v>
      </c>
      <c r="AF69" s="89">
        <v>3.3577999999999997E-2</v>
      </c>
      <c r="AG69" s="96"/>
    </row>
    <row r="70" spans="1:33" x14ac:dyDescent="0.25">
      <c r="A70" s="99" t="s">
        <v>668</v>
      </c>
      <c r="B70" s="86" t="s">
        <v>669</v>
      </c>
      <c r="C70" s="93">
        <v>27.986006</v>
      </c>
      <c r="D70" s="93">
        <v>28.032028</v>
      </c>
      <c r="E70" s="93">
        <v>27.776655000000002</v>
      </c>
      <c r="F70" s="93">
        <v>27.465699999999998</v>
      </c>
      <c r="G70" s="93">
        <v>27.255044999999999</v>
      </c>
      <c r="H70" s="93">
        <v>27.051918000000001</v>
      </c>
      <c r="I70" s="93">
        <v>26.819282999999999</v>
      </c>
      <c r="J70" s="93">
        <v>26.592269999999999</v>
      </c>
      <c r="K70" s="93">
        <v>26.360721999999999</v>
      </c>
      <c r="L70" s="93">
        <v>26.162958</v>
      </c>
      <c r="M70" s="93">
        <v>26.008129</v>
      </c>
      <c r="N70" s="93">
        <v>25.897749000000001</v>
      </c>
      <c r="O70" s="93">
        <v>25.802094</v>
      </c>
      <c r="P70" s="93">
        <v>25.704211999999998</v>
      </c>
      <c r="Q70" s="93">
        <v>25.598514999999999</v>
      </c>
      <c r="R70" s="93">
        <v>25.533525000000001</v>
      </c>
      <c r="S70" s="93">
        <v>25.493338000000001</v>
      </c>
      <c r="T70" s="93">
        <v>25.449311999999999</v>
      </c>
      <c r="U70" s="93">
        <v>25.46059</v>
      </c>
      <c r="V70" s="93">
        <v>25.485914000000001</v>
      </c>
      <c r="W70" s="93">
        <v>25.531475</v>
      </c>
      <c r="X70" s="93">
        <v>25.583796</v>
      </c>
      <c r="Y70" s="93">
        <v>25.657437999999999</v>
      </c>
      <c r="Z70" s="93">
        <v>25.744152</v>
      </c>
      <c r="AA70" s="93">
        <v>25.868386999999998</v>
      </c>
      <c r="AB70" s="93">
        <v>26.019403000000001</v>
      </c>
      <c r="AC70" s="93">
        <v>26.175443999999999</v>
      </c>
      <c r="AD70" s="93">
        <v>26.332941000000002</v>
      </c>
      <c r="AE70" s="93">
        <v>26.540414999999999</v>
      </c>
      <c r="AF70" s="91">
        <v>-1.892E-3</v>
      </c>
      <c r="AG70" s="96"/>
    </row>
    <row r="71" spans="1:33" x14ac:dyDescent="0.25">
      <c r="A71" s="97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6"/>
      <c r="AF71" s="96"/>
      <c r="AG71" s="96"/>
    </row>
    <row r="72" spans="1:33" ht="48.75" x14ac:dyDescent="0.25">
      <c r="A72" s="97"/>
      <c r="B72" s="86" t="s">
        <v>670</v>
      </c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  <c r="AD72" s="96"/>
      <c r="AE72" s="96"/>
      <c r="AF72" s="96"/>
      <c r="AG72" s="96"/>
    </row>
    <row r="73" spans="1:33" ht="36.75" x14ac:dyDescent="0.25">
      <c r="A73" s="99" t="s">
        <v>671</v>
      </c>
      <c r="B73" s="87" t="s">
        <v>641</v>
      </c>
      <c r="C73" s="92">
        <v>7.8874019999999998</v>
      </c>
      <c r="D73" s="92">
        <v>7.9122269999999997</v>
      </c>
      <c r="E73" s="92">
        <v>7.8274340000000002</v>
      </c>
      <c r="F73" s="92">
        <v>7.7041750000000002</v>
      </c>
      <c r="G73" s="92">
        <v>7.6036460000000003</v>
      </c>
      <c r="H73" s="92">
        <v>7.5184980000000001</v>
      </c>
      <c r="I73" s="92">
        <v>7.419035</v>
      </c>
      <c r="J73" s="92">
        <v>7.3065249999999997</v>
      </c>
      <c r="K73" s="92">
        <v>7.1853569999999998</v>
      </c>
      <c r="L73" s="92">
        <v>7.0706910000000001</v>
      </c>
      <c r="M73" s="92">
        <v>6.9570160000000003</v>
      </c>
      <c r="N73" s="92">
        <v>6.8672800000000001</v>
      </c>
      <c r="O73" s="92">
        <v>6.7902670000000001</v>
      </c>
      <c r="P73" s="92">
        <v>6.712955</v>
      </c>
      <c r="Q73" s="92">
        <v>6.6337719999999996</v>
      </c>
      <c r="R73" s="92">
        <v>6.566808</v>
      </c>
      <c r="S73" s="92">
        <v>6.509881</v>
      </c>
      <c r="T73" s="92">
        <v>6.457382</v>
      </c>
      <c r="U73" s="92">
        <v>6.4183839999999996</v>
      </c>
      <c r="V73" s="92">
        <v>6.3855760000000004</v>
      </c>
      <c r="W73" s="92">
        <v>6.3615849999999998</v>
      </c>
      <c r="X73" s="92">
        <v>6.3450730000000002</v>
      </c>
      <c r="Y73" s="92">
        <v>6.3401059999999996</v>
      </c>
      <c r="Z73" s="92">
        <v>6.3454620000000004</v>
      </c>
      <c r="AA73" s="92">
        <v>6.3641899999999998</v>
      </c>
      <c r="AB73" s="92">
        <v>6.3931519999999997</v>
      </c>
      <c r="AC73" s="92">
        <v>6.428598</v>
      </c>
      <c r="AD73" s="92">
        <v>6.4683789999999997</v>
      </c>
      <c r="AE73" s="92">
        <v>6.5181990000000001</v>
      </c>
      <c r="AF73" s="89">
        <v>-6.7860000000000004E-3</v>
      </c>
      <c r="AG73" s="96"/>
    </row>
    <row r="74" spans="1:33" ht="48.75" x14ac:dyDescent="0.25">
      <c r="A74" s="99" t="s">
        <v>672</v>
      </c>
      <c r="B74" s="87" t="s">
        <v>643</v>
      </c>
      <c r="C74" s="92">
        <v>0.496809</v>
      </c>
      <c r="D74" s="92">
        <v>0.49219299999999999</v>
      </c>
      <c r="E74" s="92">
        <v>0.48331400000000002</v>
      </c>
      <c r="F74" s="92">
        <v>0.47684199999999999</v>
      </c>
      <c r="G74" s="92">
        <v>0.472221</v>
      </c>
      <c r="H74" s="92">
        <v>0.46793200000000001</v>
      </c>
      <c r="I74" s="92">
        <v>0.46471200000000001</v>
      </c>
      <c r="J74" s="92">
        <v>0.46205299999999999</v>
      </c>
      <c r="K74" s="92">
        <v>0.45911099999999999</v>
      </c>
      <c r="L74" s="92">
        <v>0.45708399999999999</v>
      </c>
      <c r="M74" s="92">
        <v>0.45675399999999999</v>
      </c>
      <c r="N74" s="92">
        <v>0.45698899999999998</v>
      </c>
      <c r="O74" s="92">
        <v>0.457814</v>
      </c>
      <c r="P74" s="92">
        <v>0.45909100000000003</v>
      </c>
      <c r="Q74" s="92">
        <v>0.46056399999999997</v>
      </c>
      <c r="R74" s="92">
        <v>0.462619</v>
      </c>
      <c r="S74" s="92">
        <v>0.46518900000000002</v>
      </c>
      <c r="T74" s="92">
        <v>0.46762300000000001</v>
      </c>
      <c r="U74" s="92">
        <v>0.47117599999999998</v>
      </c>
      <c r="V74" s="92">
        <v>0.47543600000000003</v>
      </c>
      <c r="W74" s="92">
        <v>0.47985299999999997</v>
      </c>
      <c r="X74" s="92">
        <v>0.48379299999999997</v>
      </c>
      <c r="Y74" s="92">
        <v>0.48735400000000001</v>
      </c>
      <c r="Z74" s="92">
        <v>0.49135299999999998</v>
      </c>
      <c r="AA74" s="92">
        <v>0.49600300000000003</v>
      </c>
      <c r="AB74" s="92">
        <v>0.50156500000000004</v>
      </c>
      <c r="AC74" s="92">
        <v>0.50649100000000002</v>
      </c>
      <c r="AD74" s="92">
        <v>0.51146199999999997</v>
      </c>
      <c r="AE74" s="92">
        <v>0.51798100000000002</v>
      </c>
      <c r="AF74" s="89">
        <v>1.4920000000000001E-3</v>
      </c>
      <c r="AG74" s="96"/>
    </row>
    <row r="75" spans="1:33" ht="36.75" x14ac:dyDescent="0.25">
      <c r="A75" s="99" t="s">
        <v>673</v>
      </c>
      <c r="B75" s="87" t="s">
        <v>645</v>
      </c>
      <c r="C75" s="92">
        <v>0.105213</v>
      </c>
      <c r="D75" s="92">
        <v>0.11029600000000001</v>
      </c>
      <c r="E75" s="92">
        <v>0.11259</v>
      </c>
      <c r="F75" s="92">
        <v>0.113083</v>
      </c>
      <c r="G75" s="92">
        <v>0.113492</v>
      </c>
      <c r="H75" s="92">
        <v>0.113737</v>
      </c>
      <c r="I75" s="92">
        <v>0.113843</v>
      </c>
      <c r="J75" s="92">
        <v>0.113729</v>
      </c>
      <c r="K75" s="92">
        <v>0.11343399999999999</v>
      </c>
      <c r="L75" s="92">
        <v>0.112917</v>
      </c>
      <c r="M75" s="92">
        <v>0.112403</v>
      </c>
      <c r="N75" s="92">
        <v>0.11212900000000001</v>
      </c>
      <c r="O75" s="92">
        <v>0.111806</v>
      </c>
      <c r="P75" s="92">
        <v>0.11138099999999999</v>
      </c>
      <c r="Q75" s="92">
        <v>0.110915</v>
      </c>
      <c r="R75" s="92">
        <v>0.110151</v>
      </c>
      <c r="S75" s="92">
        <v>0.109477</v>
      </c>
      <c r="T75" s="92">
        <v>0.108762</v>
      </c>
      <c r="U75" s="92">
        <v>0.107969</v>
      </c>
      <c r="V75" s="92">
        <v>0.107129</v>
      </c>
      <c r="W75" s="92">
        <v>0.10628799999999999</v>
      </c>
      <c r="X75" s="92">
        <v>0.105307</v>
      </c>
      <c r="Y75" s="92">
        <v>0.104391</v>
      </c>
      <c r="Z75" s="92">
        <v>0.103434</v>
      </c>
      <c r="AA75" s="92">
        <v>0.102605</v>
      </c>
      <c r="AB75" s="92">
        <v>0.101578</v>
      </c>
      <c r="AC75" s="92">
        <v>0.10058599999999999</v>
      </c>
      <c r="AD75" s="92">
        <v>9.9506999999999998E-2</v>
      </c>
      <c r="AE75" s="92">
        <v>9.8460000000000006E-2</v>
      </c>
      <c r="AF75" s="89">
        <v>-2.366E-3</v>
      </c>
      <c r="AG75" s="96"/>
    </row>
    <row r="76" spans="1:33" ht="24.75" x14ac:dyDescent="0.25">
      <c r="A76" s="99" t="s">
        <v>674</v>
      </c>
      <c r="B76" s="87" t="s">
        <v>647</v>
      </c>
      <c r="C76" s="92">
        <v>2.850965</v>
      </c>
      <c r="D76" s="92">
        <v>2.8004340000000001</v>
      </c>
      <c r="E76" s="92">
        <v>2.7581639999999998</v>
      </c>
      <c r="F76" s="92">
        <v>2.7321939999999998</v>
      </c>
      <c r="G76" s="92">
        <v>2.7161360000000001</v>
      </c>
      <c r="H76" s="92">
        <v>2.6936719999999998</v>
      </c>
      <c r="I76" s="92">
        <v>2.6712570000000002</v>
      </c>
      <c r="J76" s="92">
        <v>2.6429619999999998</v>
      </c>
      <c r="K76" s="92">
        <v>2.6141770000000002</v>
      </c>
      <c r="L76" s="92">
        <v>2.5901740000000002</v>
      </c>
      <c r="M76" s="92">
        <v>2.5759319999999999</v>
      </c>
      <c r="N76" s="92">
        <v>2.560368</v>
      </c>
      <c r="O76" s="92">
        <v>2.5477449999999999</v>
      </c>
      <c r="P76" s="92">
        <v>2.5398450000000001</v>
      </c>
      <c r="Q76" s="92">
        <v>2.5316429999999999</v>
      </c>
      <c r="R76" s="92">
        <v>2.5296340000000002</v>
      </c>
      <c r="S76" s="92">
        <v>2.5295000000000001</v>
      </c>
      <c r="T76" s="92">
        <v>2.5309710000000001</v>
      </c>
      <c r="U76" s="92">
        <v>2.536117</v>
      </c>
      <c r="V76" s="92">
        <v>2.5440339999999999</v>
      </c>
      <c r="W76" s="92">
        <v>2.553331</v>
      </c>
      <c r="X76" s="92">
        <v>2.5625979999999999</v>
      </c>
      <c r="Y76" s="92">
        <v>2.571348</v>
      </c>
      <c r="Z76" s="92">
        <v>2.5790220000000001</v>
      </c>
      <c r="AA76" s="92">
        <v>2.5899839999999998</v>
      </c>
      <c r="AB76" s="92">
        <v>2.6017070000000002</v>
      </c>
      <c r="AC76" s="92">
        <v>2.6103890000000001</v>
      </c>
      <c r="AD76" s="92">
        <v>2.6206119999999999</v>
      </c>
      <c r="AE76" s="92">
        <v>2.6388850000000001</v>
      </c>
      <c r="AF76" s="89">
        <v>-2.7569999999999999E-3</v>
      </c>
      <c r="AG76" s="96"/>
    </row>
    <row r="77" spans="1:33" ht="24.75" x14ac:dyDescent="0.25">
      <c r="A77" s="99" t="s">
        <v>675</v>
      </c>
      <c r="B77" s="87" t="s">
        <v>649</v>
      </c>
      <c r="C77" s="92">
        <v>2.0781000000000001E-2</v>
      </c>
      <c r="D77" s="92">
        <v>2.1562999999999999E-2</v>
      </c>
      <c r="E77" s="92">
        <v>2.2024999999999999E-2</v>
      </c>
      <c r="F77" s="92">
        <v>2.2339999999999999E-2</v>
      </c>
      <c r="G77" s="92">
        <v>2.2668000000000001E-2</v>
      </c>
      <c r="H77" s="92">
        <v>2.2984000000000001E-2</v>
      </c>
      <c r="I77" s="92">
        <v>2.3251000000000001E-2</v>
      </c>
      <c r="J77" s="92">
        <v>2.3522999999999999E-2</v>
      </c>
      <c r="K77" s="92">
        <v>2.3733000000000001E-2</v>
      </c>
      <c r="L77" s="92">
        <v>2.3945000000000001E-2</v>
      </c>
      <c r="M77" s="92">
        <v>2.4201E-2</v>
      </c>
      <c r="N77" s="92">
        <v>2.4479000000000001E-2</v>
      </c>
      <c r="O77" s="92">
        <v>2.4782999999999999E-2</v>
      </c>
      <c r="P77" s="92">
        <v>2.5045000000000001E-2</v>
      </c>
      <c r="Q77" s="92">
        <v>2.5298000000000001E-2</v>
      </c>
      <c r="R77" s="92">
        <v>2.5541999999999999E-2</v>
      </c>
      <c r="S77" s="92">
        <v>2.5795999999999999E-2</v>
      </c>
      <c r="T77" s="92">
        <v>2.6044000000000001E-2</v>
      </c>
      <c r="U77" s="92">
        <v>2.6325000000000001E-2</v>
      </c>
      <c r="V77" s="92">
        <v>2.6587E-2</v>
      </c>
      <c r="W77" s="92">
        <v>2.6858E-2</v>
      </c>
      <c r="X77" s="92">
        <v>2.7097E-2</v>
      </c>
      <c r="Y77" s="92">
        <v>2.7361E-2</v>
      </c>
      <c r="Z77" s="92">
        <v>2.7622000000000001E-2</v>
      </c>
      <c r="AA77" s="92">
        <v>2.7976999999999998E-2</v>
      </c>
      <c r="AB77" s="92">
        <v>2.8278000000000001E-2</v>
      </c>
      <c r="AC77" s="92">
        <v>2.8604999999999998E-2</v>
      </c>
      <c r="AD77" s="92">
        <v>2.8906000000000001E-2</v>
      </c>
      <c r="AE77" s="92">
        <v>2.9270000000000001E-2</v>
      </c>
      <c r="AF77" s="89">
        <v>1.2307999999999999E-2</v>
      </c>
      <c r="AG77" s="96"/>
    </row>
    <row r="78" spans="1:33" ht="24.75" x14ac:dyDescent="0.25">
      <c r="A78" s="99" t="s">
        <v>676</v>
      </c>
      <c r="B78" s="87" t="s">
        <v>651</v>
      </c>
      <c r="C78" s="92">
        <v>0.22834699999999999</v>
      </c>
      <c r="D78" s="92">
        <v>0.22523399999999999</v>
      </c>
      <c r="E78" s="92">
        <v>0.234373</v>
      </c>
      <c r="F78" s="92">
        <v>0.228717</v>
      </c>
      <c r="G78" s="92">
        <v>0.21906</v>
      </c>
      <c r="H78" s="92">
        <v>0.21154500000000001</v>
      </c>
      <c r="I78" s="92">
        <v>0.208541</v>
      </c>
      <c r="J78" s="92">
        <v>0.21080599999999999</v>
      </c>
      <c r="K78" s="92">
        <v>0.209559</v>
      </c>
      <c r="L78" s="92">
        <v>0.21027599999999999</v>
      </c>
      <c r="M78" s="92">
        <v>0.21217800000000001</v>
      </c>
      <c r="N78" s="92">
        <v>0.21369199999999999</v>
      </c>
      <c r="O78" s="92">
        <v>0.21465000000000001</v>
      </c>
      <c r="P78" s="92">
        <v>0.21598899999999999</v>
      </c>
      <c r="Q78" s="92">
        <v>0.216165</v>
      </c>
      <c r="R78" s="92">
        <v>0.216616</v>
      </c>
      <c r="S78" s="92">
        <v>0.21728</v>
      </c>
      <c r="T78" s="92">
        <v>0.21695600000000001</v>
      </c>
      <c r="U78" s="92">
        <v>0.217194</v>
      </c>
      <c r="V78" s="92">
        <v>0.218865</v>
      </c>
      <c r="W78" s="92">
        <v>0.22023400000000001</v>
      </c>
      <c r="X78" s="92">
        <v>0.220387</v>
      </c>
      <c r="Y78" s="92">
        <v>0.22037000000000001</v>
      </c>
      <c r="Z78" s="92">
        <v>0.22028300000000001</v>
      </c>
      <c r="AA78" s="92">
        <v>0.220747</v>
      </c>
      <c r="AB78" s="92">
        <v>0.22186600000000001</v>
      </c>
      <c r="AC78" s="92">
        <v>0.223355</v>
      </c>
      <c r="AD78" s="92">
        <v>0.223935</v>
      </c>
      <c r="AE78" s="92">
        <v>0.225407</v>
      </c>
      <c r="AF78" s="89">
        <v>-4.6299999999999998E-4</v>
      </c>
      <c r="AG78" s="96"/>
    </row>
    <row r="79" spans="1:33" ht="36.75" x14ac:dyDescent="0.25">
      <c r="A79" s="99" t="s">
        <v>677</v>
      </c>
      <c r="B79" s="87" t="s">
        <v>653</v>
      </c>
      <c r="C79" s="92">
        <v>4.6526999999999999E-2</v>
      </c>
      <c r="D79" s="92">
        <v>4.6852999999999999E-2</v>
      </c>
      <c r="E79" s="92">
        <v>4.6469999999999997E-2</v>
      </c>
      <c r="F79" s="92">
        <v>4.6109999999999998E-2</v>
      </c>
      <c r="G79" s="92">
        <v>4.5796000000000003E-2</v>
      </c>
      <c r="H79" s="92">
        <v>4.5385000000000002E-2</v>
      </c>
      <c r="I79" s="92">
        <v>4.4983000000000002E-2</v>
      </c>
      <c r="J79" s="92">
        <v>4.4476000000000002E-2</v>
      </c>
      <c r="K79" s="92">
        <v>4.4019999999999997E-2</v>
      </c>
      <c r="L79" s="92">
        <v>4.36E-2</v>
      </c>
      <c r="M79" s="92">
        <v>4.3305999999999997E-2</v>
      </c>
      <c r="N79" s="92">
        <v>4.2963000000000001E-2</v>
      </c>
      <c r="O79" s="92">
        <v>4.2617000000000002E-2</v>
      </c>
      <c r="P79" s="92">
        <v>4.2256000000000002E-2</v>
      </c>
      <c r="Q79" s="92">
        <v>4.1862999999999997E-2</v>
      </c>
      <c r="R79" s="92">
        <v>4.1524999999999999E-2</v>
      </c>
      <c r="S79" s="92">
        <v>4.1158E-2</v>
      </c>
      <c r="T79" s="92">
        <v>4.0840000000000001E-2</v>
      </c>
      <c r="U79" s="92">
        <v>4.0518999999999999E-2</v>
      </c>
      <c r="V79" s="92">
        <v>4.0222000000000001E-2</v>
      </c>
      <c r="W79" s="92">
        <v>3.9949999999999999E-2</v>
      </c>
      <c r="X79" s="92">
        <v>3.9681000000000001E-2</v>
      </c>
      <c r="Y79" s="92">
        <v>3.9394999999999999E-2</v>
      </c>
      <c r="Z79" s="92">
        <v>3.9070000000000001E-2</v>
      </c>
      <c r="AA79" s="92">
        <v>3.8804999999999999E-2</v>
      </c>
      <c r="AB79" s="92">
        <v>3.8517000000000003E-2</v>
      </c>
      <c r="AC79" s="92">
        <v>3.8196000000000001E-2</v>
      </c>
      <c r="AD79" s="92">
        <v>3.7919000000000001E-2</v>
      </c>
      <c r="AE79" s="92">
        <v>3.7732000000000002E-2</v>
      </c>
      <c r="AF79" s="89">
        <v>-7.4549999999999998E-3</v>
      </c>
      <c r="AG79" s="96"/>
    </row>
    <row r="80" spans="1:33" ht="48.75" x14ac:dyDescent="0.25">
      <c r="A80" s="99" t="s">
        <v>678</v>
      </c>
      <c r="B80" s="87" t="s">
        <v>655</v>
      </c>
      <c r="C80" s="92">
        <v>0.41703200000000001</v>
      </c>
      <c r="D80" s="92">
        <v>0.39771000000000001</v>
      </c>
      <c r="E80" s="92">
        <v>0.396229</v>
      </c>
      <c r="F80" s="92">
        <v>0.39661299999999999</v>
      </c>
      <c r="G80" s="92">
        <v>0.39397500000000002</v>
      </c>
      <c r="H80" s="92">
        <v>0.39299699999999999</v>
      </c>
      <c r="I80" s="92">
        <v>0.39095600000000003</v>
      </c>
      <c r="J80" s="92">
        <v>0.38970900000000003</v>
      </c>
      <c r="K80" s="92">
        <v>0.388847</v>
      </c>
      <c r="L80" s="92">
        <v>0.389075</v>
      </c>
      <c r="M80" s="92">
        <v>0.38924700000000001</v>
      </c>
      <c r="N80" s="92">
        <v>0.38950699999999999</v>
      </c>
      <c r="O80" s="92">
        <v>0.38948100000000002</v>
      </c>
      <c r="P80" s="92">
        <v>0.38969799999999999</v>
      </c>
      <c r="Q80" s="92">
        <v>0.38950499999999999</v>
      </c>
      <c r="R80" s="92">
        <v>0.389575</v>
      </c>
      <c r="S80" s="92">
        <v>0.38963399999999998</v>
      </c>
      <c r="T80" s="92">
        <v>0.38958100000000001</v>
      </c>
      <c r="U80" s="92">
        <v>0.38959700000000003</v>
      </c>
      <c r="V80" s="92">
        <v>0.38967000000000002</v>
      </c>
      <c r="W80" s="92">
        <v>0.38991700000000001</v>
      </c>
      <c r="X80" s="92">
        <v>0.38996900000000001</v>
      </c>
      <c r="Y80" s="92">
        <v>0.39011299999999999</v>
      </c>
      <c r="Z80" s="92">
        <v>0.39017800000000002</v>
      </c>
      <c r="AA80" s="92">
        <v>0.391183</v>
      </c>
      <c r="AB80" s="92">
        <v>0.391349</v>
      </c>
      <c r="AC80" s="92">
        <v>0.39100600000000002</v>
      </c>
      <c r="AD80" s="92">
        <v>0.39079999999999998</v>
      </c>
      <c r="AE80" s="92">
        <v>0.39048899999999998</v>
      </c>
      <c r="AF80" s="89">
        <v>-2.346E-3</v>
      </c>
      <c r="AG80" s="96"/>
    </row>
    <row r="81" spans="1:34" ht="36.75" x14ac:dyDescent="0.25">
      <c r="A81" s="99" t="s">
        <v>679</v>
      </c>
      <c r="B81" s="87" t="s">
        <v>657</v>
      </c>
      <c r="C81" s="92">
        <v>0.11000600000000001</v>
      </c>
      <c r="D81" s="92">
        <v>0.108038</v>
      </c>
      <c r="E81" s="92">
        <v>0.106242</v>
      </c>
      <c r="F81" s="92">
        <v>0.105144</v>
      </c>
      <c r="G81" s="92">
        <v>0.104667</v>
      </c>
      <c r="H81" s="92">
        <v>0.104195</v>
      </c>
      <c r="I81" s="92">
        <v>0.103587</v>
      </c>
      <c r="J81" s="92">
        <v>0.102784</v>
      </c>
      <c r="K81" s="92">
        <v>0.101827</v>
      </c>
      <c r="L81" s="92">
        <v>0.100913</v>
      </c>
      <c r="M81" s="92">
        <v>0.10027899999999999</v>
      </c>
      <c r="N81" s="92">
        <v>9.9837999999999996E-2</v>
      </c>
      <c r="O81" s="92">
        <v>9.9408999999999997E-2</v>
      </c>
      <c r="P81" s="92">
        <v>9.9009E-2</v>
      </c>
      <c r="Q81" s="92">
        <v>9.8730999999999999E-2</v>
      </c>
      <c r="R81" s="92">
        <v>9.8563999999999999E-2</v>
      </c>
      <c r="S81" s="92">
        <v>9.8387000000000002E-2</v>
      </c>
      <c r="T81" s="92">
        <v>9.8209000000000005E-2</v>
      </c>
      <c r="U81" s="92">
        <v>9.8181000000000004E-2</v>
      </c>
      <c r="V81" s="92">
        <v>9.8125000000000004E-2</v>
      </c>
      <c r="W81" s="92">
        <v>9.8048999999999997E-2</v>
      </c>
      <c r="X81" s="92">
        <v>9.7971000000000003E-2</v>
      </c>
      <c r="Y81" s="92">
        <v>9.7849000000000005E-2</v>
      </c>
      <c r="Z81" s="92">
        <v>9.7695000000000004E-2</v>
      </c>
      <c r="AA81" s="92">
        <v>9.7552E-2</v>
      </c>
      <c r="AB81" s="92">
        <v>9.7448000000000007E-2</v>
      </c>
      <c r="AC81" s="92">
        <v>9.7337000000000007E-2</v>
      </c>
      <c r="AD81" s="92">
        <v>9.7211000000000006E-2</v>
      </c>
      <c r="AE81" s="92">
        <v>9.7187999999999997E-2</v>
      </c>
      <c r="AF81" s="89">
        <v>-4.4149999999999997E-3</v>
      </c>
      <c r="AG81" s="96"/>
      <c r="AH81" s="97"/>
    </row>
    <row r="82" spans="1:34" x14ac:dyDescent="0.25">
      <c r="A82" s="99" t="s">
        <v>680</v>
      </c>
      <c r="B82" s="87" t="s">
        <v>659</v>
      </c>
      <c r="C82" s="92">
        <v>1.355634</v>
      </c>
      <c r="D82" s="92">
        <v>1.4548650000000001</v>
      </c>
      <c r="E82" s="92">
        <v>1.475662</v>
      </c>
      <c r="F82" s="92">
        <v>1.4785189999999999</v>
      </c>
      <c r="G82" s="92">
        <v>1.497263</v>
      </c>
      <c r="H82" s="92">
        <v>1.5157860000000001</v>
      </c>
      <c r="I82" s="92">
        <v>1.5304420000000001</v>
      </c>
      <c r="J82" s="92">
        <v>1.541344</v>
      </c>
      <c r="K82" s="92">
        <v>1.5489949999999999</v>
      </c>
      <c r="L82" s="92">
        <v>1.556654</v>
      </c>
      <c r="M82" s="92">
        <v>1.568811</v>
      </c>
      <c r="N82" s="92">
        <v>1.5816239999999999</v>
      </c>
      <c r="O82" s="92">
        <v>1.593202</v>
      </c>
      <c r="P82" s="92">
        <v>1.606986</v>
      </c>
      <c r="Q82" s="92">
        <v>1.624819</v>
      </c>
      <c r="R82" s="92">
        <v>1.6461159999999999</v>
      </c>
      <c r="S82" s="92">
        <v>1.668479</v>
      </c>
      <c r="T82" s="92">
        <v>1.6918280000000001</v>
      </c>
      <c r="U82" s="92">
        <v>1.7189650000000001</v>
      </c>
      <c r="V82" s="92">
        <v>1.7449429999999999</v>
      </c>
      <c r="W82" s="92">
        <v>1.7713730000000001</v>
      </c>
      <c r="X82" s="92">
        <v>1.798206</v>
      </c>
      <c r="Y82" s="92">
        <v>1.82497</v>
      </c>
      <c r="Z82" s="92">
        <v>1.851021</v>
      </c>
      <c r="AA82" s="92">
        <v>1.876398</v>
      </c>
      <c r="AB82" s="92">
        <v>1.9036059999999999</v>
      </c>
      <c r="AC82" s="92">
        <v>1.9310860000000001</v>
      </c>
      <c r="AD82" s="92">
        <v>1.95817</v>
      </c>
      <c r="AE82" s="92">
        <v>1.988375</v>
      </c>
      <c r="AF82" s="89">
        <v>1.3774E-2</v>
      </c>
      <c r="AG82" s="96"/>
      <c r="AH82" s="97"/>
    </row>
    <row r="83" spans="1:34" ht="24.75" x14ac:dyDescent="0.25">
      <c r="A83" s="99" t="s">
        <v>681</v>
      </c>
      <c r="B83" s="87" t="s">
        <v>661</v>
      </c>
      <c r="C83" s="92">
        <v>0.20732500000000001</v>
      </c>
      <c r="D83" s="92">
        <v>0.20843100000000001</v>
      </c>
      <c r="E83" s="92">
        <v>0.20882999999999999</v>
      </c>
      <c r="F83" s="92">
        <v>0.209148</v>
      </c>
      <c r="G83" s="92">
        <v>0.209402</v>
      </c>
      <c r="H83" s="92">
        <v>0.20977399999999999</v>
      </c>
      <c r="I83" s="92">
        <v>0.21004500000000001</v>
      </c>
      <c r="J83" s="92">
        <v>0.210259</v>
      </c>
      <c r="K83" s="92">
        <v>0.21044299999999999</v>
      </c>
      <c r="L83" s="92">
        <v>0.21056</v>
      </c>
      <c r="M83" s="92">
        <v>0.21064099999999999</v>
      </c>
      <c r="N83" s="92">
        <v>0.21068000000000001</v>
      </c>
      <c r="O83" s="92">
        <v>0.210697</v>
      </c>
      <c r="P83" s="92">
        <v>0.210706</v>
      </c>
      <c r="Q83" s="92">
        <v>0.21076600000000001</v>
      </c>
      <c r="R83" s="92">
        <v>0.21086199999999999</v>
      </c>
      <c r="S83" s="92">
        <v>0.21096400000000001</v>
      </c>
      <c r="T83" s="92">
        <v>0.21106900000000001</v>
      </c>
      <c r="U83" s="92">
        <v>0.21117900000000001</v>
      </c>
      <c r="V83" s="92">
        <v>0.21129200000000001</v>
      </c>
      <c r="W83" s="92">
        <v>0.21140900000000001</v>
      </c>
      <c r="X83" s="92">
        <v>0.21152899999999999</v>
      </c>
      <c r="Y83" s="92">
        <v>0.21165200000000001</v>
      </c>
      <c r="Z83" s="92">
        <v>0.21177699999999999</v>
      </c>
      <c r="AA83" s="92">
        <v>0.21190600000000001</v>
      </c>
      <c r="AB83" s="92">
        <v>0.212036</v>
      </c>
      <c r="AC83" s="92">
        <v>0.21216699999999999</v>
      </c>
      <c r="AD83" s="92">
        <v>0.21229999999999999</v>
      </c>
      <c r="AE83" s="92">
        <v>0.21243699999999999</v>
      </c>
      <c r="AF83" s="89">
        <v>8.7000000000000001E-4</v>
      </c>
      <c r="AG83" s="96"/>
      <c r="AH83" s="97"/>
    </row>
    <row r="84" spans="1:34" ht="24.75" x14ac:dyDescent="0.25">
      <c r="A84" s="99" t="s">
        <v>682</v>
      </c>
      <c r="B84" s="87" t="s">
        <v>663</v>
      </c>
      <c r="C84" s="92">
        <v>5.9492000000000003E-2</v>
      </c>
      <c r="D84" s="92">
        <v>5.9483000000000001E-2</v>
      </c>
      <c r="E84" s="92">
        <v>5.9524000000000001E-2</v>
      </c>
      <c r="F84" s="92">
        <v>5.9541999999999998E-2</v>
      </c>
      <c r="G84" s="92">
        <v>5.9572E-2</v>
      </c>
      <c r="H84" s="92">
        <v>5.9511000000000001E-2</v>
      </c>
      <c r="I84" s="92">
        <v>5.9449000000000002E-2</v>
      </c>
      <c r="J84" s="92">
        <v>5.9402999999999997E-2</v>
      </c>
      <c r="K84" s="92">
        <v>5.9353999999999997E-2</v>
      </c>
      <c r="L84" s="92">
        <v>5.9304000000000003E-2</v>
      </c>
      <c r="M84" s="92">
        <v>5.9253E-2</v>
      </c>
      <c r="N84" s="92">
        <v>5.9201999999999998E-2</v>
      </c>
      <c r="O84" s="92">
        <v>5.9164000000000001E-2</v>
      </c>
      <c r="P84" s="92">
        <v>5.9152000000000003E-2</v>
      </c>
      <c r="Q84" s="92">
        <v>5.9166000000000003E-2</v>
      </c>
      <c r="R84" s="92">
        <v>5.9195999999999999E-2</v>
      </c>
      <c r="S84" s="92">
        <v>5.9240000000000001E-2</v>
      </c>
      <c r="T84" s="92">
        <v>5.9295E-2</v>
      </c>
      <c r="U84" s="92">
        <v>5.9360999999999997E-2</v>
      </c>
      <c r="V84" s="92">
        <v>5.9422000000000003E-2</v>
      </c>
      <c r="W84" s="92">
        <v>5.9483000000000001E-2</v>
      </c>
      <c r="X84" s="92">
        <v>5.9540000000000003E-2</v>
      </c>
      <c r="Y84" s="92">
        <v>5.9596999999999997E-2</v>
      </c>
      <c r="Z84" s="92">
        <v>5.9669E-2</v>
      </c>
      <c r="AA84" s="92">
        <v>5.9750999999999999E-2</v>
      </c>
      <c r="AB84" s="92">
        <v>5.9830000000000001E-2</v>
      </c>
      <c r="AC84" s="92">
        <v>5.9901000000000003E-2</v>
      </c>
      <c r="AD84" s="92">
        <v>5.9977999999999997E-2</v>
      </c>
      <c r="AE84" s="92">
        <v>6.0066000000000001E-2</v>
      </c>
      <c r="AF84" s="89">
        <v>3.4200000000000002E-4</v>
      </c>
      <c r="AG84" s="96"/>
      <c r="AH84" s="97"/>
    </row>
    <row r="85" spans="1:34" ht="36.75" x14ac:dyDescent="0.25">
      <c r="A85" s="99" t="s">
        <v>683</v>
      </c>
      <c r="B85" s="87" t="s">
        <v>665</v>
      </c>
      <c r="C85" s="92">
        <v>0.427838</v>
      </c>
      <c r="D85" s="92">
        <v>0.38759700000000002</v>
      </c>
      <c r="E85" s="92">
        <v>0.35946299999999998</v>
      </c>
      <c r="F85" s="92">
        <v>0.34329399999999999</v>
      </c>
      <c r="G85" s="92">
        <v>0.32869599999999999</v>
      </c>
      <c r="H85" s="92">
        <v>0.308921</v>
      </c>
      <c r="I85" s="92">
        <v>0.28999900000000001</v>
      </c>
      <c r="J85" s="92">
        <v>0.28910400000000003</v>
      </c>
      <c r="K85" s="92">
        <v>0.28829300000000002</v>
      </c>
      <c r="L85" s="92">
        <v>0.28903899999999999</v>
      </c>
      <c r="M85" s="92">
        <v>0.29181099999999999</v>
      </c>
      <c r="N85" s="92">
        <v>0.29583599999999999</v>
      </c>
      <c r="O85" s="92">
        <v>0.29795300000000002</v>
      </c>
      <c r="P85" s="92">
        <v>0.29923300000000003</v>
      </c>
      <c r="Q85" s="92">
        <v>0.29948200000000003</v>
      </c>
      <c r="R85" s="92">
        <v>0.29899300000000001</v>
      </c>
      <c r="S85" s="92">
        <v>0.30129</v>
      </c>
      <c r="T85" s="92">
        <v>0.30074099999999998</v>
      </c>
      <c r="U85" s="92">
        <v>0.305058</v>
      </c>
      <c r="V85" s="92">
        <v>0.30818499999999999</v>
      </c>
      <c r="W85" s="92">
        <v>0.31089600000000001</v>
      </c>
      <c r="X85" s="92">
        <v>0.31223099999999998</v>
      </c>
      <c r="Y85" s="92">
        <v>0.314168</v>
      </c>
      <c r="Z85" s="92">
        <v>0.31610899999999997</v>
      </c>
      <c r="AA85" s="92">
        <v>0.31862699999999999</v>
      </c>
      <c r="AB85" s="92">
        <v>0.322218</v>
      </c>
      <c r="AC85" s="92">
        <v>0.32569199999999998</v>
      </c>
      <c r="AD85" s="92">
        <v>0.326822</v>
      </c>
      <c r="AE85" s="92">
        <v>0.32913399999999998</v>
      </c>
      <c r="AF85" s="89">
        <v>-9.3229999999999997E-3</v>
      </c>
      <c r="AG85" s="96"/>
      <c r="AH85" s="97"/>
    </row>
    <row r="86" spans="1:34" ht="60.75" x14ac:dyDescent="0.25">
      <c r="A86" s="99" t="s">
        <v>684</v>
      </c>
      <c r="B86" s="87" t="s">
        <v>667</v>
      </c>
      <c r="C86" s="92">
        <v>0.15707299999999999</v>
      </c>
      <c r="D86" s="92">
        <v>0.17854100000000001</v>
      </c>
      <c r="E86" s="92">
        <v>0.181391</v>
      </c>
      <c r="F86" s="92">
        <v>0.19309499999999999</v>
      </c>
      <c r="G86" s="92">
        <v>0.21079899999999999</v>
      </c>
      <c r="H86" s="92">
        <v>0.22539999999999999</v>
      </c>
      <c r="I86" s="92">
        <v>0.23788899999999999</v>
      </c>
      <c r="J86" s="92">
        <v>0.24920700000000001</v>
      </c>
      <c r="K86" s="92">
        <v>0.27301300000000001</v>
      </c>
      <c r="L86" s="92">
        <v>0.29681999999999997</v>
      </c>
      <c r="M86" s="92">
        <v>0.32121100000000002</v>
      </c>
      <c r="N86" s="92">
        <v>0.34443299999999999</v>
      </c>
      <c r="O86" s="92">
        <v>0.36427100000000001</v>
      </c>
      <c r="P86" s="92">
        <v>0.37617400000000001</v>
      </c>
      <c r="Q86" s="92">
        <v>0.38469500000000001</v>
      </c>
      <c r="R86" s="92">
        <v>0.39204499999999998</v>
      </c>
      <c r="S86" s="92">
        <v>0.396013</v>
      </c>
      <c r="T86" s="92">
        <v>0.396013</v>
      </c>
      <c r="U86" s="92">
        <v>0.39659800000000001</v>
      </c>
      <c r="V86" s="92">
        <v>0.396013</v>
      </c>
      <c r="W86" s="92">
        <v>0.396013</v>
      </c>
      <c r="X86" s="92">
        <v>0.396013</v>
      </c>
      <c r="Y86" s="92">
        <v>0.39659800000000001</v>
      </c>
      <c r="Z86" s="92">
        <v>0.396013</v>
      </c>
      <c r="AA86" s="92">
        <v>0.396013</v>
      </c>
      <c r="AB86" s="92">
        <v>0.396013</v>
      </c>
      <c r="AC86" s="92">
        <v>0.39659800000000001</v>
      </c>
      <c r="AD86" s="92">
        <v>0.396013</v>
      </c>
      <c r="AE86" s="92">
        <v>0.396013</v>
      </c>
      <c r="AF86" s="89">
        <v>3.3577999999999997E-2</v>
      </c>
      <c r="AG86" s="96"/>
      <c r="AH86" s="97"/>
    </row>
    <row r="87" spans="1:34" x14ac:dyDescent="0.25">
      <c r="A87" s="99" t="s">
        <v>685</v>
      </c>
      <c r="B87" s="86" t="s">
        <v>669</v>
      </c>
      <c r="C87" s="93">
        <v>14.370443</v>
      </c>
      <c r="D87" s="93">
        <v>14.403465000000001</v>
      </c>
      <c r="E87" s="93">
        <v>14.271711</v>
      </c>
      <c r="F87" s="93">
        <v>14.108815</v>
      </c>
      <c r="G87" s="93">
        <v>13.997396</v>
      </c>
      <c r="H87" s="93">
        <v>13.890337000000001</v>
      </c>
      <c r="I87" s="93">
        <v>13.767988000000001</v>
      </c>
      <c r="J87" s="93">
        <v>13.645885</v>
      </c>
      <c r="K87" s="93">
        <v>13.520163999999999</v>
      </c>
      <c r="L87" s="93">
        <v>13.411051</v>
      </c>
      <c r="M87" s="93">
        <v>13.323045</v>
      </c>
      <c r="N87" s="93">
        <v>13.25902</v>
      </c>
      <c r="O87" s="93">
        <v>13.203858</v>
      </c>
      <c r="P87" s="93">
        <v>13.147519000000001</v>
      </c>
      <c r="Q87" s="93">
        <v>13.087383000000001</v>
      </c>
      <c r="R87" s="93">
        <v>13.048246000000001</v>
      </c>
      <c r="S87" s="93">
        <v>13.022289000000001</v>
      </c>
      <c r="T87" s="93">
        <v>12.995312</v>
      </c>
      <c r="U87" s="93">
        <v>12.996620999999999</v>
      </c>
      <c r="V87" s="93">
        <v>13.0055</v>
      </c>
      <c r="W87" s="93">
        <v>13.025238999999999</v>
      </c>
      <c r="X87" s="93">
        <v>13.049395000000001</v>
      </c>
      <c r="Y87" s="93">
        <v>13.085273000000001</v>
      </c>
      <c r="Z87" s="93">
        <v>13.128707</v>
      </c>
      <c r="AA87" s="93">
        <v>13.191739999999999</v>
      </c>
      <c r="AB87" s="93">
        <v>13.269163000000001</v>
      </c>
      <c r="AC87" s="93">
        <v>13.350009</v>
      </c>
      <c r="AD87" s="93">
        <v>13.432016000000001</v>
      </c>
      <c r="AE87" s="93">
        <v>13.539635000000001</v>
      </c>
      <c r="AF87" s="91">
        <v>-2.1250000000000002E-3</v>
      </c>
      <c r="AG87" s="96"/>
      <c r="AH87" s="97"/>
    </row>
    <row r="88" spans="1:34" ht="15.75" thickBot="1" x14ac:dyDescent="0.3">
      <c r="A88" s="97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  <c r="AH88" s="97"/>
    </row>
    <row r="89" spans="1:34" x14ac:dyDescent="0.25">
      <c r="A89" s="97"/>
      <c r="B89" s="129" t="s">
        <v>686</v>
      </c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30"/>
      <c r="AF89" s="130"/>
      <c r="AG89" s="130"/>
      <c r="AH89" s="98"/>
    </row>
    <row r="90" spans="1:34" x14ac:dyDescent="0.25">
      <c r="A90" s="97"/>
      <c r="B90" s="96" t="s">
        <v>687</v>
      </c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  <c r="AH90" s="97"/>
    </row>
    <row r="91" spans="1:34" x14ac:dyDescent="0.25">
      <c r="A91" s="97"/>
      <c r="B91" s="96" t="s">
        <v>688</v>
      </c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  <c r="AH91" s="97"/>
    </row>
    <row r="92" spans="1:34" x14ac:dyDescent="0.25">
      <c r="A92" s="97"/>
      <c r="B92" s="96" t="s">
        <v>689</v>
      </c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  <c r="AH92" s="97"/>
    </row>
    <row r="93" spans="1:34" x14ac:dyDescent="0.25">
      <c r="A93" s="97"/>
      <c r="B93" s="96" t="s">
        <v>690</v>
      </c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  <c r="AH93" s="97"/>
    </row>
    <row r="94" spans="1:34" x14ac:dyDescent="0.25">
      <c r="A94" s="97"/>
      <c r="B94" s="96" t="s">
        <v>691</v>
      </c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  <c r="AH94" s="97"/>
    </row>
    <row r="95" spans="1:34" x14ac:dyDescent="0.25">
      <c r="A95" s="97"/>
      <c r="B95" s="96" t="s">
        <v>692</v>
      </c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  <c r="AH95" s="97"/>
    </row>
    <row r="96" spans="1:34" x14ac:dyDescent="0.25">
      <c r="A96" s="97"/>
      <c r="B96" s="96" t="s">
        <v>693</v>
      </c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  <c r="AH96" s="97"/>
    </row>
    <row r="97" spans="2:33" x14ac:dyDescent="0.25">
      <c r="B97" s="96" t="s">
        <v>566</v>
      </c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25">
      <c r="B98" s="96" t="s">
        <v>694</v>
      </c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25">
      <c r="B99" s="96" t="s">
        <v>695</v>
      </c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25">
      <c r="B100" s="96" t="s">
        <v>696</v>
      </c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2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2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2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2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2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2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2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2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2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</row>
    <row r="110" spans="2:33" x14ac:dyDescent="0.25"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</row>
    <row r="111" spans="2:33" x14ac:dyDescent="0.25"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  <c r="AG111" s="96"/>
    </row>
    <row r="112" spans="2:33" x14ac:dyDescent="0.25"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/>
      <c r="AC112" s="131"/>
      <c r="AD112" s="131"/>
      <c r="AE112" s="131"/>
      <c r="AF112" s="131"/>
      <c r="AG112" s="96"/>
    </row>
    <row r="113" spans="2:33" x14ac:dyDescent="0.25"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  <c r="AG113" s="96"/>
    </row>
    <row r="114" spans="2:33" x14ac:dyDescent="0.25"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  <c r="AD114" s="96"/>
      <c r="AE114" s="96"/>
      <c r="AF114" s="96"/>
      <c r="AG114" s="96"/>
    </row>
    <row r="115" spans="2:33" x14ac:dyDescent="0.25"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96"/>
      <c r="AD115" s="96"/>
      <c r="AE115" s="96"/>
      <c r="AF115" s="96"/>
      <c r="AG115" s="96"/>
    </row>
    <row r="116" spans="2:33" x14ac:dyDescent="0.25"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  <c r="AD116" s="96"/>
      <c r="AE116" s="96"/>
      <c r="AF116" s="96"/>
      <c r="AG116" s="96"/>
    </row>
    <row r="117" spans="2:33" x14ac:dyDescent="0.25"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  <c r="AF117" s="96"/>
      <c r="AG117" s="96"/>
    </row>
    <row r="118" spans="2:33" x14ac:dyDescent="0.25"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  <c r="AD118" s="96"/>
      <c r="AE118" s="96"/>
      <c r="AF118" s="96"/>
      <c r="AG118" s="96"/>
    </row>
    <row r="119" spans="2:33" x14ac:dyDescent="0.25"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  <c r="AD119" s="96"/>
      <c r="AE119" s="96"/>
      <c r="AF119" s="96"/>
      <c r="AG119" s="96"/>
    </row>
    <row r="120" spans="2:33" x14ac:dyDescent="0.25"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  <c r="AD120" s="96"/>
      <c r="AE120" s="96"/>
      <c r="AF120" s="96"/>
      <c r="AG120" s="96"/>
    </row>
    <row r="121" spans="2:33" x14ac:dyDescent="0.25"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  <c r="AE121" s="96"/>
      <c r="AF121" s="96"/>
      <c r="AG121" s="96"/>
    </row>
    <row r="122" spans="2:33" x14ac:dyDescent="0.25"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  <c r="AC122" s="96"/>
      <c r="AD122" s="96"/>
      <c r="AE122" s="96"/>
      <c r="AF122" s="96"/>
      <c r="AG122" s="96"/>
    </row>
    <row r="123" spans="2:33" x14ac:dyDescent="0.25"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  <c r="AD123" s="96"/>
      <c r="AE123" s="96"/>
      <c r="AF123" s="96"/>
      <c r="AG123" s="96"/>
    </row>
    <row r="124" spans="2:33" x14ac:dyDescent="0.25"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  <c r="AC124" s="96"/>
      <c r="AD124" s="96"/>
      <c r="AE124" s="96"/>
      <c r="AF124" s="96"/>
      <c r="AG124" s="96"/>
    </row>
    <row r="125" spans="2:33" x14ac:dyDescent="0.25"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  <c r="AD125" s="96"/>
      <c r="AE125" s="96"/>
      <c r="AF125" s="96"/>
      <c r="AG125" s="96"/>
    </row>
    <row r="126" spans="2:33" x14ac:dyDescent="0.25"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6"/>
    </row>
    <row r="127" spans="2:33" x14ac:dyDescent="0.25"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  <c r="AD127" s="96"/>
      <c r="AE127" s="96"/>
      <c r="AF127" s="96"/>
      <c r="AG127" s="96"/>
    </row>
    <row r="128" spans="2:33" x14ac:dyDescent="0.25"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  <c r="AC128" s="96"/>
      <c r="AD128" s="96"/>
      <c r="AE128" s="96"/>
      <c r="AF128" s="96"/>
      <c r="AG128" s="96"/>
    </row>
    <row r="129" spans="2:33" x14ac:dyDescent="0.25"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  <c r="AC129" s="96"/>
      <c r="AD129" s="96"/>
      <c r="AE129" s="96"/>
      <c r="AF129" s="96"/>
      <c r="AG129" s="96"/>
    </row>
    <row r="130" spans="2:33" x14ac:dyDescent="0.25"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  <c r="AC130" s="96"/>
      <c r="AD130" s="96"/>
      <c r="AE130" s="96"/>
      <c r="AF130" s="96"/>
      <c r="AG130" s="96"/>
    </row>
    <row r="131" spans="2:33" x14ac:dyDescent="0.25"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96"/>
      <c r="AD131" s="96"/>
      <c r="AE131" s="96"/>
      <c r="AF131" s="96"/>
      <c r="AG131" s="96"/>
    </row>
    <row r="132" spans="2:33" x14ac:dyDescent="0.25"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  <c r="AC132" s="96"/>
      <c r="AD132" s="96"/>
      <c r="AE132" s="96"/>
      <c r="AF132" s="96"/>
      <c r="AG132" s="96"/>
    </row>
    <row r="133" spans="2:33" x14ac:dyDescent="0.25"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  <c r="AG133" s="96"/>
    </row>
    <row r="134" spans="2:33" x14ac:dyDescent="0.25"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  <c r="AC134" s="96"/>
      <c r="AD134" s="96"/>
      <c r="AE134" s="96"/>
      <c r="AF134" s="96"/>
      <c r="AG134" s="96"/>
    </row>
    <row r="135" spans="2:33" x14ac:dyDescent="0.25"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  <c r="AC135" s="96"/>
      <c r="AD135" s="96"/>
      <c r="AE135" s="96"/>
      <c r="AF135" s="96"/>
      <c r="AG135" s="96"/>
    </row>
    <row r="136" spans="2:33" x14ac:dyDescent="0.25"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96"/>
      <c r="AD136" s="96"/>
      <c r="AE136" s="96"/>
      <c r="AF136" s="96"/>
      <c r="AG136" s="96"/>
    </row>
    <row r="137" spans="2:33" x14ac:dyDescent="0.25"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96"/>
      <c r="AD137" s="96"/>
      <c r="AE137" s="96"/>
      <c r="AF137" s="96"/>
      <c r="AG137" s="96"/>
    </row>
    <row r="138" spans="2:33" x14ac:dyDescent="0.25"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  <c r="AC138" s="96"/>
      <c r="AD138" s="96"/>
      <c r="AE138" s="96"/>
      <c r="AF138" s="96"/>
      <c r="AG138" s="96"/>
    </row>
    <row r="139" spans="2:33" x14ac:dyDescent="0.25"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  <c r="AC139" s="96"/>
      <c r="AD139" s="96"/>
      <c r="AE139" s="96"/>
      <c r="AF139" s="96"/>
      <c r="AG139" s="96"/>
    </row>
    <row r="140" spans="2:33" x14ac:dyDescent="0.25"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  <c r="AC140" s="96"/>
      <c r="AD140" s="96"/>
      <c r="AE140" s="96"/>
      <c r="AF140" s="96"/>
      <c r="AG140" s="96"/>
    </row>
    <row r="141" spans="2:33" x14ac:dyDescent="0.25"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  <c r="AC141" s="96"/>
      <c r="AD141" s="96"/>
      <c r="AE141" s="96"/>
      <c r="AF141" s="96"/>
      <c r="AG141" s="96"/>
    </row>
    <row r="142" spans="2:33" x14ac:dyDescent="0.25"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  <c r="AC142" s="96"/>
      <c r="AD142" s="96"/>
      <c r="AE142" s="96"/>
      <c r="AF142" s="96"/>
      <c r="AG142" s="96"/>
    </row>
    <row r="143" spans="2:33" x14ac:dyDescent="0.25"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  <c r="AC143" s="96"/>
      <c r="AD143" s="96"/>
      <c r="AE143" s="96"/>
      <c r="AF143" s="96"/>
      <c r="AG143" s="96"/>
    </row>
    <row r="144" spans="2:33" x14ac:dyDescent="0.25"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  <c r="AC144" s="96"/>
      <c r="AD144" s="96"/>
      <c r="AE144" s="96"/>
      <c r="AF144" s="96"/>
      <c r="AG144" s="96"/>
    </row>
    <row r="145" spans="2:33" x14ac:dyDescent="0.25"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  <c r="AC145" s="96"/>
      <c r="AD145" s="96"/>
      <c r="AE145" s="96"/>
      <c r="AF145" s="96"/>
      <c r="AG145" s="96"/>
    </row>
    <row r="146" spans="2:33" x14ac:dyDescent="0.25"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  <c r="AC146" s="96"/>
      <c r="AD146" s="96"/>
      <c r="AE146" s="96"/>
      <c r="AF146" s="96"/>
      <c r="AG146" s="96"/>
    </row>
    <row r="147" spans="2:33" x14ac:dyDescent="0.25"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  <c r="AC147" s="96"/>
      <c r="AD147" s="96"/>
      <c r="AE147" s="96"/>
      <c r="AF147" s="96"/>
      <c r="AG147" s="96"/>
    </row>
    <row r="148" spans="2:33" x14ac:dyDescent="0.25"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  <c r="AC148" s="96"/>
      <c r="AD148" s="96"/>
      <c r="AE148" s="96"/>
      <c r="AF148" s="96"/>
      <c r="AG148" s="96"/>
    </row>
    <row r="149" spans="2:33" x14ac:dyDescent="0.25"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  <c r="AC149" s="96"/>
      <c r="AD149" s="96"/>
      <c r="AE149" s="96"/>
      <c r="AF149" s="96"/>
      <c r="AG149" s="96"/>
    </row>
    <row r="150" spans="2:33" x14ac:dyDescent="0.25"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  <c r="AC150" s="96"/>
      <c r="AD150" s="96"/>
      <c r="AE150" s="96"/>
      <c r="AF150" s="96"/>
      <c r="AG150" s="96"/>
    </row>
    <row r="151" spans="2:33" x14ac:dyDescent="0.25"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  <c r="AC151" s="96"/>
      <c r="AD151" s="96"/>
      <c r="AE151" s="96"/>
      <c r="AF151" s="96"/>
      <c r="AG151" s="96"/>
    </row>
    <row r="152" spans="2:33" x14ac:dyDescent="0.25"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  <c r="AC152" s="96"/>
      <c r="AD152" s="96"/>
      <c r="AE152" s="96"/>
      <c r="AF152" s="96"/>
      <c r="AG152" s="96"/>
    </row>
    <row r="153" spans="2:33" x14ac:dyDescent="0.25"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  <c r="AC153" s="96"/>
      <c r="AD153" s="96"/>
      <c r="AE153" s="96"/>
      <c r="AF153" s="96"/>
      <c r="AG153" s="96"/>
    </row>
    <row r="154" spans="2:33" x14ac:dyDescent="0.25"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  <c r="AC154" s="96"/>
      <c r="AD154" s="96"/>
      <c r="AE154" s="96"/>
      <c r="AF154" s="96"/>
      <c r="AG154" s="96"/>
    </row>
    <row r="155" spans="2:33" x14ac:dyDescent="0.25"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  <c r="AC155" s="96"/>
      <c r="AD155" s="96"/>
      <c r="AE155" s="96"/>
      <c r="AF155" s="96"/>
      <c r="AG155" s="96"/>
    </row>
    <row r="156" spans="2:33" x14ac:dyDescent="0.25"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  <c r="AC156" s="96"/>
      <c r="AD156" s="96"/>
      <c r="AE156" s="96"/>
      <c r="AF156" s="96"/>
      <c r="AG156" s="96"/>
    </row>
    <row r="157" spans="2:33" x14ac:dyDescent="0.25"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  <c r="AC157" s="96"/>
      <c r="AD157" s="96"/>
      <c r="AE157" s="96"/>
      <c r="AF157" s="96"/>
      <c r="AG157" s="96"/>
    </row>
    <row r="158" spans="2:33" x14ac:dyDescent="0.25"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  <c r="AC158" s="96"/>
      <c r="AD158" s="96"/>
      <c r="AE158" s="96"/>
      <c r="AF158" s="96"/>
      <c r="AG158" s="96"/>
    </row>
    <row r="159" spans="2:33" x14ac:dyDescent="0.25"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  <c r="AC159" s="96"/>
      <c r="AD159" s="96"/>
      <c r="AE159" s="96"/>
      <c r="AF159" s="96"/>
      <c r="AG159" s="96"/>
    </row>
    <row r="307" spans="2:32" x14ac:dyDescent="0.25"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  <c r="AA307" s="97"/>
      <c r="AB307" s="97"/>
      <c r="AC307" s="97"/>
      <c r="AD307" s="97"/>
      <c r="AE307" s="97"/>
      <c r="AF307" s="97"/>
    </row>
    <row r="308" spans="2:32" x14ac:dyDescent="0.25"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D308" s="128"/>
      <c r="AE308" s="128"/>
      <c r="AF308" s="128"/>
    </row>
    <row r="499" spans="2:32" x14ac:dyDescent="0.25"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  <c r="AA499" s="97"/>
      <c r="AB499" s="97"/>
      <c r="AC499" s="97"/>
      <c r="AD499" s="97"/>
      <c r="AE499" s="97"/>
      <c r="AF499" s="97"/>
    </row>
    <row r="509" spans="2:32" x14ac:dyDescent="0.25"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  <c r="AA509" s="97"/>
      <c r="AB509" s="97"/>
      <c r="AC509" s="97"/>
      <c r="AD509" s="97"/>
      <c r="AE509" s="97"/>
      <c r="AF509" s="97"/>
    </row>
    <row r="510" spans="2:32" x14ac:dyDescent="0.25"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  <c r="AA510" s="97"/>
      <c r="AB510" s="97"/>
      <c r="AC510" s="97"/>
      <c r="AD510" s="97"/>
      <c r="AE510" s="97"/>
      <c r="AF510" s="97"/>
    </row>
    <row r="511" spans="2:32" x14ac:dyDescent="0.25"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D511" s="128"/>
      <c r="AE511" s="128"/>
      <c r="AF511" s="128"/>
    </row>
    <row r="711" spans="2:32" x14ac:dyDescent="0.25"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  <c r="AA711" s="97"/>
      <c r="AB711" s="97"/>
      <c r="AC711" s="97"/>
      <c r="AD711" s="97"/>
      <c r="AE711" s="97"/>
      <c r="AF711" s="97"/>
    </row>
    <row r="712" spans="2:32" x14ac:dyDescent="0.25"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D712" s="128"/>
      <c r="AE712" s="128"/>
      <c r="AF712" s="128"/>
    </row>
    <row r="886" spans="2:32" x14ac:dyDescent="0.25"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  <c r="AA886" s="97"/>
      <c r="AB886" s="97"/>
      <c r="AC886" s="97"/>
      <c r="AD886" s="97"/>
      <c r="AE886" s="97"/>
      <c r="AF886" s="97"/>
    </row>
    <row r="887" spans="2:32" x14ac:dyDescent="0.25"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  <c r="AC887" s="128"/>
      <c r="AD887" s="128"/>
      <c r="AE887" s="128"/>
      <c r="AF887" s="128"/>
    </row>
    <row r="1096" spans="2:32" x14ac:dyDescent="0.25">
      <c r="B1096" s="97"/>
      <c r="C1096" s="97"/>
      <c r="D1096" s="97"/>
      <c r="E1096" s="97"/>
      <c r="F1096" s="97"/>
      <c r="G1096" s="97"/>
      <c r="H1096" s="97"/>
      <c r="I1096" s="97"/>
      <c r="J1096" s="97"/>
      <c r="K1096" s="97"/>
      <c r="L1096" s="97"/>
      <c r="M1096" s="97"/>
      <c r="N1096" s="97"/>
      <c r="O1096" s="97"/>
      <c r="P1096" s="97"/>
      <c r="Q1096" s="97"/>
      <c r="R1096" s="97"/>
      <c r="S1096" s="97"/>
      <c r="T1096" s="97"/>
      <c r="U1096" s="97"/>
      <c r="V1096" s="97"/>
      <c r="W1096" s="97"/>
      <c r="X1096" s="97"/>
      <c r="Y1096" s="97"/>
      <c r="Z1096" s="97"/>
      <c r="AA1096" s="97"/>
      <c r="AB1096" s="97"/>
      <c r="AC1096" s="97"/>
      <c r="AD1096" s="97"/>
      <c r="AE1096" s="97"/>
      <c r="AF1096" s="97"/>
    </row>
    <row r="1100" spans="2:32" x14ac:dyDescent="0.25">
      <c r="B1100" s="97"/>
      <c r="C1100" s="97"/>
      <c r="D1100" s="97"/>
      <c r="E1100" s="97"/>
      <c r="F1100" s="97"/>
      <c r="G1100" s="97"/>
      <c r="H1100" s="97"/>
      <c r="I1100" s="97"/>
      <c r="J1100" s="97"/>
      <c r="K1100" s="97"/>
      <c r="L1100" s="97"/>
      <c r="M1100" s="97"/>
      <c r="N1100" s="97"/>
      <c r="O1100" s="97"/>
      <c r="P1100" s="97"/>
      <c r="Q1100" s="97"/>
      <c r="R1100" s="97"/>
      <c r="S1100" s="97"/>
      <c r="T1100" s="97"/>
      <c r="U1100" s="97"/>
      <c r="V1100" s="97"/>
      <c r="W1100" s="97"/>
      <c r="X1100" s="97"/>
      <c r="Y1100" s="97"/>
      <c r="Z1100" s="97"/>
      <c r="AA1100" s="97"/>
      <c r="AB1100" s="97"/>
      <c r="AC1100" s="97"/>
      <c r="AD1100" s="97"/>
      <c r="AE1100" s="97"/>
      <c r="AF1100" s="97"/>
    </row>
    <row r="1101" spans="2:32" x14ac:dyDescent="0.25">
      <c r="B1101" s="128"/>
      <c r="C1101" s="128"/>
      <c r="D1101" s="128"/>
      <c r="E1101" s="128"/>
      <c r="F1101" s="128"/>
      <c r="G1101" s="128"/>
      <c r="H1101" s="128"/>
      <c r="I1101" s="128"/>
      <c r="J1101" s="128"/>
      <c r="K1101" s="128"/>
      <c r="L1101" s="128"/>
      <c r="M1101" s="128"/>
      <c r="N1101" s="128"/>
      <c r="O1101" s="128"/>
      <c r="P1101" s="128"/>
      <c r="Q1101" s="128"/>
      <c r="R1101" s="128"/>
      <c r="S1101" s="128"/>
      <c r="T1101" s="128"/>
      <c r="U1101" s="128"/>
      <c r="V1101" s="128"/>
      <c r="W1101" s="128"/>
      <c r="X1101" s="128"/>
      <c r="Y1101" s="128"/>
      <c r="Z1101" s="128"/>
      <c r="AA1101" s="128"/>
      <c r="AB1101" s="128"/>
      <c r="AC1101" s="128"/>
      <c r="AD1101" s="128"/>
      <c r="AE1101" s="128"/>
      <c r="AF1101" s="128"/>
    </row>
    <row r="1228" spans="2:32" x14ac:dyDescent="0.25">
      <c r="B1228" s="97"/>
      <c r="C1228" s="97"/>
      <c r="D1228" s="97"/>
      <c r="E1228" s="97"/>
      <c r="F1228" s="97"/>
      <c r="G1228" s="97"/>
      <c r="H1228" s="97"/>
      <c r="I1228" s="97"/>
      <c r="J1228" s="97"/>
      <c r="K1228" s="97"/>
      <c r="L1228" s="97"/>
      <c r="M1228" s="97"/>
      <c r="N1228" s="97"/>
      <c r="O1228" s="97"/>
      <c r="P1228" s="97"/>
      <c r="Q1228" s="97"/>
      <c r="R1228" s="97"/>
      <c r="S1228" s="97"/>
      <c r="T1228" s="97"/>
      <c r="U1228" s="97"/>
      <c r="V1228" s="97"/>
      <c r="W1228" s="97"/>
      <c r="X1228" s="97"/>
      <c r="Y1228" s="97"/>
      <c r="Z1228" s="97"/>
      <c r="AA1228" s="97"/>
      <c r="AB1228" s="97"/>
      <c r="AC1228" s="97"/>
      <c r="AD1228" s="97"/>
      <c r="AE1228" s="97"/>
      <c r="AF1228" s="97"/>
    </row>
    <row r="1229" spans="2:32" x14ac:dyDescent="0.25">
      <c r="B1229" s="128"/>
      <c r="C1229" s="128"/>
      <c r="D1229" s="128"/>
      <c r="E1229" s="128"/>
      <c r="F1229" s="128"/>
      <c r="G1229" s="128"/>
      <c r="H1229" s="128"/>
      <c r="I1229" s="128"/>
      <c r="J1229" s="128"/>
      <c r="K1229" s="128"/>
      <c r="L1229" s="128"/>
      <c r="M1229" s="128"/>
      <c r="N1229" s="128"/>
      <c r="O1229" s="128"/>
      <c r="P1229" s="128"/>
      <c r="Q1229" s="128"/>
      <c r="R1229" s="128"/>
      <c r="S1229" s="128"/>
      <c r="T1229" s="128"/>
      <c r="U1229" s="128"/>
      <c r="V1229" s="128"/>
      <c r="W1229" s="128"/>
      <c r="X1229" s="128"/>
      <c r="Y1229" s="128"/>
      <c r="Z1229" s="128"/>
      <c r="AA1229" s="128"/>
      <c r="AB1229" s="128"/>
      <c r="AC1229" s="128"/>
      <c r="AD1229" s="128"/>
      <c r="AE1229" s="128"/>
      <c r="AF1229" s="128"/>
    </row>
    <row r="1384" spans="2:32" x14ac:dyDescent="0.25">
      <c r="B1384" s="97"/>
      <c r="C1384" s="97"/>
      <c r="D1384" s="97"/>
      <c r="E1384" s="97"/>
      <c r="F1384" s="97"/>
      <c r="G1384" s="97"/>
      <c r="H1384" s="97"/>
      <c r="I1384" s="97"/>
      <c r="J1384" s="97"/>
      <c r="K1384" s="97"/>
      <c r="L1384" s="97"/>
      <c r="M1384" s="97"/>
      <c r="N1384" s="97"/>
      <c r="O1384" s="97"/>
      <c r="P1384" s="97"/>
      <c r="Q1384" s="97"/>
      <c r="R1384" s="97"/>
      <c r="S1384" s="97"/>
      <c r="T1384" s="97"/>
      <c r="U1384" s="97"/>
      <c r="V1384" s="97"/>
      <c r="W1384" s="97"/>
      <c r="X1384" s="97"/>
      <c r="Y1384" s="97"/>
      <c r="Z1384" s="97"/>
      <c r="AA1384" s="97"/>
      <c r="AB1384" s="97"/>
      <c r="AC1384" s="97"/>
      <c r="AD1384" s="97"/>
      <c r="AE1384" s="97"/>
      <c r="AF1384" s="97"/>
    </row>
    <row r="1389" spans="2:32" x14ac:dyDescent="0.25">
      <c r="B1389" s="97"/>
      <c r="C1389" s="97"/>
      <c r="D1389" s="97"/>
      <c r="E1389" s="97"/>
      <c r="F1389" s="97"/>
      <c r="G1389" s="97"/>
      <c r="H1389" s="97"/>
      <c r="I1389" s="97"/>
      <c r="J1389" s="97"/>
      <c r="K1389" s="97"/>
      <c r="L1389" s="97"/>
      <c r="M1389" s="97"/>
      <c r="N1389" s="97"/>
      <c r="O1389" s="97"/>
      <c r="P1389" s="97"/>
      <c r="Q1389" s="97"/>
      <c r="R1389" s="97"/>
      <c r="S1389" s="97"/>
      <c r="T1389" s="97"/>
      <c r="U1389" s="97"/>
      <c r="V1389" s="97"/>
      <c r="W1389" s="97"/>
      <c r="X1389" s="97"/>
      <c r="Y1389" s="97"/>
      <c r="Z1389" s="97"/>
      <c r="AA1389" s="97"/>
      <c r="AB1389" s="97"/>
      <c r="AC1389" s="97"/>
      <c r="AD1389" s="97"/>
      <c r="AE1389" s="97"/>
      <c r="AF1389" s="97"/>
    </row>
    <row r="1390" spans="2:32" x14ac:dyDescent="0.25">
      <c r="B1390" s="128"/>
      <c r="C1390" s="128"/>
      <c r="D1390" s="128"/>
      <c r="E1390" s="128"/>
      <c r="F1390" s="128"/>
      <c r="G1390" s="128"/>
      <c r="H1390" s="128"/>
      <c r="I1390" s="128"/>
      <c r="J1390" s="128"/>
      <c r="K1390" s="128"/>
      <c r="L1390" s="128"/>
      <c r="M1390" s="128"/>
      <c r="N1390" s="128"/>
      <c r="O1390" s="128"/>
      <c r="P1390" s="128"/>
      <c r="Q1390" s="128"/>
      <c r="R1390" s="128"/>
      <c r="S1390" s="128"/>
      <c r="T1390" s="128"/>
      <c r="U1390" s="128"/>
      <c r="V1390" s="128"/>
      <c r="W1390" s="128"/>
      <c r="X1390" s="128"/>
      <c r="Y1390" s="128"/>
      <c r="Z1390" s="128"/>
      <c r="AA1390" s="128"/>
      <c r="AB1390" s="128"/>
      <c r="AC1390" s="128"/>
      <c r="AD1390" s="128"/>
      <c r="AE1390" s="128"/>
      <c r="AF1390" s="128"/>
    </row>
    <row r="1490" spans="2:32" x14ac:dyDescent="0.25">
      <c r="B1490" s="97"/>
      <c r="C1490" s="97"/>
      <c r="D1490" s="97"/>
      <c r="E1490" s="97"/>
      <c r="F1490" s="97"/>
      <c r="G1490" s="97"/>
      <c r="H1490" s="97"/>
      <c r="I1490" s="97"/>
      <c r="J1490" s="97"/>
      <c r="K1490" s="97"/>
      <c r="L1490" s="97"/>
      <c r="M1490" s="97"/>
      <c r="N1490" s="97"/>
      <c r="O1490" s="97"/>
      <c r="P1490" s="97"/>
      <c r="Q1490" s="97"/>
      <c r="R1490" s="97"/>
      <c r="S1490" s="97"/>
      <c r="T1490" s="97"/>
      <c r="U1490" s="97"/>
      <c r="V1490" s="97"/>
      <c r="W1490" s="97"/>
      <c r="X1490" s="97"/>
      <c r="Y1490" s="97"/>
      <c r="Z1490" s="97"/>
      <c r="AA1490" s="97"/>
      <c r="AB1490" s="97"/>
      <c r="AC1490" s="97"/>
      <c r="AD1490" s="97"/>
      <c r="AE1490" s="97"/>
      <c r="AF1490" s="97"/>
    </row>
    <row r="1499" spans="2:32" x14ac:dyDescent="0.25">
      <c r="B1499" s="97"/>
      <c r="C1499" s="97"/>
      <c r="D1499" s="97"/>
      <c r="E1499" s="97"/>
      <c r="F1499" s="97"/>
      <c r="G1499" s="97"/>
      <c r="H1499" s="97"/>
      <c r="I1499" s="97"/>
      <c r="J1499" s="97"/>
      <c r="K1499" s="97"/>
      <c r="L1499" s="97"/>
      <c r="M1499" s="97"/>
      <c r="N1499" s="97"/>
      <c r="O1499" s="97"/>
      <c r="P1499" s="97"/>
      <c r="Q1499" s="97"/>
      <c r="R1499" s="97"/>
      <c r="S1499" s="97"/>
      <c r="T1499" s="97"/>
      <c r="U1499" s="97"/>
      <c r="V1499" s="97"/>
      <c r="W1499" s="97"/>
      <c r="X1499" s="97"/>
      <c r="Y1499" s="97"/>
      <c r="Z1499" s="97"/>
      <c r="AA1499" s="97"/>
      <c r="AB1499" s="97"/>
      <c r="AC1499" s="97"/>
      <c r="AD1499" s="97"/>
      <c r="AE1499" s="97"/>
      <c r="AF1499" s="97"/>
    </row>
    <row r="1501" spans="2:32" x14ac:dyDescent="0.25">
      <c r="B1501" s="97"/>
      <c r="C1501" s="97"/>
      <c r="D1501" s="97"/>
      <c r="E1501" s="97"/>
      <c r="F1501" s="97"/>
      <c r="G1501" s="97"/>
      <c r="H1501" s="97"/>
      <c r="I1501" s="97"/>
      <c r="J1501" s="97"/>
      <c r="K1501" s="97"/>
      <c r="L1501" s="97"/>
      <c r="M1501" s="97"/>
      <c r="N1501" s="97"/>
      <c r="O1501" s="97"/>
      <c r="P1501" s="97"/>
      <c r="Q1501" s="97"/>
      <c r="R1501" s="97"/>
      <c r="S1501" s="97"/>
      <c r="T1501" s="97"/>
      <c r="U1501" s="97"/>
      <c r="V1501" s="97"/>
      <c r="W1501" s="97"/>
      <c r="X1501" s="97"/>
      <c r="Y1501" s="97"/>
      <c r="Z1501" s="97"/>
      <c r="AA1501" s="97"/>
      <c r="AB1501" s="97"/>
      <c r="AC1501" s="97"/>
      <c r="AD1501" s="97"/>
      <c r="AE1501" s="97"/>
      <c r="AF1501" s="97"/>
    </row>
    <row r="1502" spans="2:32" x14ac:dyDescent="0.25">
      <c r="B1502" s="128"/>
      <c r="C1502" s="128"/>
      <c r="D1502" s="128"/>
      <c r="E1502" s="128"/>
      <c r="F1502" s="128"/>
      <c r="G1502" s="128"/>
      <c r="H1502" s="128"/>
      <c r="I1502" s="128"/>
      <c r="J1502" s="128"/>
      <c r="K1502" s="128"/>
      <c r="L1502" s="128"/>
      <c r="M1502" s="128"/>
      <c r="N1502" s="128"/>
      <c r="O1502" s="128"/>
      <c r="P1502" s="128"/>
      <c r="Q1502" s="128"/>
      <c r="R1502" s="128"/>
      <c r="S1502" s="128"/>
      <c r="T1502" s="128"/>
      <c r="U1502" s="128"/>
      <c r="V1502" s="128"/>
      <c r="W1502" s="128"/>
      <c r="X1502" s="128"/>
      <c r="Y1502" s="128"/>
      <c r="Z1502" s="128"/>
      <c r="AA1502" s="128"/>
      <c r="AB1502" s="128"/>
      <c r="AC1502" s="128"/>
      <c r="AD1502" s="128"/>
      <c r="AE1502" s="128"/>
      <c r="AF1502" s="128"/>
    </row>
    <row r="1603" spans="2:32" x14ac:dyDescent="0.25">
      <c r="B1603" s="97"/>
      <c r="C1603" s="97"/>
      <c r="D1603" s="97"/>
      <c r="E1603" s="97"/>
      <c r="F1603" s="97"/>
      <c r="G1603" s="97"/>
      <c r="H1603" s="97"/>
      <c r="I1603" s="97"/>
      <c r="J1603" s="97"/>
      <c r="K1603" s="97"/>
      <c r="L1603" s="97"/>
      <c r="M1603" s="97"/>
      <c r="N1603" s="97"/>
      <c r="O1603" s="97"/>
      <c r="P1603" s="97"/>
      <c r="Q1603" s="97"/>
      <c r="R1603" s="97"/>
      <c r="S1603" s="97"/>
      <c r="T1603" s="97"/>
      <c r="U1603" s="97"/>
      <c r="V1603" s="97"/>
      <c r="W1603" s="97"/>
      <c r="X1603" s="97"/>
      <c r="Y1603" s="97"/>
      <c r="Z1603" s="97"/>
      <c r="AA1603" s="97"/>
      <c r="AB1603" s="97"/>
      <c r="AC1603" s="97"/>
      <c r="AD1603" s="97"/>
      <c r="AE1603" s="97"/>
      <c r="AF1603" s="97"/>
    </row>
    <row r="1604" spans="2:32" x14ac:dyDescent="0.25">
      <c r="B1604" s="128"/>
      <c r="C1604" s="128"/>
      <c r="D1604" s="128"/>
      <c r="E1604" s="128"/>
      <c r="F1604" s="128"/>
      <c r="G1604" s="128"/>
      <c r="H1604" s="128"/>
      <c r="I1604" s="128"/>
      <c r="J1604" s="128"/>
      <c r="K1604" s="128"/>
      <c r="L1604" s="128"/>
      <c r="M1604" s="128"/>
      <c r="N1604" s="128"/>
      <c r="O1604" s="128"/>
      <c r="P1604" s="128"/>
      <c r="Q1604" s="128"/>
      <c r="R1604" s="128"/>
      <c r="S1604" s="128"/>
      <c r="T1604" s="128"/>
      <c r="U1604" s="128"/>
      <c r="V1604" s="128"/>
      <c r="W1604" s="128"/>
      <c r="X1604" s="128"/>
      <c r="Y1604" s="128"/>
      <c r="Z1604" s="128"/>
      <c r="AA1604" s="128"/>
      <c r="AB1604" s="128"/>
      <c r="AC1604" s="128"/>
      <c r="AD1604" s="128"/>
      <c r="AE1604" s="128"/>
      <c r="AF1604" s="128"/>
    </row>
    <row r="1612" spans="2:32" x14ac:dyDescent="0.25">
      <c r="B1612" s="97"/>
      <c r="C1612" s="97"/>
      <c r="D1612" s="97"/>
      <c r="E1612" s="97"/>
      <c r="F1612" s="97"/>
      <c r="G1612" s="97"/>
      <c r="H1612" s="97"/>
      <c r="I1612" s="97"/>
      <c r="J1612" s="97"/>
      <c r="K1612" s="97"/>
      <c r="L1612" s="97"/>
      <c r="M1612" s="97"/>
      <c r="N1612" s="97"/>
      <c r="O1612" s="97"/>
      <c r="P1612" s="97"/>
      <c r="Q1612" s="97"/>
      <c r="R1612" s="97"/>
      <c r="S1612" s="97"/>
      <c r="T1612" s="97"/>
      <c r="U1612" s="97"/>
      <c r="V1612" s="97"/>
      <c r="W1612" s="97"/>
      <c r="X1612" s="97"/>
      <c r="Y1612" s="97"/>
      <c r="Z1612" s="97"/>
      <c r="AA1612" s="97"/>
      <c r="AB1612" s="97"/>
      <c r="AC1612" s="97"/>
      <c r="AD1612" s="97"/>
      <c r="AE1612" s="97"/>
      <c r="AF1612" s="97"/>
    </row>
    <row r="1613" spans="2:32" x14ac:dyDescent="0.25">
      <c r="B1613" s="97"/>
      <c r="C1613" s="97"/>
      <c r="D1613" s="97"/>
      <c r="E1613" s="97"/>
      <c r="F1613" s="97"/>
      <c r="G1613" s="97"/>
      <c r="H1613" s="97"/>
      <c r="I1613" s="97"/>
      <c r="J1613" s="97"/>
      <c r="K1613" s="97"/>
      <c r="L1613" s="97"/>
      <c r="M1613" s="97"/>
      <c r="N1613" s="97"/>
      <c r="O1613" s="97"/>
      <c r="P1613" s="97"/>
      <c r="Q1613" s="97"/>
      <c r="R1613" s="97"/>
      <c r="S1613" s="97"/>
      <c r="T1613" s="97"/>
      <c r="U1613" s="97"/>
      <c r="V1613" s="97"/>
      <c r="W1613" s="97"/>
      <c r="X1613" s="97"/>
      <c r="Y1613" s="97"/>
      <c r="Z1613" s="97"/>
      <c r="AA1613" s="97"/>
      <c r="AB1613" s="97"/>
      <c r="AC1613" s="97"/>
      <c r="AD1613" s="97"/>
      <c r="AE1613" s="97"/>
      <c r="AF1613" s="97"/>
    </row>
    <row r="1614" spans="2:32" x14ac:dyDescent="0.25">
      <c r="B1614" s="97"/>
      <c r="C1614" s="97"/>
      <c r="D1614" s="97"/>
      <c r="E1614" s="97"/>
      <c r="F1614" s="97"/>
      <c r="G1614" s="97"/>
      <c r="H1614" s="97"/>
      <c r="I1614" s="97"/>
      <c r="J1614" s="97"/>
      <c r="K1614" s="97"/>
      <c r="L1614" s="97"/>
      <c r="M1614" s="97"/>
      <c r="N1614" s="97"/>
      <c r="O1614" s="97"/>
      <c r="P1614" s="97"/>
      <c r="Q1614" s="97"/>
      <c r="R1614" s="97"/>
      <c r="S1614" s="97"/>
      <c r="T1614" s="97"/>
      <c r="U1614" s="97"/>
      <c r="V1614" s="97"/>
      <c r="W1614" s="97"/>
      <c r="X1614" s="97"/>
      <c r="Y1614" s="97"/>
      <c r="Z1614" s="97"/>
      <c r="AA1614" s="97"/>
      <c r="AB1614" s="97"/>
      <c r="AC1614" s="97"/>
      <c r="AD1614" s="97"/>
      <c r="AE1614" s="97"/>
      <c r="AF1614" s="97"/>
    </row>
    <row r="1615" spans="2:32" x14ac:dyDescent="0.25">
      <c r="B1615" s="97"/>
      <c r="C1615" s="97"/>
      <c r="D1615" s="97"/>
      <c r="E1615" s="97"/>
      <c r="F1615" s="97"/>
      <c r="G1615" s="97"/>
      <c r="H1615" s="97"/>
      <c r="I1615" s="97"/>
      <c r="J1615" s="97"/>
      <c r="K1615" s="97"/>
      <c r="L1615" s="97"/>
      <c r="M1615" s="97"/>
      <c r="N1615" s="97"/>
      <c r="O1615" s="97"/>
      <c r="P1615" s="97"/>
      <c r="Q1615" s="97"/>
      <c r="R1615" s="97"/>
      <c r="S1615" s="97"/>
      <c r="T1615" s="97"/>
      <c r="U1615" s="97"/>
      <c r="V1615" s="97"/>
      <c r="W1615" s="97"/>
      <c r="X1615" s="97"/>
      <c r="Y1615" s="97"/>
      <c r="Z1615" s="97"/>
      <c r="AA1615" s="97"/>
      <c r="AB1615" s="97"/>
      <c r="AC1615" s="97"/>
      <c r="AD1615" s="97"/>
      <c r="AE1615" s="97"/>
      <c r="AF1615" s="97"/>
    </row>
    <row r="1616" spans="2:32" x14ac:dyDescent="0.25">
      <c r="B1616" s="97"/>
      <c r="C1616" s="97"/>
      <c r="D1616" s="97"/>
      <c r="E1616" s="97"/>
      <c r="F1616" s="97"/>
      <c r="G1616" s="97"/>
      <c r="H1616" s="97"/>
      <c r="I1616" s="97"/>
      <c r="J1616" s="97"/>
      <c r="K1616" s="97"/>
      <c r="L1616" s="97"/>
      <c r="M1616" s="97"/>
      <c r="N1616" s="97"/>
      <c r="O1616" s="97"/>
      <c r="P1616" s="97"/>
      <c r="Q1616" s="97"/>
      <c r="R1616" s="97"/>
      <c r="S1616" s="97"/>
      <c r="T1616" s="97"/>
      <c r="U1616" s="97"/>
      <c r="V1616" s="97"/>
      <c r="W1616" s="97"/>
      <c r="X1616" s="97"/>
      <c r="Y1616" s="97"/>
      <c r="Z1616" s="97"/>
      <c r="AA1616" s="97"/>
      <c r="AB1616" s="97"/>
      <c r="AC1616" s="97"/>
      <c r="AD1616" s="97"/>
      <c r="AE1616" s="97"/>
      <c r="AF1616" s="97"/>
    </row>
    <row r="1697" spans="2:32" x14ac:dyDescent="0.25">
      <c r="B1697" s="97"/>
      <c r="C1697" s="97"/>
      <c r="D1697" s="97"/>
      <c r="E1697" s="97"/>
      <c r="F1697" s="97"/>
      <c r="G1697" s="97"/>
      <c r="H1697" s="97"/>
      <c r="I1697" s="97"/>
      <c r="J1697" s="97"/>
      <c r="K1697" s="97"/>
      <c r="L1697" s="97"/>
      <c r="M1697" s="97"/>
      <c r="N1697" s="97"/>
      <c r="O1697" s="97"/>
      <c r="P1697" s="97"/>
      <c r="Q1697" s="97"/>
      <c r="R1697" s="97"/>
      <c r="S1697" s="97"/>
      <c r="T1697" s="97"/>
      <c r="U1697" s="97"/>
      <c r="V1697" s="97"/>
      <c r="W1697" s="97"/>
      <c r="X1697" s="97"/>
      <c r="Y1697" s="97"/>
      <c r="Z1697" s="97"/>
      <c r="AA1697" s="97"/>
      <c r="AB1697" s="97"/>
      <c r="AC1697" s="97"/>
      <c r="AD1697" s="97"/>
      <c r="AE1697" s="97"/>
      <c r="AF1697" s="97"/>
    </row>
    <row r="1698" spans="2:32" x14ac:dyDescent="0.25">
      <c r="B1698" s="97"/>
      <c r="C1698" s="97"/>
      <c r="D1698" s="97"/>
      <c r="E1698" s="97"/>
      <c r="F1698" s="97"/>
      <c r="G1698" s="97"/>
      <c r="H1698" s="97"/>
      <c r="I1698" s="97"/>
      <c r="J1698" s="97"/>
      <c r="K1698" s="97"/>
      <c r="L1698" s="97"/>
      <c r="M1698" s="97"/>
      <c r="N1698" s="97"/>
      <c r="O1698" s="97"/>
      <c r="P1698" s="97"/>
      <c r="Q1698" s="97"/>
      <c r="R1698" s="97"/>
      <c r="S1698" s="97"/>
      <c r="T1698" s="97"/>
      <c r="U1698" s="97"/>
      <c r="V1698" s="97"/>
      <c r="W1698" s="97"/>
      <c r="X1698" s="97"/>
      <c r="Y1698" s="97"/>
      <c r="Z1698" s="97"/>
      <c r="AA1698" s="97"/>
      <c r="AB1698" s="97"/>
      <c r="AC1698" s="97"/>
      <c r="AD1698" s="97"/>
      <c r="AE1698" s="97"/>
      <c r="AF1698" s="97"/>
    </row>
    <row r="1699" spans="2:32" x14ac:dyDescent="0.25">
      <c r="B1699" s="128"/>
      <c r="C1699" s="128"/>
      <c r="D1699" s="128"/>
      <c r="E1699" s="128"/>
      <c r="F1699" s="128"/>
      <c r="G1699" s="128"/>
      <c r="H1699" s="128"/>
      <c r="I1699" s="128"/>
      <c r="J1699" s="128"/>
      <c r="K1699" s="128"/>
      <c r="L1699" s="128"/>
      <c r="M1699" s="128"/>
      <c r="N1699" s="128"/>
      <c r="O1699" s="128"/>
      <c r="P1699" s="128"/>
      <c r="Q1699" s="128"/>
      <c r="R1699" s="128"/>
      <c r="S1699" s="128"/>
      <c r="T1699" s="128"/>
      <c r="U1699" s="128"/>
      <c r="V1699" s="128"/>
      <c r="W1699" s="128"/>
      <c r="X1699" s="128"/>
      <c r="Y1699" s="128"/>
      <c r="Z1699" s="128"/>
      <c r="AA1699" s="128"/>
      <c r="AB1699" s="128"/>
      <c r="AC1699" s="128"/>
      <c r="AD1699" s="128"/>
      <c r="AE1699" s="128"/>
      <c r="AF1699" s="128"/>
    </row>
    <row r="1944" spans="2:32" x14ac:dyDescent="0.25">
      <c r="B1944" s="97"/>
      <c r="C1944" s="97"/>
      <c r="D1944" s="97"/>
      <c r="E1944" s="97"/>
      <c r="F1944" s="97"/>
      <c r="G1944" s="97"/>
      <c r="H1944" s="97"/>
      <c r="I1944" s="97"/>
      <c r="J1944" s="97"/>
      <c r="K1944" s="97"/>
      <c r="L1944" s="97"/>
      <c r="M1944" s="97"/>
      <c r="N1944" s="97"/>
      <c r="O1944" s="97"/>
      <c r="P1944" s="97"/>
      <c r="Q1944" s="97"/>
      <c r="R1944" s="97"/>
      <c r="S1944" s="97"/>
      <c r="T1944" s="97"/>
      <c r="U1944" s="97"/>
      <c r="V1944" s="97"/>
      <c r="W1944" s="97"/>
      <c r="X1944" s="97"/>
      <c r="Y1944" s="97"/>
      <c r="Z1944" s="97"/>
      <c r="AA1944" s="97"/>
      <c r="AB1944" s="97"/>
      <c r="AC1944" s="97"/>
      <c r="AD1944" s="97"/>
      <c r="AE1944" s="97"/>
      <c r="AF1944" s="97"/>
    </row>
    <row r="1945" spans="2:32" x14ac:dyDescent="0.25">
      <c r="B1945" s="128"/>
      <c r="C1945" s="128"/>
      <c r="D1945" s="128"/>
      <c r="E1945" s="128"/>
      <c r="F1945" s="128"/>
      <c r="G1945" s="128"/>
      <c r="H1945" s="128"/>
      <c r="I1945" s="128"/>
      <c r="J1945" s="128"/>
      <c r="K1945" s="128"/>
      <c r="L1945" s="128"/>
      <c r="M1945" s="128"/>
      <c r="N1945" s="128"/>
      <c r="O1945" s="128"/>
      <c r="P1945" s="128"/>
      <c r="Q1945" s="128"/>
      <c r="R1945" s="128"/>
      <c r="S1945" s="128"/>
      <c r="T1945" s="128"/>
      <c r="U1945" s="128"/>
      <c r="V1945" s="128"/>
      <c r="W1945" s="128"/>
      <c r="X1945" s="128"/>
      <c r="Y1945" s="128"/>
      <c r="Z1945" s="128"/>
      <c r="AA1945" s="128"/>
      <c r="AB1945" s="128"/>
      <c r="AC1945" s="128"/>
      <c r="AD1945" s="128"/>
      <c r="AE1945" s="128"/>
      <c r="AF1945" s="128"/>
    </row>
    <row r="2021" spans="2:32" x14ac:dyDescent="0.25">
      <c r="B2021" s="97"/>
      <c r="C2021" s="97"/>
      <c r="D2021" s="97"/>
      <c r="E2021" s="97"/>
      <c r="F2021" s="97"/>
      <c r="G2021" s="97"/>
      <c r="H2021" s="97"/>
      <c r="I2021" s="97"/>
      <c r="J2021" s="97"/>
      <c r="K2021" s="97"/>
      <c r="L2021" s="97"/>
      <c r="M2021" s="97"/>
      <c r="N2021" s="97"/>
      <c r="O2021" s="97"/>
      <c r="P2021" s="97"/>
      <c r="Q2021" s="97"/>
      <c r="R2021" s="97"/>
      <c r="S2021" s="97"/>
      <c r="T2021" s="97"/>
      <c r="U2021" s="97"/>
      <c r="V2021" s="97"/>
      <c r="W2021" s="97"/>
      <c r="X2021" s="97"/>
      <c r="Y2021" s="97"/>
      <c r="Z2021" s="97"/>
      <c r="AA2021" s="97"/>
      <c r="AB2021" s="97"/>
      <c r="AC2021" s="97"/>
      <c r="AD2021" s="97"/>
      <c r="AE2021" s="97"/>
      <c r="AF2021" s="97"/>
    </row>
    <row r="2030" spans="2:32" x14ac:dyDescent="0.25">
      <c r="B2030" s="97"/>
      <c r="C2030" s="97"/>
      <c r="D2030" s="97"/>
      <c r="E2030" s="97"/>
      <c r="F2030" s="97"/>
      <c r="G2030" s="97"/>
      <c r="H2030" s="97"/>
      <c r="I2030" s="97"/>
      <c r="J2030" s="97"/>
      <c r="K2030" s="97"/>
      <c r="L2030" s="97"/>
      <c r="M2030" s="97"/>
      <c r="N2030" s="97"/>
      <c r="O2030" s="97"/>
      <c r="P2030" s="97"/>
      <c r="Q2030" s="97"/>
      <c r="R2030" s="97"/>
      <c r="S2030" s="97"/>
      <c r="T2030" s="97"/>
      <c r="U2030" s="97"/>
      <c r="V2030" s="97"/>
      <c r="W2030" s="97"/>
      <c r="X2030" s="97"/>
      <c r="Y2030" s="97"/>
      <c r="Z2030" s="97"/>
      <c r="AA2030" s="97"/>
      <c r="AB2030" s="97"/>
      <c r="AC2030" s="97"/>
      <c r="AD2030" s="97"/>
      <c r="AE2030" s="97"/>
      <c r="AF2030" s="97"/>
    </row>
    <row r="2031" spans="2:32" x14ac:dyDescent="0.25">
      <c r="B2031" s="128"/>
      <c r="C2031" s="128"/>
      <c r="D2031" s="128"/>
      <c r="E2031" s="128"/>
      <c r="F2031" s="128"/>
      <c r="G2031" s="128"/>
      <c r="H2031" s="128"/>
      <c r="I2031" s="128"/>
      <c r="J2031" s="128"/>
      <c r="K2031" s="128"/>
      <c r="L2031" s="128"/>
      <c r="M2031" s="128"/>
      <c r="N2031" s="128"/>
      <c r="O2031" s="128"/>
      <c r="P2031" s="128"/>
      <c r="Q2031" s="128"/>
      <c r="R2031" s="128"/>
      <c r="S2031" s="128"/>
      <c r="T2031" s="128"/>
      <c r="U2031" s="128"/>
      <c r="V2031" s="128"/>
      <c r="W2031" s="128"/>
      <c r="X2031" s="128"/>
      <c r="Y2031" s="128"/>
      <c r="Z2031" s="128"/>
      <c r="AA2031" s="128"/>
      <c r="AB2031" s="128"/>
      <c r="AC2031" s="128"/>
      <c r="AD2031" s="128"/>
      <c r="AE2031" s="128"/>
      <c r="AF2031" s="128"/>
    </row>
    <row r="2147" spans="2:32" x14ac:dyDescent="0.25">
      <c r="B2147" s="97"/>
      <c r="C2147" s="97"/>
      <c r="D2147" s="97"/>
      <c r="E2147" s="97"/>
      <c r="F2147" s="97"/>
      <c r="G2147" s="97"/>
      <c r="H2147" s="97"/>
      <c r="I2147" s="97"/>
      <c r="J2147" s="97"/>
      <c r="K2147" s="97"/>
      <c r="L2147" s="97"/>
      <c r="M2147" s="97"/>
      <c r="N2147" s="97"/>
      <c r="O2147" s="97"/>
      <c r="P2147" s="97"/>
      <c r="Q2147" s="97"/>
      <c r="R2147" s="97"/>
      <c r="S2147" s="97"/>
      <c r="T2147" s="97"/>
      <c r="U2147" s="97"/>
      <c r="V2147" s="97"/>
      <c r="W2147" s="97"/>
      <c r="X2147" s="97"/>
      <c r="Y2147" s="97"/>
      <c r="Z2147" s="97"/>
      <c r="AA2147" s="97"/>
      <c r="AB2147" s="97"/>
      <c r="AC2147" s="97"/>
      <c r="AD2147" s="97"/>
      <c r="AE2147" s="97"/>
      <c r="AF2147" s="97"/>
    </row>
    <row r="2149" spans="2:32" x14ac:dyDescent="0.25">
      <c r="B2149" s="97"/>
      <c r="C2149" s="97"/>
      <c r="D2149" s="97"/>
      <c r="E2149" s="97"/>
      <c r="F2149" s="97"/>
      <c r="G2149" s="97"/>
      <c r="H2149" s="97"/>
      <c r="I2149" s="97"/>
      <c r="J2149" s="97"/>
      <c r="K2149" s="97"/>
      <c r="L2149" s="97"/>
      <c r="M2149" s="97"/>
      <c r="N2149" s="97"/>
      <c r="O2149" s="97"/>
      <c r="P2149" s="97"/>
      <c r="Q2149" s="97"/>
      <c r="R2149" s="97"/>
      <c r="S2149" s="97"/>
      <c r="T2149" s="97"/>
      <c r="U2149" s="97"/>
      <c r="V2149" s="97"/>
      <c r="W2149" s="97"/>
      <c r="X2149" s="97"/>
      <c r="Y2149" s="97"/>
      <c r="Z2149" s="97"/>
      <c r="AA2149" s="97"/>
      <c r="AB2149" s="97"/>
      <c r="AC2149" s="97"/>
      <c r="AD2149" s="97"/>
      <c r="AE2149" s="97"/>
      <c r="AF2149" s="97"/>
    </row>
    <row r="2150" spans="2:32" x14ac:dyDescent="0.25">
      <c r="B2150" s="97"/>
      <c r="C2150" s="97"/>
      <c r="D2150" s="97"/>
      <c r="E2150" s="97"/>
      <c r="F2150" s="97"/>
      <c r="G2150" s="97"/>
      <c r="H2150" s="97"/>
      <c r="I2150" s="97"/>
      <c r="J2150" s="97"/>
      <c r="K2150" s="97"/>
      <c r="L2150" s="97"/>
      <c r="M2150" s="97"/>
      <c r="N2150" s="97"/>
      <c r="O2150" s="97"/>
      <c r="P2150" s="97"/>
      <c r="Q2150" s="97"/>
      <c r="R2150" s="97"/>
      <c r="S2150" s="97"/>
      <c r="T2150" s="97"/>
      <c r="U2150" s="97"/>
      <c r="V2150" s="97"/>
      <c r="W2150" s="97"/>
      <c r="X2150" s="97"/>
      <c r="Y2150" s="97"/>
      <c r="Z2150" s="97"/>
      <c r="AA2150" s="97"/>
      <c r="AB2150" s="97"/>
      <c r="AC2150" s="97"/>
      <c r="AD2150" s="97"/>
      <c r="AE2150" s="97"/>
      <c r="AF2150" s="97"/>
    </row>
    <row r="2152" spans="2:32" x14ac:dyDescent="0.25">
      <c r="B2152" s="97"/>
      <c r="C2152" s="97"/>
      <c r="D2152" s="97"/>
      <c r="E2152" s="97"/>
      <c r="F2152" s="97"/>
      <c r="G2152" s="97"/>
      <c r="H2152" s="97"/>
      <c r="I2152" s="97"/>
      <c r="J2152" s="97"/>
      <c r="K2152" s="97"/>
      <c r="L2152" s="97"/>
      <c r="M2152" s="97"/>
      <c r="N2152" s="97"/>
      <c r="O2152" s="97"/>
      <c r="P2152" s="97"/>
      <c r="Q2152" s="97"/>
      <c r="R2152" s="97"/>
      <c r="S2152" s="97"/>
      <c r="T2152" s="97"/>
      <c r="U2152" s="97"/>
      <c r="V2152" s="97"/>
      <c r="W2152" s="97"/>
      <c r="X2152" s="97"/>
      <c r="Y2152" s="97"/>
      <c r="Z2152" s="97"/>
      <c r="AA2152" s="97"/>
      <c r="AB2152" s="97"/>
      <c r="AC2152" s="97"/>
      <c r="AD2152" s="97"/>
      <c r="AE2152" s="97"/>
      <c r="AF2152" s="97"/>
    </row>
    <row r="2153" spans="2:32" x14ac:dyDescent="0.25">
      <c r="B2153" s="128"/>
      <c r="C2153" s="128"/>
      <c r="D2153" s="128"/>
      <c r="E2153" s="128"/>
      <c r="F2153" s="128"/>
      <c r="G2153" s="128"/>
      <c r="H2153" s="128"/>
      <c r="I2153" s="128"/>
      <c r="J2153" s="128"/>
      <c r="K2153" s="128"/>
      <c r="L2153" s="128"/>
      <c r="M2153" s="128"/>
      <c r="N2153" s="128"/>
      <c r="O2153" s="128"/>
      <c r="P2153" s="128"/>
      <c r="Q2153" s="128"/>
      <c r="R2153" s="128"/>
      <c r="S2153" s="128"/>
      <c r="T2153" s="128"/>
      <c r="U2153" s="128"/>
      <c r="V2153" s="128"/>
      <c r="W2153" s="128"/>
      <c r="X2153" s="128"/>
      <c r="Y2153" s="128"/>
      <c r="Z2153" s="128"/>
      <c r="AA2153" s="128"/>
      <c r="AB2153" s="128"/>
      <c r="AC2153" s="128"/>
      <c r="AD2153" s="128"/>
      <c r="AE2153" s="128"/>
      <c r="AF2153" s="128"/>
    </row>
    <row r="2316" spans="2:32" x14ac:dyDescent="0.25">
      <c r="B2316" s="97"/>
      <c r="C2316" s="97"/>
      <c r="D2316" s="97"/>
      <c r="E2316" s="97"/>
      <c r="F2316" s="97"/>
      <c r="G2316" s="97"/>
      <c r="H2316" s="97"/>
      <c r="I2316" s="97"/>
      <c r="J2316" s="97"/>
      <c r="K2316" s="97"/>
      <c r="L2316" s="97"/>
      <c r="M2316" s="97"/>
      <c r="N2316" s="97"/>
      <c r="O2316" s="97"/>
      <c r="P2316" s="97"/>
      <c r="Q2316" s="97"/>
      <c r="R2316" s="97"/>
      <c r="S2316" s="97"/>
      <c r="T2316" s="97"/>
      <c r="U2316" s="97"/>
      <c r="V2316" s="97"/>
      <c r="W2316" s="97"/>
      <c r="X2316" s="97"/>
      <c r="Y2316" s="97"/>
      <c r="Z2316" s="97"/>
      <c r="AA2316" s="97"/>
      <c r="AB2316" s="97"/>
      <c r="AC2316" s="97"/>
      <c r="AD2316" s="97"/>
      <c r="AE2316" s="97"/>
      <c r="AF2316" s="97"/>
    </row>
    <row r="2317" spans="2:32" x14ac:dyDescent="0.25">
      <c r="B2317" s="128"/>
      <c r="C2317" s="128"/>
      <c r="D2317" s="128"/>
      <c r="E2317" s="128"/>
      <c r="F2317" s="128"/>
      <c r="G2317" s="128"/>
      <c r="H2317" s="128"/>
      <c r="I2317" s="128"/>
      <c r="J2317" s="128"/>
      <c r="K2317" s="128"/>
      <c r="L2317" s="128"/>
      <c r="M2317" s="128"/>
      <c r="N2317" s="128"/>
      <c r="O2317" s="128"/>
      <c r="P2317" s="128"/>
      <c r="Q2317" s="128"/>
      <c r="R2317" s="128"/>
      <c r="S2317" s="128"/>
      <c r="T2317" s="128"/>
      <c r="U2317" s="128"/>
      <c r="V2317" s="128"/>
      <c r="W2317" s="128"/>
      <c r="X2317" s="128"/>
      <c r="Y2317" s="128"/>
      <c r="Z2317" s="128"/>
      <c r="AA2317" s="128"/>
      <c r="AB2317" s="128"/>
      <c r="AC2317" s="128"/>
      <c r="AD2317" s="128"/>
      <c r="AE2317" s="128"/>
      <c r="AF2317" s="128"/>
    </row>
    <row r="2418" spans="2:32" x14ac:dyDescent="0.25">
      <c r="B2418" s="97"/>
      <c r="C2418" s="97"/>
      <c r="D2418" s="97"/>
      <c r="E2418" s="97"/>
      <c r="F2418" s="97"/>
      <c r="G2418" s="97"/>
      <c r="H2418" s="97"/>
      <c r="I2418" s="97"/>
      <c r="J2418" s="97"/>
      <c r="K2418" s="97"/>
      <c r="L2418" s="97"/>
      <c r="M2418" s="97"/>
      <c r="N2418" s="97"/>
      <c r="O2418" s="97"/>
      <c r="P2418" s="97"/>
      <c r="Q2418" s="97"/>
      <c r="R2418" s="97"/>
      <c r="S2418" s="97"/>
      <c r="T2418" s="97"/>
      <c r="U2418" s="97"/>
      <c r="V2418" s="97"/>
      <c r="W2418" s="97"/>
      <c r="X2418" s="97"/>
      <c r="Y2418" s="97"/>
      <c r="Z2418" s="97"/>
      <c r="AA2418" s="97"/>
      <c r="AB2418" s="97"/>
      <c r="AC2418" s="97"/>
      <c r="AD2418" s="97"/>
      <c r="AE2418" s="97"/>
      <c r="AF2418" s="97"/>
    </row>
    <row r="2419" spans="2:32" x14ac:dyDescent="0.25">
      <c r="B2419" s="128"/>
      <c r="C2419" s="128"/>
      <c r="D2419" s="128"/>
      <c r="E2419" s="128"/>
      <c r="F2419" s="128"/>
      <c r="G2419" s="128"/>
      <c r="H2419" s="128"/>
      <c r="I2419" s="128"/>
      <c r="J2419" s="128"/>
      <c r="K2419" s="128"/>
      <c r="L2419" s="128"/>
      <c r="M2419" s="128"/>
      <c r="N2419" s="128"/>
      <c r="O2419" s="128"/>
      <c r="P2419" s="128"/>
      <c r="Q2419" s="128"/>
      <c r="R2419" s="128"/>
      <c r="S2419" s="128"/>
      <c r="T2419" s="128"/>
      <c r="U2419" s="128"/>
      <c r="V2419" s="128"/>
      <c r="W2419" s="128"/>
      <c r="X2419" s="128"/>
      <c r="Y2419" s="128"/>
      <c r="Z2419" s="128"/>
      <c r="AA2419" s="128"/>
      <c r="AB2419" s="128"/>
      <c r="AC2419" s="128"/>
      <c r="AD2419" s="128"/>
      <c r="AE2419" s="128"/>
      <c r="AF2419" s="128"/>
    </row>
    <row r="2497" spans="2:32" x14ac:dyDescent="0.25">
      <c r="B2497" s="97"/>
      <c r="C2497" s="97"/>
      <c r="D2497" s="97"/>
      <c r="E2497" s="97"/>
      <c r="F2497" s="97"/>
      <c r="G2497" s="97"/>
      <c r="H2497" s="97"/>
      <c r="I2497" s="97"/>
      <c r="J2497" s="97"/>
      <c r="K2497" s="97"/>
      <c r="L2497" s="97"/>
      <c r="M2497" s="97"/>
      <c r="N2497" s="97"/>
      <c r="O2497" s="97"/>
      <c r="P2497" s="97"/>
      <c r="Q2497" s="97"/>
      <c r="R2497" s="97"/>
      <c r="S2497" s="97"/>
      <c r="T2497" s="97"/>
      <c r="U2497" s="97"/>
      <c r="V2497" s="97"/>
      <c r="W2497" s="97"/>
      <c r="X2497" s="97"/>
      <c r="Y2497" s="97"/>
      <c r="Z2497" s="97"/>
      <c r="AA2497" s="97"/>
      <c r="AB2497" s="97"/>
      <c r="AC2497" s="97"/>
      <c r="AD2497" s="97"/>
      <c r="AE2497" s="97"/>
      <c r="AF2497" s="97"/>
    </row>
    <row r="2503" spans="2:32" x14ac:dyDescent="0.25">
      <c r="B2503" s="97"/>
      <c r="C2503" s="97"/>
      <c r="D2503" s="97"/>
      <c r="E2503" s="97"/>
      <c r="F2503" s="97"/>
      <c r="G2503" s="97"/>
      <c r="H2503" s="97"/>
      <c r="I2503" s="97"/>
      <c r="J2503" s="97"/>
      <c r="K2503" s="97"/>
      <c r="L2503" s="97"/>
      <c r="M2503" s="97"/>
      <c r="N2503" s="97"/>
      <c r="O2503" s="97"/>
      <c r="P2503" s="97"/>
      <c r="Q2503" s="97"/>
      <c r="R2503" s="97"/>
      <c r="S2503" s="97"/>
      <c r="T2503" s="97"/>
      <c r="U2503" s="97"/>
      <c r="V2503" s="97"/>
      <c r="W2503" s="97"/>
      <c r="X2503" s="97"/>
      <c r="Y2503" s="97"/>
      <c r="Z2503" s="97"/>
      <c r="AA2503" s="97"/>
      <c r="AB2503" s="97"/>
      <c r="AC2503" s="97"/>
      <c r="AD2503" s="97"/>
      <c r="AE2503" s="97"/>
      <c r="AF2503" s="97"/>
    </row>
    <row r="2508" spans="2:32" x14ac:dyDescent="0.25">
      <c r="B2508" s="97"/>
      <c r="C2508" s="97"/>
      <c r="D2508" s="97"/>
      <c r="E2508" s="97"/>
      <c r="F2508" s="97"/>
      <c r="G2508" s="97"/>
      <c r="H2508" s="97"/>
      <c r="I2508" s="97"/>
      <c r="J2508" s="97"/>
      <c r="K2508" s="97"/>
      <c r="L2508" s="97"/>
      <c r="M2508" s="97"/>
      <c r="N2508" s="97"/>
      <c r="O2508" s="97"/>
      <c r="P2508" s="97"/>
      <c r="Q2508" s="97"/>
      <c r="R2508" s="97"/>
      <c r="S2508" s="97"/>
      <c r="T2508" s="97"/>
      <c r="U2508" s="97"/>
      <c r="V2508" s="97"/>
      <c r="W2508" s="97"/>
      <c r="X2508" s="97"/>
      <c r="Y2508" s="97"/>
      <c r="Z2508" s="97"/>
      <c r="AA2508" s="97"/>
      <c r="AB2508" s="97"/>
      <c r="AC2508" s="97"/>
      <c r="AD2508" s="97"/>
      <c r="AE2508" s="97"/>
      <c r="AF2508" s="97"/>
    </row>
    <row r="2509" spans="2:32" x14ac:dyDescent="0.25">
      <c r="B2509" s="128"/>
      <c r="C2509" s="128"/>
      <c r="D2509" s="128"/>
      <c r="E2509" s="128"/>
      <c r="F2509" s="128"/>
      <c r="G2509" s="128"/>
      <c r="H2509" s="128"/>
      <c r="I2509" s="128"/>
      <c r="J2509" s="128"/>
      <c r="K2509" s="128"/>
      <c r="L2509" s="128"/>
      <c r="M2509" s="128"/>
      <c r="N2509" s="128"/>
      <c r="O2509" s="128"/>
      <c r="P2509" s="128"/>
      <c r="Q2509" s="128"/>
      <c r="R2509" s="128"/>
      <c r="S2509" s="128"/>
      <c r="T2509" s="128"/>
      <c r="U2509" s="128"/>
      <c r="V2509" s="128"/>
      <c r="W2509" s="128"/>
      <c r="X2509" s="128"/>
      <c r="Y2509" s="128"/>
      <c r="Z2509" s="128"/>
      <c r="AA2509" s="128"/>
      <c r="AB2509" s="128"/>
      <c r="AC2509" s="128"/>
      <c r="AD2509" s="128"/>
      <c r="AE2509" s="128"/>
      <c r="AF2509" s="128"/>
    </row>
    <row r="2594" spans="2:32" x14ac:dyDescent="0.25">
      <c r="B2594" s="97"/>
      <c r="C2594" s="97"/>
      <c r="D2594" s="97"/>
      <c r="E2594" s="97"/>
      <c r="F2594" s="97"/>
      <c r="G2594" s="97"/>
      <c r="H2594" s="97"/>
      <c r="I2594" s="97"/>
      <c r="J2594" s="97"/>
      <c r="K2594" s="97"/>
      <c r="L2594" s="97"/>
      <c r="M2594" s="97"/>
      <c r="N2594" s="97"/>
      <c r="O2594" s="97"/>
      <c r="P2594" s="97"/>
      <c r="Q2594" s="97"/>
      <c r="R2594" s="97"/>
      <c r="S2594" s="97"/>
      <c r="T2594" s="97"/>
      <c r="U2594" s="97"/>
      <c r="V2594" s="97"/>
      <c r="W2594" s="97"/>
      <c r="X2594" s="97"/>
      <c r="Y2594" s="97"/>
      <c r="Z2594" s="97"/>
      <c r="AA2594" s="97"/>
      <c r="AB2594" s="97"/>
      <c r="AC2594" s="97"/>
      <c r="AD2594" s="97"/>
      <c r="AE2594" s="97"/>
      <c r="AF2594" s="97"/>
    </row>
    <row r="2597" spans="2:32" x14ac:dyDescent="0.25">
      <c r="B2597" s="97"/>
      <c r="C2597" s="97"/>
      <c r="D2597" s="97"/>
      <c r="E2597" s="97"/>
      <c r="F2597" s="97"/>
      <c r="G2597" s="97"/>
      <c r="H2597" s="97"/>
      <c r="I2597" s="97"/>
      <c r="J2597" s="97"/>
      <c r="K2597" s="97"/>
      <c r="L2597" s="97"/>
      <c r="M2597" s="97"/>
      <c r="N2597" s="97"/>
      <c r="O2597" s="97"/>
      <c r="P2597" s="97"/>
      <c r="Q2597" s="97"/>
      <c r="R2597" s="97"/>
      <c r="S2597" s="97"/>
      <c r="T2597" s="97"/>
      <c r="U2597" s="97"/>
      <c r="V2597" s="97"/>
      <c r="W2597" s="97"/>
      <c r="X2597" s="97"/>
      <c r="Y2597" s="97"/>
      <c r="Z2597" s="97"/>
      <c r="AA2597" s="97"/>
      <c r="AB2597" s="97"/>
      <c r="AC2597" s="97"/>
      <c r="AD2597" s="97"/>
      <c r="AE2597" s="97"/>
      <c r="AF2597" s="97"/>
    </row>
    <row r="2598" spans="2:32" x14ac:dyDescent="0.25">
      <c r="B2598" s="128"/>
      <c r="C2598" s="128"/>
      <c r="D2598" s="128"/>
      <c r="E2598" s="128"/>
      <c r="F2598" s="128"/>
      <c r="G2598" s="128"/>
      <c r="H2598" s="128"/>
      <c r="I2598" s="128"/>
      <c r="J2598" s="128"/>
      <c r="K2598" s="128"/>
      <c r="L2598" s="128"/>
      <c r="M2598" s="128"/>
      <c r="N2598" s="128"/>
      <c r="O2598" s="128"/>
      <c r="P2598" s="128"/>
      <c r="Q2598" s="128"/>
      <c r="R2598" s="128"/>
      <c r="S2598" s="128"/>
      <c r="T2598" s="128"/>
      <c r="U2598" s="128"/>
      <c r="V2598" s="128"/>
      <c r="W2598" s="128"/>
      <c r="X2598" s="128"/>
      <c r="Y2598" s="128"/>
      <c r="Z2598" s="128"/>
      <c r="AA2598" s="128"/>
      <c r="AB2598" s="128"/>
      <c r="AC2598" s="128"/>
      <c r="AD2598" s="128"/>
      <c r="AE2598" s="128"/>
      <c r="AF2598" s="128"/>
    </row>
    <row r="2705" spans="2:32" x14ac:dyDescent="0.25">
      <c r="B2705" s="97"/>
      <c r="C2705" s="97"/>
      <c r="D2705" s="97"/>
      <c r="E2705" s="97"/>
      <c r="F2705" s="97"/>
      <c r="G2705" s="97"/>
      <c r="H2705" s="97"/>
      <c r="I2705" s="97"/>
      <c r="J2705" s="97"/>
      <c r="K2705" s="97"/>
      <c r="L2705" s="97"/>
      <c r="M2705" s="97"/>
      <c r="N2705" s="97"/>
      <c r="O2705" s="97"/>
      <c r="P2705" s="97"/>
      <c r="Q2705" s="97"/>
      <c r="R2705" s="97"/>
      <c r="S2705" s="97"/>
      <c r="T2705" s="97"/>
      <c r="U2705" s="97"/>
      <c r="V2705" s="97"/>
      <c r="W2705" s="97"/>
      <c r="X2705" s="97"/>
      <c r="Y2705" s="97"/>
      <c r="Z2705" s="97"/>
      <c r="AA2705" s="97"/>
      <c r="AB2705" s="97"/>
      <c r="AC2705" s="97"/>
      <c r="AD2705" s="97"/>
      <c r="AE2705" s="97"/>
      <c r="AF2705" s="97"/>
    </row>
    <row r="2706" spans="2:32" x14ac:dyDescent="0.25">
      <c r="B2706" s="97"/>
      <c r="C2706" s="97"/>
      <c r="D2706" s="97"/>
      <c r="E2706" s="97"/>
      <c r="F2706" s="97"/>
      <c r="G2706" s="97"/>
      <c r="H2706" s="97"/>
      <c r="I2706" s="97"/>
      <c r="J2706" s="97"/>
      <c r="K2706" s="97"/>
      <c r="L2706" s="97"/>
      <c r="M2706" s="97"/>
      <c r="N2706" s="97"/>
      <c r="O2706" s="97"/>
      <c r="P2706" s="97"/>
      <c r="Q2706" s="97"/>
      <c r="R2706" s="97"/>
      <c r="S2706" s="97"/>
      <c r="T2706" s="97"/>
      <c r="U2706" s="97"/>
      <c r="V2706" s="97"/>
      <c r="W2706" s="97"/>
      <c r="X2706" s="97"/>
      <c r="Y2706" s="97"/>
      <c r="Z2706" s="97"/>
      <c r="AA2706" s="97"/>
      <c r="AB2706" s="97"/>
      <c r="AC2706" s="97"/>
      <c r="AD2706" s="97"/>
      <c r="AE2706" s="97"/>
      <c r="AF2706" s="97"/>
    </row>
    <row r="2718" spans="2:32" x14ac:dyDescent="0.25">
      <c r="B2718" s="97"/>
      <c r="C2718" s="97"/>
      <c r="D2718" s="97"/>
      <c r="E2718" s="97"/>
      <c r="F2718" s="97"/>
      <c r="G2718" s="97"/>
      <c r="H2718" s="97"/>
      <c r="I2718" s="97"/>
      <c r="J2718" s="97"/>
      <c r="K2718" s="97"/>
      <c r="L2718" s="97"/>
      <c r="M2718" s="97"/>
      <c r="N2718" s="97"/>
      <c r="O2718" s="97"/>
      <c r="P2718" s="97"/>
      <c r="Q2718" s="97"/>
      <c r="R2718" s="97"/>
      <c r="S2718" s="97"/>
      <c r="T2718" s="97"/>
      <c r="U2718" s="97"/>
      <c r="V2718" s="97"/>
      <c r="W2718" s="97"/>
      <c r="X2718" s="97"/>
      <c r="Y2718" s="97"/>
      <c r="Z2718" s="97"/>
      <c r="AA2718" s="97"/>
      <c r="AB2718" s="97"/>
      <c r="AC2718" s="97"/>
      <c r="AD2718" s="97"/>
      <c r="AE2718" s="97"/>
      <c r="AF2718" s="97"/>
    </row>
    <row r="2719" spans="2:32" x14ac:dyDescent="0.25">
      <c r="B2719" s="128"/>
      <c r="C2719" s="128"/>
      <c r="D2719" s="128"/>
      <c r="E2719" s="128"/>
      <c r="F2719" s="128"/>
      <c r="G2719" s="128"/>
      <c r="H2719" s="128"/>
      <c r="I2719" s="128"/>
      <c r="J2719" s="128"/>
      <c r="K2719" s="128"/>
      <c r="L2719" s="128"/>
      <c r="M2719" s="128"/>
      <c r="N2719" s="128"/>
      <c r="O2719" s="128"/>
      <c r="P2719" s="128"/>
      <c r="Q2719" s="128"/>
      <c r="R2719" s="128"/>
      <c r="S2719" s="128"/>
      <c r="T2719" s="128"/>
      <c r="U2719" s="128"/>
      <c r="V2719" s="128"/>
      <c r="W2719" s="128"/>
      <c r="X2719" s="128"/>
      <c r="Y2719" s="128"/>
      <c r="Z2719" s="128"/>
      <c r="AA2719" s="128"/>
      <c r="AB2719" s="128"/>
      <c r="AC2719" s="128"/>
      <c r="AD2719" s="128"/>
      <c r="AE2719" s="128"/>
      <c r="AF2719" s="128"/>
    </row>
    <row r="2836" spans="2:32" x14ac:dyDescent="0.25">
      <c r="B2836" s="97"/>
      <c r="C2836" s="97"/>
      <c r="D2836" s="97"/>
      <c r="E2836" s="97"/>
      <c r="F2836" s="97"/>
      <c r="G2836" s="97"/>
      <c r="H2836" s="97"/>
      <c r="I2836" s="97"/>
      <c r="J2836" s="97"/>
      <c r="K2836" s="97"/>
      <c r="L2836" s="97"/>
      <c r="M2836" s="97"/>
      <c r="N2836" s="97"/>
      <c r="O2836" s="97"/>
      <c r="P2836" s="97"/>
      <c r="Q2836" s="97"/>
      <c r="R2836" s="97"/>
      <c r="S2836" s="97"/>
      <c r="T2836" s="97"/>
      <c r="U2836" s="97"/>
      <c r="V2836" s="97"/>
      <c r="W2836" s="97"/>
      <c r="X2836" s="97"/>
      <c r="Y2836" s="97"/>
      <c r="Z2836" s="97"/>
      <c r="AA2836" s="97"/>
      <c r="AB2836" s="97"/>
      <c r="AC2836" s="97"/>
      <c r="AD2836" s="97"/>
      <c r="AE2836" s="97"/>
      <c r="AF2836" s="97"/>
    </row>
    <row r="2837" spans="2:32" x14ac:dyDescent="0.25">
      <c r="B2837" s="128"/>
      <c r="C2837" s="128"/>
      <c r="D2837" s="128"/>
      <c r="E2837" s="128"/>
      <c r="F2837" s="128"/>
      <c r="G2837" s="128"/>
      <c r="H2837" s="128"/>
      <c r="I2837" s="128"/>
      <c r="J2837" s="128"/>
      <c r="K2837" s="128"/>
      <c r="L2837" s="128"/>
      <c r="M2837" s="128"/>
      <c r="N2837" s="128"/>
      <c r="O2837" s="128"/>
      <c r="P2837" s="128"/>
      <c r="Q2837" s="128"/>
      <c r="R2837" s="128"/>
      <c r="S2837" s="128"/>
      <c r="T2837" s="128"/>
      <c r="U2837" s="128"/>
      <c r="V2837" s="128"/>
      <c r="W2837" s="128"/>
      <c r="X2837" s="128"/>
      <c r="Y2837" s="128"/>
      <c r="Z2837" s="128"/>
      <c r="AA2837" s="128"/>
      <c r="AB2837" s="128"/>
      <c r="AC2837" s="128"/>
      <c r="AD2837" s="128"/>
      <c r="AE2837" s="128"/>
      <c r="AF2837" s="128"/>
    </row>
  </sheetData>
  <mergeCells count="21"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  <mergeCell ref="B1229:AF1229"/>
    <mergeCell ref="B1390:AF1390"/>
    <mergeCell ref="B1502:AF1502"/>
    <mergeCell ref="B1604:AF1604"/>
    <mergeCell ref="B1699:AF169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4" t="s">
        <v>288</v>
      </c>
      <c r="C1" s="75">
        <v>2022</v>
      </c>
      <c r="D1" s="75">
        <v>2023</v>
      </c>
      <c r="E1" s="75">
        <v>2024</v>
      </c>
      <c r="F1" s="75">
        <v>2025</v>
      </c>
      <c r="G1" s="75">
        <v>2026</v>
      </c>
      <c r="H1" s="75">
        <v>2027</v>
      </c>
      <c r="I1" s="75">
        <v>2028</v>
      </c>
      <c r="J1" s="75">
        <v>2029</v>
      </c>
      <c r="K1" s="75">
        <v>2030</v>
      </c>
      <c r="L1" s="75">
        <v>2031</v>
      </c>
      <c r="M1" s="75">
        <v>2032</v>
      </c>
      <c r="N1" s="75">
        <v>2033</v>
      </c>
      <c r="O1" s="75">
        <v>2034</v>
      </c>
      <c r="P1" s="75">
        <v>2035</v>
      </c>
      <c r="Q1" s="75">
        <v>2036</v>
      </c>
      <c r="R1" s="75">
        <v>2037</v>
      </c>
      <c r="S1" s="75">
        <v>2038</v>
      </c>
      <c r="T1" s="75">
        <v>2039</v>
      </c>
      <c r="U1" s="75">
        <v>2040</v>
      </c>
      <c r="V1" s="75">
        <v>2041</v>
      </c>
      <c r="W1" s="75">
        <v>2042</v>
      </c>
      <c r="X1" s="75">
        <v>2043</v>
      </c>
      <c r="Y1" s="75">
        <v>2044</v>
      </c>
      <c r="Z1" s="75">
        <v>2045</v>
      </c>
      <c r="AA1" s="75">
        <v>2046</v>
      </c>
      <c r="AB1" s="75">
        <v>2047</v>
      </c>
      <c r="AC1" s="75">
        <v>2048</v>
      </c>
      <c r="AD1" s="75">
        <v>2049</v>
      </c>
      <c r="AE1" s="75">
        <v>2050</v>
      </c>
    </row>
    <row r="2" spans="1:33" ht="15" customHeight="1" thickTop="1" x14ac:dyDescent="0.25"/>
    <row r="3" spans="1:33" ht="15" customHeight="1" x14ac:dyDescent="0.25">
      <c r="C3" s="104" t="s">
        <v>289</v>
      </c>
      <c r="D3" s="104" t="s">
        <v>290</v>
      </c>
      <c r="E3" s="100"/>
      <c r="F3" s="100"/>
      <c r="G3" s="100"/>
    </row>
    <row r="4" spans="1:33" ht="15" customHeight="1" x14ac:dyDescent="0.25">
      <c r="C4" s="104" t="s">
        <v>291</v>
      </c>
      <c r="D4" s="104" t="s">
        <v>292</v>
      </c>
      <c r="E4" s="100"/>
      <c r="F4" s="100"/>
      <c r="G4" s="104" t="s">
        <v>293</v>
      </c>
    </row>
    <row r="5" spans="1:33" ht="15" customHeight="1" x14ac:dyDescent="0.25">
      <c r="C5" s="104" t="s">
        <v>294</v>
      </c>
      <c r="D5" s="104" t="s">
        <v>295</v>
      </c>
      <c r="E5" s="100"/>
      <c r="F5" s="100"/>
      <c r="G5" s="100"/>
    </row>
    <row r="6" spans="1:33" ht="15" customHeight="1" x14ac:dyDescent="0.25">
      <c r="C6" s="104" t="s">
        <v>296</v>
      </c>
      <c r="D6" s="100"/>
      <c r="E6" s="104" t="s">
        <v>297</v>
      </c>
      <c r="F6" s="100"/>
      <c r="G6" s="100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78" t="s">
        <v>697</v>
      </c>
      <c r="B10" s="79" t="s">
        <v>698</v>
      </c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1" t="s">
        <v>300</v>
      </c>
      <c r="AG10" s="80"/>
    </row>
    <row r="11" spans="1:33" ht="15" customHeight="1" x14ac:dyDescent="0.25">
      <c r="B11" s="82" t="s">
        <v>699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1" t="s">
        <v>301</v>
      </c>
      <c r="AG11" s="80"/>
    </row>
    <row r="12" spans="1:33" ht="15" customHeight="1" x14ac:dyDescent="0.25">
      <c r="B12" s="82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1" t="s">
        <v>302</v>
      </c>
      <c r="AG12" s="80"/>
    </row>
    <row r="13" spans="1:33" ht="15" customHeight="1" thickBot="1" x14ac:dyDescent="0.3">
      <c r="B13" s="84" t="s">
        <v>700</v>
      </c>
      <c r="C13" s="84">
        <v>2022</v>
      </c>
      <c r="D13" s="84">
        <v>2023</v>
      </c>
      <c r="E13" s="84">
        <v>2024</v>
      </c>
      <c r="F13" s="84">
        <v>2025</v>
      </c>
      <c r="G13" s="84">
        <v>2026</v>
      </c>
      <c r="H13" s="84">
        <v>2027</v>
      </c>
      <c r="I13" s="84">
        <v>2028</v>
      </c>
      <c r="J13" s="84">
        <v>2029</v>
      </c>
      <c r="K13" s="84">
        <v>2030</v>
      </c>
      <c r="L13" s="84">
        <v>2031</v>
      </c>
      <c r="M13" s="84">
        <v>2032</v>
      </c>
      <c r="N13" s="84">
        <v>2033</v>
      </c>
      <c r="O13" s="84">
        <v>2034</v>
      </c>
      <c r="P13" s="84">
        <v>2035</v>
      </c>
      <c r="Q13" s="84">
        <v>2036</v>
      </c>
      <c r="R13" s="84">
        <v>2037</v>
      </c>
      <c r="S13" s="84">
        <v>2038</v>
      </c>
      <c r="T13" s="84">
        <v>2039</v>
      </c>
      <c r="U13" s="84">
        <v>2040</v>
      </c>
      <c r="V13" s="84">
        <v>2041</v>
      </c>
      <c r="W13" s="84">
        <v>2042</v>
      </c>
      <c r="X13" s="84">
        <v>2043</v>
      </c>
      <c r="Y13" s="84">
        <v>2044</v>
      </c>
      <c r="Z13" s="84">
        <v>2045</v>
      </c>
      <c r="AA13" s="84">
        <v>2046</v>
      </c>
      <c r="AB13" s="84">
        <v>2047</v>
      </c>
      <c r="AC13" s="84">
        <v>2048</v>
      </c>
      <c r="AD13" s="84">
        <v>2049</v>
      </c>
      <c r="AE13" s="84">
        <v>2050</v>
      </c>
      <c r="AF13" s="85">
        <v>2050</v>
      </c>
      <c r="AG13" s="80"/>
    </row>
    <row r="14" spans="1:33" ht="15" customHeight="1" thickTop="1" x14ac:dyDescent="0.25"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</row>
    <row r="15" spans="1:33" ht="15" customHeight="1" x14ac:dyDescent="0.25">
      <c r="B15" s="86" t="s">
        <v>701</v>
      </c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</row>
    <row r="16" spans="1:33" ht="15" customHeight="1" x14ac:dyDescent="0.25">
      <c r="B16" s="86" t="s">
        <v>702</v>
      </c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</row>
    <row r="17" spans="1:33" ht="15" customHeight="1" x14ac:dyDescent="0.25">
      <c r="A17" s="78" t="s">
        <v>703</v>
      </c>
      <c r="B17" s="87" t="s">
        <v>704</v>
      </c>
      <c r="C17" s="88">
        <v>745.48858600000005</v>
      </c>
      <c r="D17" s="88">
        <v>752.84777799999995</v>
      </c>
      <c r="E17" s="88">
        <v>752.35827600000005</v>
      </c>
      <c r="F17" s="88">
        <v>735.73345900000004</v>
      </c>
      <c r="G17" s="88">
        <v>714.39776600000005</v>
      </c>
      <c r="H17" s="88">
        <v>699.98785399999997</v>
      </c>
      <c r="I17" s="88">
        <v>685.04046600000004</v>
      </c>
      <c r="J17" s="88">
        <v>673.87493900000004</v>
      </c>
      <c r="K17" s="88">
        <v>663.85052499999995</v>
      </c>
      <c r="L17" s="88">
        <v>653.93218999999999</v>
      </c>
      <c r="M17" s="88">
        <v>646.67608600000005</v>
      </c>
      <c r="N17" s="88">
        <v>638</v>
      </c>
      <c r="O17" s="88">
        <v>632.65362500000003</v>
      </c>
      <c r="P17" s="88">
        <v>629.94421399999999</v>
      </c>
      <c r="Q17" s="88">
        <v>630.54656999999997</v>
      </c>
      <c r="R17" s="88">
        <v>627.93365500000004</v>
      </c>
      <c r="S17" s="88">
        <v>625.11895800000002</v>
      </c>
      <c r="T17" s="88">
        <v>622.16143799999998</v>
      </c>
      <c r="U17" s="88">
        <v>618.44097899999997</v>
      </c>
      <c r="V17" s="88">
        <v>611.17291299999999</v>
      </c>
      <c r="W17" s="88">
        <v>603.78057899999999</v>
      </c>
      <c r="X17" s="88">
        <v>594.08050500000002</v>
      </c>
      <c r="Y17" s="88">
        <v>586.63452099999995</v>
      </c>
      <c r="Z17" s="88">
        <v>582.16729699999996</v>
      </c>
      <c r="AA17" s="88">
        <v>581.98821999999996</v>
      </c>
      <c r="AB17" s="88">
        <v>575.44702099999995</v>
      </c>
      <c r="AC17" s="88">
        <v>569.67370600000004</v>
      </c>
      <c r="AD17" s="88">
        <v>564.75280799999996</v>
      </c>
      <c r="AE17" s="88">
        <v>561.188354</v>
      </c>
      <c r="AF17" s="89">
        <v>-1.0090999999999999E-2</v>
      </c>
      <c r="AG17" s="80"/>
    </row>
    <row r="18" spans="1:33" ht="15" customHeight="1" x14ac:dyDescent="0.25">
      <c r="A18" s="78" t="s">
        <v>705</v>
      </c>
      <c r="B18" s="87" t="s">
        <v>706</v>
      </c>
      <c r="C18" s="88">
        <v>0</v>
      </c>
      <c r="D18" s="88">
        <v>0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  <c r="X18" s="88">
        <v>0</v>
      </c>
      <c r="Y18" s="88">
        <v>0</v>
      </c>
      <c r="Z18" s="88">
        <v>0</v>
      </c>
      <c r="AA18" s="88">
        <v>0</v>
      </c>
      <c r="AB18" s="88">
        <v>0</v>
      </c>
      <c r="AC18" s="88">
        <v>0</v>
      </c>
      <c r="AD18" s="88">
        <v>0</v>
      </c>
      <c r="AE18" s="88">
        <v>0</v>
      </c>
      <c r="AF18" s="89" t="s">
        <v>321</v>
      </c>
      <c r="AG18" s="80"/>
    </row>
    <row r="19" spans="1:33" ht="15" customHeight="1" x14ac:dyDescent="0.25">
      <c r="A19" s="78" t="s">
        <v>707</v>
      </c>
      <c r="B19" s="87" t="s">
        <v>708</v>
      </c>
      <c r="C19" s="88">
        <v>745.48858600000005</v>
      </c>
      <c r="D19" s="88">
        <v>752.84777799999995</v>
      </c>
      <c r="E19" s="88">
        <v>752.35827600000005</v>
      </c>
      <c r="F19" s="88">
        <v>735.73345900000004</v>
      </c>
      <c r="G19" s="88">
        <v>714.39776600000005</v>
      </c>
      <c r="H19" s="88">
        <v>699.98785399999997</v>
      </c>
      <c r="I19" s="88">
        <v>685.04046600000004</v>
      </c>
      <c r="J19" s="88">
        <v>673.87493900000004</v>
      </c>
      <c r="K19" s="88">
        <v>663.85052499999995</v>
      </c>
      <c r="L19" s="88">
        <v>653.93218999999999</v>
      </c>
      <c r="M19" s="88">
        <v>646.67608600000005</v>
      </c>
      <c r="N19" s="88">
        <v>638</v>
      </c>
      <c r="O19" s="88">
        <v>632.65362500000003</v>
      </c>
      <c r="P19" s="88">
        <v>629.94421399999999</v>
      </c>
      <c r="Q19" s="88">
        <v>630.54656999999997</v>
      </c>
      <c r="R19" s="88">
        <v>627.93365500000004</v>
      </c>
      <c r="S19" s="88">
        <v>625.11895800000002</v>
      </c>
      <c r="T19" s="88">
        <v>622.16143799999998</v>
      </c>
      <c r="U19" s="88">
        <v>618.44097899999997</v>
      </c>
      <c r="V19" s="88">
        <v>611.17291299999999</v>
      </c>
      <c r="W19" s="88">
        <v>603.78057899999999</v>
      </c>
      <c r="X19" s="88">
        <v>594.08050500000002</v>
      </c>
      <c r="Y19" s="88">
        <v>586.63452099999995</v>
      </c>
      <c r="Z19" s="88">
        <v>582.16729699999996</v>
      </c>
      <c r="AA19" s="88">
        <v>581.98821999999996</v>
      </c>
      <c r="AB19" s="88">
        <v>575.44702099999995</v>
      </c>
      <c r="AC19" s="88">
        <v>569.67370600000004</v>
      </c>
      <c r="AD19" s="88">
        <v>564.75280799999996</v>
      </c>
      <c r="AE19" s="88">
        <v>561.188354</v>
      </c>
      <c r="AF19" s="89">
        <v>-1.0090999999999999E-2</v>
      </c>
      <c r="AG19" s="80"/>
    </row>
    <row r="20" spans="1:33" ht="15" customHeight="1" x14ac:dyDescent="0.25"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</row>
    <row r="21" spans="1:33" ht="15" customHeight="1" x14ac:dyDescent="0.25">
      <c r="B21" s="86" t="s">
        <v>709</v>
      </c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</row>
    <row r="22" spans="1:33" ht="15" customHeight="1" x14ac:dyDescent="0.25">
      <c r="A22" s="78" t="s">
        <v>710</v>
      </c>
      <c r="B22" s="87" t="s">
        <v>711</v>
      </c>
      <c r="C22" s="88">
        <v>27.701494</v>
      </c>
      <c r="D22" s="88">
        <v>28.161213</v>
      </c>
      <c r="E22" s="88">
        <v>28.336245999999999</v>
      </c>
      <c r="F22" s="88">
        <v>27.930389000000002</v>
      </c>
      <c r="G22" s="88">
        <v>27.360482999999999</v>
      </c>
      <c r="H22" s="88">
        <v>27.062560999999999</v>
      </c>
      <c r="I22" s="88">
        <v>26.745170999999999</v>
      </c>
      <c r="J22" s="88">
        <v>26.574788999999999</v>
      </c>
      <c r="K22" s="88">
        <v>26.450092000000001</v>
      </c>
      <c r="L22" s="88">
        <v>26.327152000000002</v>
      </c>
      <c r="M22" s="88">
        <v>26.309853</v>
      </c>
      <c r="N22" s="88">
        <v>26.236436999999999</v>
      </c>
      <c r="O22" s="88">
        <v>26.300083000000001</v>
      </c>
      <c r="P22" s="88">
        <v>26.476437000000001</v>
      </c>
      <c r="Q22" s="88">
        <v>26.802655999999999</v>
      </c>
      <c r="R22" s="88">
        <v>26.993179000000001</v>
      </c>
      <c r="S22" s="88">
        <v>27.175011000000001</v>
      </c>
      <c r="T22" s="88">
        <v>27.356400000000001</v>
      </c>
      <c r="U22" s="88">
        <v>27.506229000000001</v>
      </c>
      <c r="V22" s="88">
        <v>27.497744000000001</v>
      </c>
      <c r="W22" s="88">
        <v>27.485579999999999</v>
      </c>
      <c r="X22" s="88">
        <v>27.36544</v>
      </c>
      <c r="Y22" s="88">
        <v>27.347321999999998</v>
      </c>
      <c r="Z22" s="88">
        <v>27.466481999999999</v>
      </c>
      <c r="AA22" s="88">
        <v>27.773669999999999</v>
      </c>
      <c r="AB22" s="88">
        <v>27.796990999999998</v>
      </c>
      <c r="AC22" s="88">
        <v>27.862095</v>
      </c>
      <c r="AD22" s="88">
        <v>27.968413999999999</v>
      </c>
      <c r="AE22" s="88">
        <v>27.940854999999999</v>
      </c>
      <c r="AF22" s="89">
        <v>3.0699999999999998E-4</v>
      </c>
      <c r="AG22" s="80"/>
    </row>
    <row r="23" spans="1:33" ht="15" customHeight="1" x14ac:dyDescent="0.25">
      <c r="A23" s="78" t="s">
        <v>712</v>
      </c>
      <c r="B23" s="87" t="s">
        <v>713</v>
      </c>
      <c r="C23" s="88">
        <v>1.7337320000000001</v>
      </c>
      <c r="D23" s="88">
        <v>2.0157180000000001</v>
      </c>
      <c r="E23" s="88">
        <v>2.2821009999999999</v>
      </c>
      <c r="F23" s="88">
        <v>2.4943019999999998</v>
      </c>
      <c r="G23" s="88">
        <v>2.6786949999999998</v>
      </c>
      <c r="H23" s="88">
        <v>2.8791380000000002</v>
      </c>
      <c r="I23" s="88">
        <v>3.0706500000000001</v>
      </c>
      <c r="J23" s="88">
        <v>3.2738580000000002</v>
      </c>
      <c r="K23" s="88">
        <v>3.4792079999999999</v>
      </c>
      <c r="L23" s="88">
        <v>3.682477</v>
      </c>
      <c r="M23" s="88">
        <v>3.8991889999999998</v>
      </c>
      <c r="N23" s="88">
        <v>4.1060140000000001</v>
      </c>
      <c r="O23" s="88">
        <v>4.3339280000000002</v>
      </c>
      <c r="P23" s="88">
        <v>4.5820100000000004</v>
      </c>
      <c r="Q23" s="88">
        <v>4.8586029999999996</v>
      </c>
      <c r="R23" s="88">
        <v>5.1157849999999998</v>
      </c>
      <c r="S23" s="88">
        <v>5.3752430000000002</v>
      </c>
      <c r="T23" s="88">
        <v>5.6369210000000001</v>
      </c>
      <c r="U23" s="88">
        <v>5.8950500000000003</v>
      </c>
      <c r="V23" s="88">
        <v>6.1207330000000004</v>
      </c>
      <c r="W23" s="88">
        <v>6.3446160000000003</v>
      </c>
      <c r="X23" s="88">
        <v>6.5425950000000004</v>
      </c>
      <c r="Y23" s="88">
        <v>6.7636419999999999</v>
      </c>
      <c r="Z23" s="88">
        <v>7.0199959999999999</v>
      </c>
      <c r="AA23" s="88">
        <v>7.3329820000000003</v>
      </c>
      <c r="AB23" s="88">
        <v>7.5693910000000004</v>
      </c>
      <c r="AC23" s="88">
        <v>7.8167439999999999</v>
      </c>
      <c r="AD23" s="88">
        <v>8.0776070000000004</v>
      </c>
      <c r="AE23" s="88">
        <v>8.3581129999999995</v>
      </c>
      <c r="AF23" s="89">
        <v>5.7785000000000003E-2</v>
      </c>
      <c r="AG23" s="80"/>
    </row>
    <row r="24" spans="1:33" ht="15" customHeight="1" x14ac:dyDescent="0.25">
      <c r="A24" s="78" t="s">
        <v>714</v>
      </c>
      <c r="B24" s="87" t="s">
        <v>715</v>
      </c>
      <c r="C24" s="88">
        <v>2.34727</v>
      </c>
      <c r="D24" s="88">
        <v>4.4234220000000004</v>
      </c>
      <c r="E24" s="88">
        <v>6.5103299999999997</v>
      </c>
      <c r="F24" s="88">
        <v>8.4475149999999992</v>
      </c>
      <c r="G24" s="88">
        <v>10.260118</v>
      </c>
      <c r="H24" s="88">
        <v>12.106405000000001</v>
      </c>
      <c r="I24" s="88">
        <v>13.894964</v>
      </c>
      <c r="J24" s="88">
        <v>15.720405</v>
      </c>
      <c r="K24" s="88">
        <v>17.546631000000001</v>
      </c>
      <c r="L24" s="88">
        <v>19.353251</v>
      </c>
      <c r="M24" s="88">
        <v>21.224616999999999</v>
      </c>
      <c r="N24" s="88">
        <v>23.038656</v>
      </c>
      <c r="O24" s="88">
        <v>24.968584</v>
      </c>
      <c r="P24" s="88">
        <v>27.018315999999999</v>
      </c>
      <c r="Q24" s="88">
        <v>29.246431000000001</v>
      </c>
      <c r="R24" s="88">
        <v>31.364456000000001</v>
      </c>
      <c r="S24" s="88">
        <v>33.500416000000001</v>
      </c>
      <c r="T24" s="88">
        <v>35.655448999999997</v>
      </c>
      <c r="U24" s="88">
        <v>37.791504000000003</v>
      </c>
      <c r="V24" s="88">
        <v>39.719631</v>
      </c>
      <c r="W24" s="88">
        <v>41.633910999999998</v>
      </c>
      <c r="X24" s="88">
        <v>43.373733999999999</v>
      </c>
      <c r="Y24" s="88">
        <v>45.262123000000003</v>
      </c>
      <c r="Z24" s="88">
        <v>47.386184999999998</v>
      </c>
      <c r="AA24" s="88">
        <v>49.898257999999998</v>
      </c>
      <c r="AB24" s="88">
        <v>51.892063</v>
      </c>
      <c r="AC24" s="88">
        <v>53.959820000000001</v>
      </c>
      <c r="AD24" s="88">
        <v>56.121364999999997</v>
      </c>
      <c r="AE24" s="88">
        <v>58.420788000000002</v>
      </c>
      <c r="AF24" s="89">
        <v>0.12164999999999999</v>
      </c>
      <c r="AG24" s="80"/>
    </row>
    <row r="25" spans="1:33" ht="15" customHeight="1" x14ac:dyDescent="0.25">
      <c r="A25" s="78" t="s">
        <v>716</v>
      </c>
      <c r="B25" s="87" t="s">
        <v>717</v>
      </c>
      <c r="C25" s="88">
        <v>16.660831000000002</v>
      </c>
      <c r="D25" s="88">
        <v>19.503101000000001</v>
      </c>
      <c r="E25" s="88">
        <v>22.200614999999999</v>
      </c>
      <c r="F25" s="88">
        <v>24.367394999999998</v>
      </c>
      <c r="G25" s="88">
        <v>26.257739999999998</v>
      </c>
      <c r="H25" s="88">
        <v>28.301953999999999</v>
      </c>
      <c r="I25" s="88">
        <v>30.256197</v>
      </c>
      <c r="J25" s="88">
        <v>32.324257000000003</v>
      </c>
      <c r="K25" s="88">
        <v>34.412506</v>
      </c>
      <c r="L25" s="88">
        <v>36.479725000000002</v>
      </c>
      <c r="M25" s="88">
        <v>38.679713999999997</v>
      </c>
      <c r="N25" s="88">
        <v>40.781128000000002</v>
      </c>
      <c r="O25" s="88">
        <v>43.091830999999999</v>
      </c>
      <c r="P25" s="88">
        <v>45.603496999999997</v>
      </c>
      <c r="Q25" s="88">
        <v>48.399467000000001</v>
      </c>
      <c r="R25" s="88">
        <v>51.002944999999997</v>
      </c>
      <c r="S25" s="88">
        <v>53.629680999999998</v>
      </c>
      <c r="T25" s="88">
        <v>56.278992000000002</v>
      </c>
      <c r="U25" s="88">
        <v>58.893321999999998</v>
      </c>
      <c r="V25" s="88">
        <v>61.183750000000003</v>
      </c>
      <c r="W25" s="88">
        <v>63.455978000000002</v>
      </c>
      <c r="X25" s="88">
        <v>65.468964</v>
      </c>
      <c r="Y25" s="88">
        <v>67.712502000000001</v>
      </c>
      <c r="Z25" s="88">
        <v>70.309714999999997</v>
      </c>
      <c r="AA25" s="88">
        <v>73.475539999999995</v>
      </c>
      <c r="AB25" s="88">
        <v>75.873489000000006</v>
      </c>
      <c r="AC25" s="88">
        <v>78.380973999999995</v>
      </c>
      <c r="AD25" s="88">
        <v>81.024094000000005</v>
      </c>
      <c r="AE25" s="88">
        <v>83.864440999999999</v>
      </c>
      <c r="AF25" s="89">
        <v>5.9417999999999999E-2</v>
      </c>
      <c r="AG25" s="80"/>
    </row>
    <row r="26" spans="1:33" ht="15" customHeight="1" x14ac:dyDescent="0.25">
      <c r="A26" s="78" t="s">
        <v>718</v>
      </c>
      <c r="B26" s="87" t="s">
        <v>719</v>
      </c>
      <c r="C26" s="88">
        <v>2.4163809999999999</v>
      </c>
      <c r="D26" s="88">
        <v>2.7793239999999999</v>
      </c>
      <c r="E26" s="88">
        <v>3.1208979999999999</v>
      </c>
      <c r="F26" s="88">
        <v>3.388887</v>
      </c>
      <c r="G26" s="88">
        <v>3.6195200000000001</v>
      </c>
      <c r="H26" s="88">
        <v>3.871928</v>
      </c>
      <c r="I26" s="88">
        <v>4.112279</v>
      </c>
      <c r="J26" s="88">
        <v>4.3681489999999998</v>
      </c>
      <c r="K26" s="88">
        <v>4.6265349999999996</v>
      </c>
      <c r="L26" s="88">
        <v>4.8819739999999996</v>
      </c>
      <c r="M26" s="88">
        <v>5.155017</v>
      </c>
      <c r="N26" s="88">
        <v>5.4144670000000001</v>
      </c>
      <c r="O26" s="88">
        <v>5.7013439999999997</v>
      </c>
      <c r="P26" s="88">
        <v>6.0141749999999998</v>
      </c>
      <c r="Q26" s="88">
        <v>6.3630979999999999</v>
      </c>
      <c r="R26" s="88">
        <v>6.6865069999999998</v>
      </c>
      <c r="S26" s="88">
        <v>7.0129149999999996</v>
      </c>
      <c r="T26" s="88">
        <v>7.3414060000000001</v>
      </c>
      <c r="U26" s="88">
        <v>7.6650020000000003</v>
      </c>
      <c r="V26" s="88">
        <v>7.9463210000000002</v>
      </c>
      <c r="W26" s="88">
        <v>8.2245559999999998</v>
      </c>
      <c r="X26" s="88">
        <v>8.4691089999999996</v>
      </c>
      <c r="Y26" s="88">
        <v>8.7432219999999994</v>
      </c>
      <c r="Z26" s="88">
        <v>9.0630970000000008</v>
      </c>
      <c r="AA26" s="88">
        <v>9.4596110000000007</v>
      </c>
      <c r="AB26" s="88">
        <v>9.7537870000000009</v>
      </c>
      <c r="AC26" s="88">
        <v>10.060923000000001</v>
      </c>
      <c r="AD26" s="88">
        <v>10.385608</v>
      </c>
      <c r="AE26" s="88">
        <v>10.734817</v>
      </c>
      <c r="AF26" s="89">
        <v>5.4702000000000001E-2</v>
      </c>
      <c r="AG26" s="80"/>
    </row>
    <row r="27" spans="1:33" ht="15" customHeight="1" x14ac:dyDescent="0.25">
      <c r="A27" s="78" t="s">
        <v>720</v>
      </c>
      <c r="B27" s="87" t="s">
        <v>721</v>
      </c>
      <c r="C27" s="88">
        <v>0.85057000000000005</v>
      </c>
      <c r="D27" s="88">
        <v>1.2301299999999999</v>
      </c>
      <c r="E27" s="88">
        <v>1.607591</v>
      </c>
      <c r="F27" s="88">
        <v>1.9478629999999999</v>
      </c>
      <c r="G27" s="88">
        <v>2.2618490000000002</v>
      </c>
      <c r="H27" s="88">
        <v>2.5850010000000001</v>
      </c>
      <c r="I27" s="88">
        <v>2.8968669999999999</v>
      </c>
      <c r="J27" s="88">
        <v>3.2170930000000002</v>
      </c>
      <c r="K27" s="88">
        <v>3.5376099999999999</v>
      </c>
      <c r="L27" s="88">
        <v>3.854425</v>
      </c>
      <c r="M27" s="88">
        <v>4.1841910000000002</v>
      </c>
      <c r="N27" s="88">
        <v>4.5023179999999998</v>
      </c>
      <c r="O27" s="88">
        <v>4.8428490000000002</v>
      </c>
      <c r="P27" s="88">
        <v>5.2059860000000002</v>
      </c>
      <c r="Q27" s="88">
        <v>5.6019449999999997</v>
      </c>
      <c r="R27" s="88">
        <v>5.9765319999999997</v>
      </c>
      <c r="S27" s="88">
        <v>6.354444</v>
      </c>
      <c r="T27" s="88">
        <v>6.7350919999999999</v>
      </c>
      <c r="U27" s="88">
        <v>7.1118160000000001</v>
      </c>
      <c r="V27" s="88">
        <v>7.4493419999999997</v>
      </c>
      <c r="W27" s="88">
        <v>7.7836749999999997</v>
      </c>
      <c r="X27" s="88">
        <v>8.0854420000000005</v>
      </c>
      <c r="Y27" s="88">
        <v>8.414771</v>
      </c>
      <c r="Z27" s="88">
        <v>8.7880479999999999</v>
      </c>
      <c r="AA27" s="88">
        <v>9.2362420000000007</v>
      </c>
      <c r="AB27" s="88">
        <v>9.5852740000000001</v>
      </c>
      <c r="AC27" s="88">
        <v>9.9469960000000004</v>
      </c>
      <c r="AD27" s="88">
        <v>10.326148</v>
      </c>
      <c r="AE27" s="88">
        <v>10.729991999999999</v>
      </c>
      <c r="AF27" s="89">
        <v>9.4756000000000007E-2</v>
      </c>
      <c r="AG27" s="80"/>
    </row>
    <row r="28" spans="1:33" ht="15" customHeight="1" x14ac:dyDescent="0.25">
      <c r="A28" s="78" t="s">
        <v>722</v>
      </c>
      <c r="B28" s="87" t="s">
        <v>723</v>
      </c>
      <c r="C28" s="88">
        <v>0</v>
      </c>
      <c r="D28" s="88">
        <v>0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  <c r="X28" s="88">
        <v>0</v>
      </c>
      <c r="Y28" s="88">
        <v>0</v>
      </c>
      <c r="Z28" s="88">
        <v>0</v>
      </c>
      <c r="AA28" s="88">
        <v>0</v>
      </c>
      <c r="AB28" s="88">
        <v>0</v>
      </c>
      <c r="AC28" s="88">
        <v>0</v>
      </c>
      <c r="AD28" s="88">
        <v>0</v>
      </c>
      <c r="AE28" s="88">
        <v>0</v>
      </c>
      <c r="AF28" s="89" t="s">
        <v>321</v>
      </c>
      <c r="AG28" s="80"/>
    </row>
    <row r="29" spans="1:33" ht="15" customHeight="1" x14ac:dyDescent="0.25">
      <c r="A29" s="78" t="s">
        <v>724</v>
      </c>
      <c r="B29" s="87" t="s">
        <v>725</v>
      </c>
      <c r="C29" s="88">
        <v>32.527453999999999</v>
      </c>
      <c r="D29" s="88">
        <v>34.683559000000002</v>
      </c>
      <c r="E29" s="88">
        <v>36.517467000000003</v>
      </c>
      <c r="F29" s="88">
        <v>37.527821000000003</v>
      </c>
      <c r="G29" s="88">
        <v>38.211796</v>
      </c>
      <c r="H29" s="88">
        <v>39.194439000000003</v>
      </c>
      <c r="I29" s="88">
        <v>40.098598000000003</v>
      </c>
      <c r="J29" s="88">
        <v>41.186400999999996</v>
      </c>
      <c r="K29" s="88">
        <v>42.318877999999998</v>
      </c>
      <c r="L29" s="88">
        <v>43.439338999999997</v>
      </c>
      <c r="M29" s="88">
        <v>44.725349000000001</v>
      </c>
      <c r="N29" s="88">
        <v>45.902386</v>
      </c>
      <c r="O29" s="88">
        <v>47.315739000000001</v>
      </c>
      <c r="P29" s="88">
        <v>48.939678000000001</v>
      </c>
      <c r="Q29" s="88">
        <v>50.848151999999999</v>
      </c>
      <c r="R29" s="88">
        <v>52.535007</v>
      </c>
      <c r="S29" s="88">
        <v>54.232723</v>
      </c>
      <c r="T29" s="88">
        <v>55.940033</v>
      </c>
      <c r="U29" s="88">
        <v>57.601685000000003</v>
      </c>
      <c r="V29" s="88">
        <v>58.942470999999998</v>
      </c>
      <c r="W29" s="88">
        <v>60.265563999999998</v>
      </c>
      <c r="X29" s="88">
        <v>61.346801999999997</v>
      </c>
      <c r="Y29" s="88">
        <v>62.647990999999998</v>
      </c>
      <c r="Z29" s="88">
        <v>64.274544000000006</v>
      </c>
      <c r="AA29" s="88">
        <v>66.418464999999998</v>
      </c>
      <c r="AB29" s="88">
        <v>67.851569999999995</v>
      </c>
      <c r="AC29" s="88">
        <v>69.378135999999998</v>
      </c>
      <c r="AD29" s="88">
        <v>71.021629000000004</v>
      </c>
      <c r="AE29" s="88">
        <v>72.830382999999998</v>
      </c>
      <c r="AF29" s="89">
        <v>2.9205999999999999E-2</v>
      </c>
      <c r="AG29" s="80"/>
    </row>
    <row r="30" spans="1:33" ht="15" customHeight="1" x14ac:dyDescent="0.25">
      <c r="A30" s="78" t="s">
        <v>726</v>
      </c>
      <c r="B30" s="87" t="s">
        <v>727</v>
      </c>
      <c r="C30" s="88">
        <v>0</v>
      </c>
      <c r="D30" s="88">
        <v>0</v>
      </c>
      <c r="E30" s="88">
        <v>0</v>
      </c>
      <c r="F30" s="88">
        <v>0</v>
      </c>
      <c r="G30" s="88">
        <v>0</v>
      </c>
      <c r="H30" s="88">
        <v>0</v>
      </c>
      <c r="I30" s="88">
        <v>0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  <c r="X30" s="88">
        <v>0</v>
      </c>
      <c r="Y30" s="88">
        <v>0</v>
      </c>
      <c r="Z30" s="88">
        <v>0</v>
      </c>
      <c r="AA30" s="88">
        <v>0</v>
      </c>
      <c r="AB30" s="88">
        <v>0</v>
      </c>
      <c r="AC30" s="88">
        <v>0</v>
      </c>
      <c r="AD30" s="88">
        <v>0</v>
      </c>
      <c r="AE30" s="88">
        <v>0</v>
      </c>
      <c r="AF30" s="89" t="s">
        <v>321</v>
      </c>
      <c r="AG30" s="80"/>
    </row>
    <row r="31" spans="1:33" ht="15" customHeight="1" x14ac:dyDescent="0.25">
      <c r="A31" s="78" t="s">
        <v>728</v>
      </c>
      <c r="B31" s="87" t="s">
        <v>729</v>
      </c>
      <c r="C31" s="88">
        <v>0</v>
      </c>
      <c r="D31" s="88">
        <v>0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  <c r="X31" s="88">
        <v>0</v>
      </c>
      <c r="Y31" s="88">
        <v>0</v>
      </c>
      <c r="Z31" s="88">
        <v>0</v>
      </c>
      <c r="AA31" s="88">
        <v>0</v>
      </c>
      <c r="AB31" s="88">
        <v>0</v>
      </c>
      <c r="AC31" s="88">
        <v>0</v>
      </c>
      <c r="AD31" s="88">
        <v>0</v>
      </c>
      <c r="AE31" s="88">
        <v>0</v>
      </c>
      <c r="AF31" s="89" t="s">
        <v>321</v>
      </c>
      <c r="AG31" s="80"/>
    </row>
    <row r="32" spans="1:33" ht="15" customHeight="1" x14ac:dyDescent="0.25">
      <c r="A32" s="78" t="s">
        <v>730</v>
      </c>
      <c r="B32" s="87" t="s">
        <v>731</v>
      </c>
      <c r="C32" s="88">
        <v>0</v>
      </c>
      <c r="D32" s="88">
        <v>0</v>
      </c>
      <c r="E32" s="88">
        <v>0</v>
      </c>
      <c r="F32" s="88">
        <v>0</v>
      </c>
      <c r="G32" s="88">
        <v>0</v>
      </c>
      <c r="H32" s="88">
        <v>0</v>
      </c>
      <c r="I32" s="88">
        <v>0</v>
      </c>
      <c r="J32" s="88">
        <v>0</v>
      </c>
      <c r="K32" s="88">
        <v>0</v>
      </c>
      <c r="L32" s="88">
        <v>0</v>
      </c>
      <c r="M32" s="88">
        <v>0</v>
      </c>
      <c r="N32" s="88">
        <v>0</v>
      </c>
      <c r="O32" s="88">
        <v>0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0</v>
      </c>
      <c r="V32" s="88">
        <v>0</v>
      </c>
      <c r="W32" s="88">
        <v>0</v>
      </c>
      <c r="X32" s="88">
        <v>0</v>
      </c>
      <c r="Y32" s="88">
        <v>0</v>
      </c>
      <c r="Z32" s="88">
        <v>0</v>
      </c>
      <c r="AA32" s="88">
        <v>0</v>
      </c>
      <c r="AB32" s="88">
        <v>0</v>
      </c>
      <c r="AC32" s="88">
        <v>0</v>
      </c>
      <c r="AD32" s="88">
        <v>0</v>
      </c>
      <c r="AE32" s="88">
        <v>0</v>
      </c>
      <c r="AF32" s="89" t="s">
        <v>321</v>
      </c>
      <c r="AG32" s="80"/>
    </row>
    <row r="33" spans="1:33" ht="15" customHeight="1" x14ac:dyDescent="0.25">
      <c r="A33" s="78" t="s">
        <v>732</v>
      </c>
      <c r="B33" s="87" t="s">
        <v>733</v>
      </c>
      <c r="C33" s="88">
        <v>0</v>
      </c>
      <c r="D33" s="88">
        <v>0</v>
      </c>
      <c r="E33" s="88">
        <v>0</v>
      </c>
      <c r="F33" s="88">
        <v>0</v>
      </c>
      <c r="G33" s="88">
        <v>0</v>
      </c>
      <c r="H33" s="88">
        <v>0</v>
      </c>
      <c r="I33" s="88">
        <v>0</v>
      </c>
      <c r="J33" s="88">
        <v>0</v>
      </c>
      <c r="K33" s="88">
        <v>0</v>
      </c>
      <c r="L33" s="88">
        <v>0</v>
      </c>
      <c r="M33" s="88">
        <v>0</v>
      </c>
      <c r="N33" s="88">
        <v>0</v>
      </c>
      <c r="O33" s="88">
        <v>0</v>
      </c>
      <c r="P33" s="88">
        <v>0</v>
      </c>
      <c r="Q33" s="88">
        <v>0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  <c r="X33" s="88">
        <v>0</v>
      </c>
      <c r="Y33" s="88">
        <v>0</v>
      </c>
      <c r="Z33" s="88">
        <v>0</v>
      </c>
      <c r="AA33" s="88">
        <v>0</v>
      </c>
      <c r="AB33" s="88">
        <v>0</v>
      </c>
      <c r="AC33" s="88">
        <v>0</v>
      </c>
      <c r="AD33" s="88">
        <v>0</v>
      </c>
      <c r="AE33" s="88">
        <v>0</v>
      </c>
      <c r="AF33" s="89" t="s">
        <v>321</v>
      </c>
      <c r="AG33" s="80"/>
    </row>
    <row r="34" spans="1:33" ht="15" customHeight="1" x14ac:dyDescent="0.25">
      <c r="A34" s="78" t="s">
        <v>734</v>
      </c>
      <c r="B34" s="87" t="s">
        <v>735</v>
      </c>
      <c r="C34" s="88">
        <v>0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  <c r="X34" s="88">
        <v>0</v>
      </c>
      <c r="Y34" s="88">
        <v>0</v>
      </c>
      <c r="Z34" s="88">
        <v>0</v>
      </c>
      <c r="AA34" s="88">
        <v>0</v>
      </c>
      <c r="AB34" s="88">
        <v>0</v>
      </c>
      <c r="AC34" s="88">
        <v>0</v>
      </c>
      <c r="AD34" s="88">
        <v>0</v>
      </c>
      <c r="AE34" s="88">
        <v>0</v>
      </c>
      <c r="AF34" s="89" t="s">
        <v>321</v>
      </c>
      <c r="AG34" s="80"/>
    </row>
    <row r="35" spans="1:33" ht="15" customHeight="1" x14ac:dyDescent="0.25">
      <c r="A35" s="78" t="s">
        <v>736</v>
      </c>
      <c r="B35" s="87" t="s">
        <v>737</v>
      </c>
      <c r="C35" s="88">
        <v>4.8113000000000003E-2</v>
      </c>
      <c r="D35" s="88">
        <v>9.2383999999999994E-2</v>
      </c>
      <c r="E35" s="88">
        <v>0.13745099999999999</v>
      </c>
      <c r="F35" s="88">
        <v>0.179425</v>
      </c>
      <c r="G35" s="88">
        <v>0.218551</v>
      </c>
      <c r="H35" s="88">
        <v>0.25812099999999999</v>
      </c>
      <c r="I35" s="88">
        <v>0.29622999999999999</v>
      </c>
      <c r="J35" s="88">
        <v>0.33490500000000001</v>
      </c>
      <c r="K35" s="88">
        <v>0.37334200000000001</v>
      </c>
      <c r="L35" s="88">
        <v>0.41120699999999999</v>
      </c>
      <c r="M35" s="88">
        <v>0.45029799999999998</v>
      </c>
      <c r="N35" s="88">
        <v>0.48788300000000001</v>
      </c>
      <c r="O35" s="88">
        <v>0.52772200000000002</v>
      </c>
      <c r="P35" s="88">
        <v>0.56985600000000003</v>
      </c>
      <c r="Q35" s="88">
        <v>0.61519100000000004</v>
      </c>
      <c r="R35" s="88">
        <v>0.65825</v>
      </c>
      <c r="S35" s="88">
        <v>0.70174800000000004</v>
      </c>
      <c r="T35" s="88">
        <v>0.74530600000000002</v>
      </c>
      <c r="U35" s="88">
        <v>0.78837999999999997</v>
      </c>
      <c r="V35" s="88">
        <v>0.82708400000000004</v>
      </c>
      <c r="W35" s="88">
        <v>0.86512500000000003</v>
      </c>
      <c r="X35" s="88">
        <v>0.89946000000000004</v>
      </c>
      <c r="Y35" s="88">
        <v>0.93670200000000003</v>
      </c>
      <c r="Z35" s="88">
        <v>0.97888399999999998</v>
      </c>
      <c r="AA35" s="88">
        <v>1.03084</v>
      </c>
      <c r="AB35" s="88">
        <v>1.070397</v>
      </c>
      <c r="AC35" s="88">
        <v>1.1109290000000001</v>
      </c>
      <c r="AD35" s="88">
        <v>1.1534819999999999</v>
      </c>
      <c r="AE35" s="88">
        <v>1.1985399999999999</v>
      </c>
      <c r="AF35" s="89">
        <v>0.121686</v>
      </c>
      <c r="AG35" s="80"/>
    </row>
    <row r="36" spans="1:33" ht="15" customHeight="1" x14ac:dyDescent="0.25">
      <c r="A36" s="78" t="s">
        <v>738</v>
      </c>
      <c r="B36" s="87" t="s">
        <v>739</v>
      </c>
      <c r="C36" s="88">
        <v>84.285843</v>
      </c>
      <c r="D36" s="88">
        <v>92.888846999999998</v>
      </c>
      <c r="E36" s="88">
        <v>100.7127</v>
      </c>
      <c r="F36" s="88">
        <v>106.283592</v>
      </c>
      <c r="G36" s="88">
        <v>110.868759</v>
      </c>
      <c r="H36" s="88">
        <v>116.25954400000001</v>
      </c>
      <c r="I36" s="88">
        <v>121.370949</v>
      </c>
      <c r="J36" s="88">
        <v>126.999863</v>
      </c>
      <c r="K36" s="88">
        <v>132.74479700000001</v>
      </c>
      <c r="L36" s="88">
        <v>138.42955000000001</v>
      </c>
      <c r="M36" s="88">
        <v>144.62823499999999</v>
      </c>
      <c r="N36" s="88">
        <v>150.46928399999999</v>
      </c>
      <c r="O36" s="88">
        <v>157.082077</v>
      </c>
      <c r="P36" s="88">
        <v>164.40995799999999</v>
      </c>
      <c r="Q36" s="88">
        <v>172.73554999999999</v>
      </c>
      <c r="R36" s="88">
        <v>180.33265700000001</v>
      </c>
      <c r="S36" s="88">
        <v>187.982193</v>
      </c>
      <c r="T36" s="88">
        <v>195.689606</v>
      </c>
      <c r="U36" s="88">
        <v>203.25299100000001</v>
      </c>
      <c r="V36" s="88">
        <v>209.687073</v>
      </c>
      <c r="W36" s="88">
        <v>216.059021</v>
      </c>
      <c r="X36" s="88">
        <v>221.55154400000001</v>
      </c>
      <c r="Y36" s="88">
        <v>227.82827800000001</v>
      </c>
      <c r="Z36" s="88">
        <v>235.286957</v>
      </c>
      <c r="AA36" s="88">
        <v>244.62560999999999</v>
      </c>
      <c r="AB36" s="88">
        <v>251.39295999999999</v>
      </c>
      <c r="AC36" s="88">
        <v>258.51663200000002</v>
      </c>
      <c r="AD36" s="88">
        <v>266.07833900000003</v>
      </c>
      <c r="AE36" s="88">
        <v>274.07794200000001</v>
      </c>
      <c r="AF36" s="89">
        <v>4.3013999999999997E-2</v>
      </c>
      <c r="AG36" s="80"/>
    </row>
    <row r="37" spans="1:33" ht="15" customHeight="1" x14ac:dyDescent="0.25"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</row>
    <row r="38" spans="1:33" ht="15" customHeight="1" x14ac:dyDescent="0.25">
      <c r="A38" s="78" t="s">
        <v>740</v>
      </c>
      <c r="B38" s="87" t="s">
        <v>741</v>
      </c>
      <c r="C38" s="88">
        <v>10.157681</v>
      </c>
      <c r="D38" s="88">
        <v>10.983188999999999</v>
      </c>
      <c r="E38" s="88">
        <v>11.805899999999999</v>
      </c>
      <c r="F38" s="88">
        <v>12.622498999999999</v>
      </c>
      <c r="G38" s="88">
        <v>13.434297000000001</v>
      </c>
      <c r="H38" s="88">
        <v>14.243176</v>
      </c>
      <c r="I38" s="88">
        <v>15.050748</v>
      </c>
      <c r="J38" s="88">
        <v>15.857642999999999</v>
      </c>
      <c r="K38" s="88">
        <v>16.664019</v>
      </c>
      <c r="L38" s="88">
        <v>17.470499</v>
      </c>
      <c r="M38" s="88">
        <v>18.277194999999999</v>
      </c>
      <c r="N38" s="88">
        <v>19.083721000000001</v>
      </c>
      <c r="O38" s="88">
        <v>19.890460999999998</v>
      </c>
      <c r="P38" s="88">
        <v>20.697310999999999</v>
      </c>
      <c r="Q38" s="88">
        <v>21.503720999999999</v>
      </c>
      <c r="R38" s="88">
        <v>22.311045</v>
      </c>
      <c r="S38" s="88">
        <v>23.119164999999999</v>
      </c>
      <c r="T38" s="88">
        <v>23.927289999999999</v>
      </c>
      <c r="U38" s="88">
        <v>24.735849000000002</v>
      </c>
      <c r="V38" s="88">
        <v>25.544803999999999</v>
      </c>
      <c r="W38" s="88">
        <v>26.353815000000001</v>
      </c>
      <c r="X38" s="88">
        <v>27.163171999999999</v>
      </c>
      <c r="Y38" s="88">
        <v>27.972829999999998</v>
      </c>
      <c r="Z38" s="88">
        <v>28.782892</v>
      </c>
      <c r="AA38" s="88">
        <v>29.593699999999998</v>
      </c>
      <c r="AB38" s="88">
        <v>30.404064000000002</v>
      </c>
      <c r="AC38" s="88">
        <v>31.214642000000001</v>
      </c>
      <c r="AD38" s="88">
        <v>32.025562000000001</v>
      </c>
      <c r="AE38" s="88">
        <v>32.813243999999997</v>
      </c>
      <c r="AF38" s="89">
        <v>4.2768E-2</v>
      </c>
      <c r="AG38" s="80"/>
    </row>
    <row r="39" spans="1:33" ht="12" customHeight="1" x14ac:dyDescent="0.25">
      <c r="A39" s="78" t="s">
        <v>742</v>
      </c>
      <c r="B39" s="87" t="s">
        <v>743</v>
      </c>
      <c r="C39" s="88">
        <v>829.77441399999998</v>
      </c>
      <c r="D39" s="88">
        <v>845.73663299999998</v>
      </c>
      <c r="E39" s="88">
        <v>853.07098399999995</v>
      </c>
      <c r="F39" s="88">
        <v>842.01702899999998</v>
      </c>
      <c r="G39" s="88">
        <v>825.26654099999996</v>
      </c>
      <c r="H39" s="88">
        <v>816.24737500000003</v>
      </c>
      <c r="I39" s="88">
        <v>806.41143799999998</v>
      </c>
      <c r="J39" s="88">
        <v>800.87481700000001</v>
      </c>
      <c r="K39" s="88">
        <v>796.59533699999997</v>
      </c>
      <c r="L39" s="88">
        <v>792.36175500000002</v>
      </c>
      <c r="M39" s="88">
        <v>791.30432099999996</v>
      </c>
      <c r="N39" s="88">
        <v>788.46929899999998</v>
      </c>
      <c r="O39" s="88">
        <v>789.73571800000002</v>
      </c>
      <c r="P39" s="88">
        <v>794.35418700000002</v>
      </c>
      <c r="Q39" s="88">
        <v>803.282104</v>
      </c>
      <c r="R39" s="88">
        <v>808.26629600000001</v>
      </c>
      <c r="S39" s="88">
        <v>813.101135</v>
      </c>
      <c r="T39" s="88">
        <v>817.85107400000004</v>
      </c>
      <c r="U39" s="88">
        <v>821.69397000000004</v>
      </c>
      <c r="V39" s="88">
        <v>820.85998500000005</v>
      </c>
      <c r="W39" s="88">
        <v>819.83960000000002</v>
      </c>
      <c r="X39" s="88">
        <v>815.63207999999997</v>
      </c>
      <c r="Y39" s="88">
        <v>814.46276899999998</v>
      </c>
      <c r="Z39" s="88">
        <v>817.45422399999995</v>
      </c>
      <c r="AA39" s="88">
        <v>826.613831</v>
      </c>
      <c r="AB39" s="88">
        <v>826.839966</v>
      </c>
      <c r="AC39" s="88">
        <v>828.19030799999996</v>
      </c>
      <c r="AD39" s="88">
        <v>830.83117700000003</v>
      </c>
      <c r="AE39" s="88">
        <v>835.26629600000001</v>
      </c>
      <c r="AF39" s="89">
        <v>2.3599999999999999E-4</v>
      </c>
      <c r="AG39" s="80"/>
    </row>
    <row r="40" spans="1:33" ht="12" customHeight="1" x14ac:dyDescent="0.25"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</row>
    <row r="41" spans="1:33" ht="12" customHeight="1" x14ac:dyDescent="0.25">
      <c r="B41" s="86" t="s">
        <v>744</v>
      </c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</row>
    <row r="42" spans="1:33" ht="12" customHeight="1" x14ac:dyDescent="0.25">
      <c r="B42" s="86" t="s">
        <v>745</v>
      </c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</row>
    <row r="43" spans="1:33" ht="12" customHeight="1" x14ac:dyDescent="0.25">
      <c r="A43" s="78" t="s">
        <v>746</v>
      </c>
      <c r="B43" s="87" t="s">
        <v>704</v>
      </c>
      <c r="C43" s="88">
        <v>1139.8826899999999</v>
      </c>
      <c r="D43" s="88">
        <v>1177.592163</v>
      </c>
      <c r="E43" s="88">
        <v>1225.1961670000001</v>
      </c>
      <c r="F43" s="88">
        <v>1266.6292719999999</v>
      </c>
      <c r="G43" s="88">
        <v>1280.5263669999999</v>
      </c>
      <c r="H43" s="88">
        <v>1273.6563719999999</v>
      </c>
      <c r="I43" s="88">
        <v>1266.3192140000001</v>
      </c>
      <c r="J43" s="88">
        <v>1266.370361</v>
      </c>
      <c r="K43" s="88">
        <v>1255.4794919999999</v>
      </c>
      <c r="L43" s="88">
        <v>1247.123413</v>
      </c>
      <c r="M43" s="88">
        <v>1238.2232670000001</v>
      </c>
      <c r="N43" s="88">
        <v>1229.9169919999999</v>
      </c>
      <c r="O43" s="88">
        <v>1228.6763920000001</v>
      </c>
      <c r="P43" s="88">
        <v>1234.7006839999999</v>
      </c>
      <c r="Q43" s="88">
        <v>1240.9655760000001</v>
      </c>
      <c r="R43" s="88">
        <v>1247.8654790000001</v>
      </c>
      <c r="S43" s="88">
        <v>1256.841919</v>
      </c>
      <c r="T43" s="88">
        <v>1264.0477289999999</v>
      </c>
      <c r="U43" s="88">
        <v>1273.665039</v>
      </c>
      <c r="V43" s="88">
        <v>1276.9398189999999</v>
      </c>
      <c r="W43" s="88">
        <v>1280.798096</v>
      </c>
      <c r="X43" s="88">
        <v>1284.902832</v>
      </c>
      <c r="Y43" s="88">
        <v>1287.0942379999999</v>
      </c>
      <c r="Z43" s="88">
        <v>1296.9729</v>
      </c>
      <c r="AA43" s="88">
        <v>1299.4545900000001</v>
      </c>
      <c r="AB43" s="88">
        <v>1304.3114009999999</v>
      </c>
      <c r="AC43" s="88">
        <v>1303.9990230000001</v>
      </c>
      <c r="AD43" s="88">
        <v>1310.53125</v>
      </c>
      <c r="AE43" s="88">
        <v>1318.357544</v>
      </c>
      <c r="AF43" s="89">
        <v>5.2090000000000001E-3</v>
      </c>
      <c r="AG43" s="80"/>
    </row>
    <row r="44" spans="1:33" ht="12" customHeight="1" x14ac:dyDescent="0.25">
      <c r="A44" s="78" t="s">
        <v>747</v>
      </c>
      <c r="B44" s="87" t="s">
        <v>706</v>
      </c>
      <c r="C44" s="88">
        <v>4.2833999999999997E-2</v>
      </c>
      <c r="D44" s="88">
        <v>4.48E-2</v>
      </c>
      <c r="E44" s="88">
        <v>4.7136999999999998E-2</v>
      </c>
      <c r="F44" s="88">
        <v>4.9204999999999999E-2</v>
      </c>
      <c r="G44" s="88">
        <v>5.0164E-2</v>
      </c>
      <c r="H44" s="88">
        <v>5.0279999999999998E-2</v>
      </c>
      <c r="I44" s="88">
        <v>5.0354000000000003E-2</v>
      </c>
      <c r="J44" s="88">
        <v>5.0707000000000002E-2</v>
      </c>
      <c r="K44" s="88">
        <v>5.0605999999999998E-2</v>
      </c>
      <c r="L44" s="88">
        <v>5.0601E-2</v>
      </c>
      <c r="M44" s="88">
        <v>5.0573E-2</v>
      </c>
      <c r="N44" s="88">
        <v>5.0560000000000001E-2</v>
      </c>
      <c r="O44" s="88">
        <v>5.0837E-2</v>
      </c>
      <c r="P44" s="88">
        <v>5.1416000000000003E-2</v>
      </c>
      <c r="Q44" s="88">
        <v>5.1998999999999997E-2</v>
      </c>
      <c r="R44" s="88">
        <v>5.2623000000000003E-2</v>
      </c>
      <c r="S44" s="88">
        <v>5.3331999999999997E-2</v>
      </c>
      <c r="T44" s="88">
        <v>5.3966E-2</v>
      </c>
      <c r="U44" s="88">
        <v>5.4716000000000001E-2</v>
      </c>
      <c r="V44" s="88">
        <v>5.5203000000000002E-2</v>
      </c>
      <c r="W44" s="88">
        <v>5.5719999999999999E-2</v>
      </c>
      <c r="X44" s="88">
        <v>5.6253999999999998E-2</v>
      </c>
      <c r="Y44" s="88">
        <v>5.6709000000000002E-2</v>
      </c>
      <c r="Z44" s="88">
        <v>5.7514999999999997E-2</v>
      </c>
      <c r="AA44" s="88">
        <v>5.8032E-2</v>
      </c>
      <c r="AB44" s="88">
        <v>5.8631999999999997E-2</v>
      </c>
      <c r="AC44" s="88">
        <v>5.8999000000000003E-2</v>
      </c>
      <c r="AD44" s="88">
        <v>5.9676E-2</v>
      </c>
      <c r="AE44" s="88">
        <v>6.0409999999999998E-2</v>
      </c>
      <c r="AF44" s="89">
        <v>1.2355E-2</v>
      </c>
      <c r="AG44" s="80"/>
    </row>
    <row r="45" spans="1:33" ht="12" customHeight="1" x14ac:dyDescent="0.25">
      <c r="A45" s="78" t="s">
        <v>748</v>
      </c>
      <c r="B45" s="87" t="s">
        <v>749</v>
      </c>
      <c r="C45" s="88">
        <v>1139.9255370000001</v>
      </c>
      <c r="D45" s="88">
        <v>1177.6369629999999</v>
      </c>
      <c r="E45" s="88">
        <v>1225.2432859999999</v>
      </c>
      <c r="F45" s="88">
        <v>1266.678467</v>
      </c>
      <c r="G45" s="88">
        <v>1280.576538</v>
      </c>
      <c r="H45" s="88">
        <v>1273.7066649999999</v>
      </c>
      <c r="I45" s="88">
        <v>1266.369629</v>
      </c>
      <c r="J45" s="88">
        <v>1266.4210210000001</v>
      </c>
      <c r="K45" s="88">
        <v>1255.5301509999999</v>
      </c>
      <c r="L45" s="88">
        <v>1247.174072</v>
      </c>
      <c r="M45" s="88">
        <v>1238.2738039999999</v>
      </c>
      <c r="N45" s="88">
        <v>1229.967529</v>
      </c>
      <c r="O45" s="88">
        <v>1228.727173</v>
      </c>
      <c r="P45" s="88">
        <v>1234.7520750000001</v>
      </c>
      <c r="Q45" s="88">
        <v>1241.017578</v>
      </c>
      <c r="R45" s="88">
        <v>1247.918091</v>
      </c>
      <c r="S45" s="88">
        <v>1256.895264</v>
      </c>
      <c r="T45" s="88">
        <v>1264.1016850000001</v>
      </c>
      <c r="U45" s="88">
        <v>1273.7197269999999</v>
      </c>
      <c r="V45" s="88">
        <v>1276.994995</v>
      </c>
      <c r="W45" s="88">
        <v>1280.85376</v>
      </c>
      <c r="X45" s="88">
        <v>1284.959106</v>
      </c>
      <c r="Y45" s="88">
        <v>1287.151001</v>
      </c>
      <c r="Z45" s="88">
        <v>1297.0303960000001</v>
      </c>
      <c r="AA45" s="88">
        <v>1299.512573</v>
      </c>
      <c r="AB45" s="88">
        <v>1304.369995</v>
      </c>
      <c r="AC45" s="88">
        <v>1304.0579829999999</v>
      </c>
      <c r="AD45" s="88">
        <v>1310.590942</v>
      </c>
      <c r="AE45" s="88">
        <v>1318.4179690000001</v>
      </c>
      <c r="AF45" s="89">
        <v>5.2090000000000001E-3</v>
      </c>
      <c r="AG45" s="80"/>
    </row>
    <row r="46" spans="1:33" ht="12" customHeight="1" x14ac:dyDescent="0.25"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</row>
    <row r="47" spans="1:33" ht="12" customHeight="1" x14ac:dyDescent="0.25">
      <c r="B47" s="86" t="s">
        <v>750</v>
      </c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</row>
    <row r="48" spans="1:33" ht="12" customHeight="1" x14ac:dyDescent="0.25">
      <c r="A48" s="78" t="s">
        <v>751</v>
      </c>
      <c r="B48" s="87" t="s">
        <v>711</v>
      </c>
      <c r="C48" s="88">
        <v>97.975632000000004</v>
      </c>
      <c r="D48" s="88">
        <v>102.396866</v>
      </c>
      <c r="E48" s="88">
        <v>107.670074</v>
      </c>
      <c r="F48" s="88">
        <v>112.335747</v>
      </c>
      <c r="G48" s="88">
        <v>114.480133</v>
      </c>
      <c r="H48" s="88">
        <v>114.707611</v>
      </c>
      <c r="I48" s="88">
        <v>114.84384900000001</v>
      </c>
      <c r="J48" s="88">
        <v>115.61747699999999</v>
      </c>
      <c r="K48" s="88">
        <v>115.360405</v>
      </c>
      <c r="L48" s="88">
        <v>115.324371</v>
      </c>
      <c r="M48" s="88">
        <v>115.233521</v>
      </c>
      <c r="N48" s="88">
        <v>115.18001599999999</v>
      </c>
      <c r="O48" s="88">
        <v>115.78655999999999</v>
      </c>
      <c r="P48" s="88">
        <v>117.082176</v>
      </c>
      <c r="Q48" s="88">
        <v>118.387558</v>
      </c>
      <c r="R48" s="88">
        <v>119.784828</v>
      </c>
      <c r="S48" s="88">
        <v>121.377831</v>
      </c>
      <c r="T48" s="88">
        <v>122.802498</v>
      </c>
      <c r="U48" s="88">
        <v>124.48741099999999</v>
      </c>
      <c r="V48" s="88">
        <v>125.57402</v>
      </c>
      <c r="W48" s="88">
        <v>126.727165</v>
      </c>
      <c r="X48" s="88">
        <v>127.91965500000001</v>
      </c>
      <c r="Y48" s="88">
        <v>128.931488</v>
      </c>
      <c r="Z48" s="88">
        <v>130.741165</v>
      </c>
      <c r="AA48" s="88">
        <v>131.88453699999999</v>
      </c>
      <c r="AB48" s="88">
        <v>133.223083</v>
      </c>
      <c r="AC48" s="88">
        <v>134.03350800000001</v>
      </c>
      <c r="AD48" s="88">
        <v>135.54968299999999</v>
      </c>
      <c r="AE48" s="88">
        <v>137.19546500000001</v>
      </c>
      <c r="AF48" s="89">
        <v>1.2097E-2</v>
      </c>
      <c r="AG48" s="80"/>
    </row>
    <row r="49" spans="1:33" ht="12" customHeight="1" x14ac:dyDescent="0.25">
      <c r="A49" s="78" t="s">
        <v>752</v>
      </c>
      <c r="B49" s="87" t="s">
        <v>713</v>
      </c>
      <c r="C49" s="88">
        <v>7.7187000000000006E-2</v>
      </c>
      <c r="D49" s="88">
        <v>7.6893000000000003E-2</v>
      </c>
      <c r="E49" s="88">
        <v>7.7079999999999996E-2</v>
      </c>
      <c r="F49" s="88">
        <v>7.6725000000000002E-2</v>
      </c>
      <c r="G49" s="88">
        <v>7.4614E-2</v>
      </c>
      <c r="H49" s="88">
        <v>7.1290999999999993E-2</v>
      </c>
      <c r="I49" s="88">
        <v>6.7976999999999996E-2</v>
      </c>
      <c r="J49" s="88">
        <v>6.5073000000000006E-2</v>
      </c>
      <c r="K49" s="88">
        <v>6.1624999999999999E-2</v>
      </c>
      <c r="L49" s="88">
        <v>5.8332000000000002E-2</v>
      </c>
      <c r="M49" s="88">
        <v>5.5036000000000002E-2</v>
      </c>
      <c r="N49" s="88">
        <v>5.1792999999999999E-2</v>
      </c>
      <c r="O49" s="88">
        <v>4.8852E-2</v>
      </c>
      <c r="P49" s="88">
        <v>4.6171999999999998E-2</v>
      </c>
      <c r="Q49" s="88">
        <v>4.3458999999999998E-2</v>
      </c>
      <c r="R49" s="88">
        <v>4.0714E-2</v>
      </c>
      <c r="S49" s="88">
        <v>3.7982000000000002E-2</v>
      </c>
      <c r="T49" s="88">
        <v>3.5138999999999997E-2</v>
      </c>
      <c r="U49" s="88">
        <v>3.2300000000000002E-2</v>
      </c>
      <c r="V49" s="88">
        <v>2.9246000000000001E-2</v>
      </c>
      <c r="W49" s="88">
        <v>2.6165999999999998E-2</v>
      </c>
      <c r="X49" s="88">
        <v>2.3050000000000001E-2</v>
      </c>
      <c r="Y49" s="88">
        <v>1.9861E-2</v>
      </c>
      <c r="Z49" s="88">
        <v>1.6736000000000001E-2</v>
      </c>
      <c r="AA49" s="88">
        <v>1.3457999999999999E-2</v>
      </c>
      <c r="AB49" s="88">
        <v>1.0167000000000001E-2</v>
      </c>
      <c r="AC49" s="88">
        <v>6.8009999999999998E-3</v>
      </c>
      <c r="AD49" s="88">
        <v>3.4299999999999999E-3</v>
      </c>
      <c r="AE49" s="88">
        <v>0</v>
      </c>
      <c r="AF49" s="89" t="s">
        <v>321</v>
      </c>
      <c r="AG49" s="80"/>
    </row>
    <row r="50" spans="1:33" ht="15" customHeight="1" x14ac:dyDescent="0.25">
      <c r="A50" s="78" t="s">
        <v>753</v>
      </c>
      <c r="B50" s="87" t="s">
        <v>715</v>
      </c>
      <c r="C50" s="88">
        <v>3.6266189999999998</v>
      </c>
      <c r="D50" s="88">
        <v>7.1142820000000002</v>
      </c>
      <c r="E50" s="88">
        <v>10.936429</v>
      </c>
      <c r="F50" s="88">
        <v>14.991846000000001</v>
      </c>
      <c r="G50" s="88">
        <v>18.91403</v>
      </c>
      <c r="H50" s="88">
        <v>22.581854</v>
      </c>
      <c r="I50" s="88">
        <v>26.231238999999999</v>
      </c>
      <c r="J50" s="88">
        <v>30.044129999999999</v>
      </c>
      <c r="K50" s="88">
        <v>33.597034000000001</v>
      </c>
      <c r="L50" s="88">
        <v>37.191940000000002</v>
      </c>
      <c r="M50" s="88">
        <v>40.750644999999999</v>
      </c>
      <c r="N50" s="88">
        <v>44.308708000000003</v>
      </c>
      <c r="O50" s="88">
        <v>48.125022999999999</v>
      </c>
      <c r="P50" s="88">
        <v>52.274918</v>
      </c>
      <c r="Q50" s="88">
        <v>56.508243999999998</v>
      </c>
      <c r="R50" s="88">
        <v>60.848197999999996</v>
      </c>
      <c r="S50" s="88">
        <v>65.376472000000007</v>
      </c>
      <c r="T50" s="88">
        <v>69.901756000000006</v>
      </c>
      <c r="U50" s="88">
        <v>74.653328000000002</v>
      </c>
      <c r="V50" s="88">
        <v>79.114174000000006</v>
      </c>
      <c r="W50" s="88">
        <v>83.673812999999996</v>
      </c>
      <c r="X50" s="88">
        <v>88.316001999999997</v>
      </c>
      <c r="Y50" s="88">
        <v>92.888107000000005</v>
      </c>
      <c r="Z50" s="88">
        <v>98.097862000000006</v>
      </c>
      <c r="AA50" s="88">
        <v>102.834633</v>
      </c>
      <c r="AB50" s="88">
        <v>107.82616400000001</v>
      </c>
      <c r="AC50" s="88">
        <v>112.44903600000001</v>
      </c>
      <c r="AD50" s="88">
        <v>117.727913</v>
      </c>
      <c r="AE50" s="88">
        <v>123.218712</v>
      </c>
      <c r="AF50" s="89">
        <v>0.134187</v>
      </c>
      <c r="AG50" s="80"/>
    </row>
    <row r="51" spans="1:33" ht="15" customHeight="1" x14ac:dyDescent="0.25">
      <c r="A51" s="78" t="s">
        <v>754</v>
      </c>
      <c r="B51" s="87" t="s">
        <v>717</v>
      </c>
      <c r="C51" s="88">
        <v>1.5407519999999999</v>
      </c>
      <c r="D51" s="88">
        <v>2.0549010000000001</v>
      </c>
      <c r="E51" s="88">
        <v>2.6251910000000001</v>
      </c>
      <c r="F51" s="88">
        <v>3.2232090000000002</v>
      </c>
      <c r="G51" s="88">
        <v>3.7786979999999999</v>
      </c>
      <c r="H51" s="88">
        <v>4.2807060000000003</v>
      </c>
      <c r="I51" s="88">
        <v>4.7801239999999998</v>
      </c>
      <c r="J51" s="88">
        <v>5.3091759999999999</v>
      </c>
      <c r="K51" s="88">
        <v>5.7925469999999999</v>
      </c>
      <c r="L51" s="88">
        <v>6.2841839999999998</v>
      </c>
      <c r="M51" s="88">
        <v>6.7704449999999996</v>
      </c>
      <c r="N51" s="88">
        <v>7.25732</v>
      </c>
      <c r="O51" s="88">
        <v>7.7865450000000003</v>
      </c>
      <c r="P51" s="88">
        <v>8.3687529999999999</v>
      </c>
      <c r="Q51" s="88">
        <v>8.9629480000000008</v>
      </c>
      <c r="R51" s="88">
        <v>9.5726270000000007</v>
      </c>
      <c r="S51" s="88">
        <v>10.210526</v>
      </c>
      <c r="T51" s="88">
        <v>10.846562</v>
      </c>
      <c r="U51" s="88">
        <v>11.516315000000001</v>
      </c>
      <c r="V51" s="88">
        <v>12.140107</v>
      </c>
      <c r="W51" s="88">
        <v>12.778309</v>
      </c>
      <c r="X51" s="88">
        <v>13.428331999999999</v>
      </c>
      <c r="Y51" s="88">
        <v>14.067024</v>
      </c>
      <c r="Z51" s="88">
        <v>14.801416</v>
      </c>
      <c r="AA51" s="88">
        <v>15.463592</v>
      </c>
      <c r="AB51" s="88">
        <v>16.163537999999999</v>
      </c>
      <c r="AC51" s="88">
        <v>16.80772</v>
      </c>
      <c r="AD51" s="88">
        <v>17.549416999999998</v>
      </c>
      <c r="AE51" s="88">
        <v>18.321916999999999</v>
      </c>
      <c r="AF51" s="89">
        <v>9.2450000000000004E-2</v>
      </c>
      <c r="AG51" s="80"/>
    </row>
    <row r="52" spans="1:33" ht="15" customHeight="1" x14ac:dyDescent="0.25">
      <c r="A52" s="78" t="s">
        <v>755</v>
      </c>
      <c r="B52" s="87" t="s">
        <v>719</v>
      </c>
      <c r="C52" s="88">
        <v>4.7443010000000001</v>
      </c>
      <c r="D52" s="88">
        <v>5.0455069999999997</v>
      </c>
      <c r="E52" s="88">
        <v>5.4024989999999997</v>
      </c>
      <c r="F52" s="88">
        <v>5.7478610000000003</v>
      </c>
      <c r="G52" s="88">
        <v>5.9794809999999998</v>
      </c>
      <c r="H52" s="88">
        <v>6.1178429999999997</v>
      </c>
      <c r="I52" s="88">
        <v>6.2542980000000004</v>
      </c>
      <c r="J52" s="88">
        <v>6.4282649999999997</v>
      </c>
      <c r="K52" s="88">
        <v>6.5471839999999997</v>
      </c>
      <c r="L52" s="88">
        <v>6.6780039999999996</v>
      </c>
      <c r="M52" s="88">
        <v>6.8046899999999999</v>
      </c>
      <c r="N52" s="88">
        <v>6.9338360000000003</v>
      </c>
      <c r="O52" s="88">
        <v>7.1027570000000004</v>
      </c>
      <c r="P52" s="88">
        <v>7.3157490000000003</v>
      </c>
      <c r="Q52" s="88">
        <v>7.5340819999999997</v>
      </c>
      <c r="R52" s="88">
        <v>7.758972</v>
      </c>
      <c r="S52" s="88">
        <v>8.0011349999999997</v>
      </c>
      <c r="T52" s="88">
        <v>8.2362789999999997</v>
      </c>
      <c r="U52" s="88">
        <v>8.490767</v>
      </c>
      <c r="V52" s="88">
        <v>8.7061309999999992</v>
      </c>
      <c r="W52" s="88">
        <v>8.9281260000000007</v>
      </c>
      <c r="X52" s="88">
        <v>9.1544550000000005</v>
      </c>
      <c r="Y52" s="88">
        <v>9.3696739999999998</v>
      </c>
      <c r="Z52" s="88">
        <v>9.6438179999999996</v>
      </c>
      <c r="AA52" s="88">
        <v>9.8639759999999992</v>
      </c>
      <c r="AB52" s="88">
        <v>10.107215</v>
      </c>
      <c r="AC52" s="88">
        <v>10.313154000000001</v>
      </c>
      <c r="AD52" s="88">
        <v>10.576283999999999</v>
      </c>
      <c r="AE52" s="88">
        <v>10.854796</v>
      </c>
      <c r="AF52" s="89">
        <v>3.0001E-2</v>
      </c>
      <c r="AG52" s="80"/>
    </row>
    <row r="53" spans="1:33" ht="15" customHeight="1" x14ac:dyDescent="0.25">
      <c r="A53" s="78" t="s">
        <v>756</v>
      </c>
      <c r="B53" s="87" t="s">
        <v>721</v>
      </c>
      <c r="C53" s="88">
        <v>0.34685300000000002</v>
      </c>
      <c r="D53" s="88">
        <v>0.68548900000000001</v>
      </c>
      <c r="E53" s="88">
        <v>1.054651</v>
      </c>
      <c r="F53" s="88">
        <v>1.4450639999999999</v>
      </c>
      <c r="G53" s="88">
        <v>1.8217939999999999</v>
      </c>
      <c r="H53" s="88">
        <v>2.1732770000000001</v>
      </c>
      <c r="I53" s="88">
        <v>2.522332</v>
      </c>
      <c r="J53" s="88">
        <v>2.8865059999999998</v>
      </c>
      <c r="K53" s="88">
        <v>3.2252179999999999</v>
      </c>
      <c r="L53" s="88">
        <v>3.5672820000000001</v>
      </c>
      <c r="M53" s="88">
        <v>3.9051309999999999</v>
      </c>
      <c r="N53" s="88">
        <v>4.2424379999999999</v>
      </c>
      <c r="O53" s="88">
        <v>4.6038059999999996</v>
      </c>
      <c r="P53" s="88">
        <v>4.9964139999999997</v>
      </c>
      <c r="Q53" s="88">
        <v>5.3968340000000001</v>
      </c>
      <c r="R53" s="88">
        <v>5.8063060000000002</v>
      </c>
      <c r="S53" s="88">
        <v>6.2335190000000003</v>
      </c>
      <c r="T53" s="88">
        <v>6.6600770000000002</v>
      </c>
      <c r="U53" s="88">
        <v>7.1071929999999996</v>
      </c>
      <c r="V53" s="88">
        <v>7.525671</v>
      </c>
      <c r="W53" s="88">
        <v>7.9528939999999997</v>
      </c>
      <c r="X53" s="88">
        <v>8.3870989999999992</v>
      </c>
      <c r="Y53" s="88">
        <v>8.8139050000000001</v>
      </c>
      <c r="Z53" s="88">
        <v>9.2999410000000005</v>
      </c>
      <c r="AA53" s="88">
        <v>9.7377129999999994</v>
      </c>
      <c r="AB53" s="88">
        <v>10.201078000000001</v>
      </c>
      <c r="AC53" s="88">
        <v>10.629158</v>
      </c>
      <c r="AD53" s="88">
        <v>11.118840000000001</v>
      </c>
      <c r="AE53" s="88">
        <v>11.628693999999999</v>
      </c>
      <c r="AF53" s="89">
        <v>0.13364799999999999</v>
      </c>
      <c r="AG53" s="80"/>
    </row>
    <row r="54" spans="1:33" ht="15" customHeight="1" x14ac:dyDescent="0.25">
      <c r="A54" s="78" t="s">
        <v>757</v>
      </c>
      <c r="B54" s="87" t="s">
        <v>723</v>
      </c>
      <c r="C54" s="88">
        <v>0</v>
      </c>
      <c r="D54" s="88">
        <v>0</v>
      </c>
      <c r="E54" s="88">
        <v>0</v>
      </c>
      <c r="F54" s="88">
        <v>0</v>
      </c>
      <c r="G54" s="88">
        <v>0</v>
      </c>
      <c r="H54" s="88">
        <v>0</v>
      </c>
      <c r="I54" s="88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</v>
      </c>
      <c r="P54" s="88">
        <v>0</v>
      </c>
      <c r="Q54" s="88">
        <v>0</v>
      </c>
      <c r="R54" s="88">
        <v>0</v>
      </c>
      <c r="S54" s="88">
        <v>0</v>
      </c>
      <c r="T54" s="88">
        <v>0</v>
      </c>
      <c r="U54" s="88">
        <v>0</v>
      </c>
      <c r="V54" s="88">
        <v>0</v>
      </c>
      <c r="W54" s="88">
        <v>0</v>
      </c>
      <c r="X54" s="88">
        <v>0</v>
      </c>
      <c r="Y54" s="88">
        <v>0</v>
      </c>
      <c r="Z54" s="88">
        <v>0</v>
      </c>
      <c r="AA54" s="88">
        <v>0</v>
      </c>
      <c r="AB54" s="88">
        <v>0</v>
      </c>
      <c r="AC54" s="88">
        <v>0</v>
      </c>
      <c r="AD54" s="88">
        <v>0</v>
      </c>
      <c r="AE54" s="88">
        <v>0</v>
      </c>
      <c r="AF54" s="89" t="s">
        <v>321</v>
      </c>
      <c r="AG54" s="80"/>
    </row>
    <row r="55" spans="1:33" ht="15" customHeight="1" x14ac:dyDescent="0.25">
      <c r="A55" s="78" t="s">
        <v>758</v>
      </c>
      <c r="B55" s="87" t="s">
        <v>725</v>
      </c>
      <c r="C55" s="88">
        <v>37.296287999999997</v>
      </c>
      <c r="D55" s="88">
        <v>39.102524000000003</v>
      </c>
      <c r="E55" s="88">
        <v>41.305427999999999</v>
      </c>
      <c r="F55" s="88">
        <v>43.376812000000001</v>
      </c>
      <c r="G55" s="88">
        <v>44.561202999999999</v>
      </c>
      <c r="H55" s="88">
        <v>45.045020999999998</v>
      </c>
      <c r="I55" s="88">
        <v>45.519053999999997</v>
      </c>
      <c r="J55" s="88">
        <v>46.267310999999999</v>
      </c>
      <c r="K55" s="88">
        <v>46.621571000000003</v>
      </c>
      <c r="L55" s="88">
        <v>47.067920999999998</v>
      </c>
      <c r="M55" s="88">
        <v>47.492344000000003</v>
      </c>
      <c r="N55" s="88">
        <v>47.939545000000003</v>
      </c>
      <c r="O55" s="88">
        <v>48.665664999999997</v>
      </c>
      <c r="P55" s="88">
        <v>49.692073999999998</v>
      </c>
      <c r="Q55" s="88">
        <v>50.747635000000002</v>
      </c>
      <c r="R55" s="88">
        <v>51.845730000000003</v>
      </c>
      <c r="S55" s="88">
        <v>53.052174000000001</v>
      </c>
      <c r="T55" s="88">
        <v>54.205021000000002</v>
      </c>
      <c r="U55" s="88">
        <v>55.481574999999999</v>
      </c>
      <c r="V55" s="88">
        <v>56.500191000000001</v>
      </c>
      <c r="W55" s="88">
        <v>57.560111999999997</v>
      </c>
      <c r="X55" s="88">
        <v>58.646866000000003</v>
      </c>
      <c r="Y55" s="88">
        <v>59.661129000000003</v>
      </c>
      <c r="Z55" s="88">
        <v>61.050877</v>
      </c>
      <c r="AA55" s="88">
        <v>62.110481</v>
      </c>
      <c r="AB55" s="88">
        <v>63.303482000000002</v>
      </c>
      <c r="AC55" s="88">
        <v>64.260459999999995</v>
      </c>
      <c r="AD55" s="88">
        <v>65.571258999999998</v>
      </c>
      <c r="AE55" s="88">
        <v>66.969986000000006</v>
      </c>
      <c r="AF55" s="89">
        <v>2.1125000000000001E-2</v>
      </c>
      <c r="AG55" s="80"/>
    </row>
    <row r="56" spans="1:33" ht="15" customHeight="1" x14ac:dyDescent="0.25">
      <c r="A56" s="78" t="s">
        <v>759</v>
      </c>
      <c r="B56" s="87" t="s">
        <v>727</v>
      </c>
      <c r="C56" s="88">
        <v>0</v>
      </c>
      <c r="D56" s="88">
        <v>0</v>
      </c>
      <c r="E56" s="88">
        <v>0</v>
      </c>
      <c r="F56" s="88">
        <v>0</v>
      </c>
      <c r="G56" s="88">
        <v>0</v>
      </c>
      <c r="H56" s="88">
        <v>0</v>
      </c>
      <c r="I56" s="88">
        <v>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  <c r="P56" s="88">
        <v>0</v>
      </c>
      <c r="Q56" s="88">
        <v>0</v>
      </c>
      <c r="R56" s="88">
        <v>0</v>
      </c>
      <c r="S56" s="88">
        <v>0</v>
      </c>
      <c r="T56" s="88">
        <v>0</v>
      </c>
      <c r="U56" s="88">
        <v>0</v>
      </c>
      <c r="V56" s="88">
        <v>0</v>
      </c>
      <c r="W56" s="88">
        <v>0</v>
      </c>
      <c r="X56" s="88">
        <v>0</v>
      </c>
      <c r="Y56" s="88">
        <v>0</v>
      </c>
      <c r="Z56" s="88">
        <v>0</v>
      </c>
      <c r="AA56" s="88">
        <v>0</v>
      </c>
      <c r="AB56" s="88">
        <v>0</v>
      </c>
      <c r="AC56" s="88">
        <v>0</v>
      </c>
      <c r="AD56" s="88">
        <v>0</v>
      </c>
      <c r="AE56" s="88">
        <v>0</v>
      </c>
      <c r="AF56" s="89" t="s">
        <v>321</v>
      </c>
      <c r="AG56" s="80"/>
    </row>
    <row r="57" spans="1:33" ht="15" customHeight="1" x14ac:dyDescent="0.25">
      <c r="A57" s="78" t="s">
        <v>760</v>
      </c>
      <c r="B57" s="87" t="s">
        <v>729</v>
      </c>
      <c r="C57" s="88">
        <v>0</v>
      </c>
      <c r="D57" s="88">
        <v>0</v>
      </c>
      <c r="E57" s="88">
        <v>0</v>
      </c>
      <c r="F57" s="88">
        <v>0</v>
      </c>
      <c r="G57" s="88">
        <v>0</v>
      </c>
      <c r="H57" s="88">
        <v>0</v>
      </c>
      <c r="I57" s="88">
        <v>0</v>
      </c>
      <c r="J57" s="88">
        <v>0</v>
      </c>
      <c r="K57" s="88">
        <v>0</v>
      </c>
      <c r="L57" s="88">
        <v>0</v>
      </c>
      <c r="M57" s="88">
        <v>0</v>
      </c>
      <c r="N57" s="88">
        <v>0</v>
      </c>
      <c r="O57" s="88">
        <v>0</v>
      </c>
      <c r="P57" s="88">
        <v>0</v>
      </c>
      <c r="Q57" s="88">
        <v>0</v>
      </c>
      <c r="R57" s="88">
        <v>0</v>
      </c>
      <c r="S57" s="88">
        <v>0</v>
      </c>
      <c r="T57" s="88">
        <v>0</v>
      </c>
      <c r="U57" s="88">
        <v>0</v>
      </c>
      <c r="V57" s="88">
        <v>0</v>
      </c>
      <c r="W57" s="88">
        <v>0</v>
      </c>
      <c r="X57" s="88">
        <v>0</v>
      </c>
      <c r="Y57" s="88">
        <v>0</v>
      </c>
      <c r="Z57" s="88">
        <v>0</v>
      </c>
      <c r="AA57" s="88">
        <v>0</v>
      </c>
      <c r="AB57" s="88">
        <v>0</v>
      </c>
      <c r="AC57" s="88">
        <v>0</v>
      </c>
      <c r="AD57" s="88">
        <v>0</v>
      </c>
      <c r="AE57" s="88">
        <v>0</v>
      </c>
      <c r="AF57" s="89" t="s">
        <v>321</v>
      </c>
      <c r="AG57" s="80"/>
    </row>
    <row r="58" spans="1:33" ht="15" customHeight="1" x14ac:dyDescent="0.25">
      <c r="A58" s="78" t="s">
        <v>761</v>
      </c>
      <c r="B58" s="87" t="s">
        <v>731</v>
      </c>
      <c r="C58" s="88">
        <v>0</v>
      </c>
      <c r="D58" s="88">
        <v>0</v>
      </c>
      <c r="E58" s="88">
        <v>0</v>
      </c>
      <c r="F58" s="88">
        <v>0</v>
      </c>
      <c r="G58" s="88">
        <v>0</v>
      </c>
      <c r="H58" s="88">
        <v>0</v>
      </c>
      <c r="I58" s="88">
        <v>0</v>
      </c>
      <c r="J58" s="88">
        <v>0</v>
      </c>
      <c r="K58" s="88">
        <v>0</v>
      </c>
      <c r="L58" s="88">
        <v>0</v>
      </c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88">
        <v>0</v>
      </c>
      <c r="V58" s="88">
        <v>0</v>
      </c>
      <c r="W58" s="88">
        <v>0</v>
      </c>
      <c r="X58" s="88">
        <v>0</v>
      </c>
      <c r="Y58" s="88">
        <v>0</v>
      </c>
      <c r="Z58" s="88">
        <v>0</v>
      </c>
      <c r="AA58" s="88">
        <v>0</v>
      </c>
      <c r="AB58" s="88">
        <v>0</v>
      </c>
      <c r="AC58" s="88">
        <v>0</v>
      </c>
      <c r="AD58" s="88">
        <v>0</v>
      </c>
      <c r="AE58" s="88">
        <v>0</v>
      </c>
      <c r="AF58" s="89" t="s">
        <v>321</v>
      </c>
      <c r="AG58" s="80"/>
    </row>
    <row r="59" spans="1:33" ht="15" customHeight="1" x14ac:dyDescent="0.25">
      <c r="A59" s="78" t="s">
        <v>762</v>
      </c>
      <c r="B59" s="87" t="s">
        <v>733</v>
      </c>
      <c r="C59" s="88">
        <v>0</v>
      </c>
      <c r="D59" s="88">
        <v>0</v>
      </c>
      <c r="E59" s="88">
        <v>0</v>
      </c>
      <c r="F59" s="88">
        <v>0</v>
      </c>
      <c r="G59" s="88">
        <v>0</v>
      </c>
      <c r="H59" s="88">
        <v>0</v>
      </c>
      <c r="I59" s="88">
        <v>0</v>
      </c>
      <c r="J59" s="88">
        <v>0</v>
      </c>
      <c r="K59" s="88">
        <v>0</v>
      </c>
      <c r="L59" s="88">
        <v>0</v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88">
        <v>0</v>
      </c>
      <c r="V59" s="88">
        <v>0</v>
      </c>
      <c r="W59" s="88">
        <v>0</v>
      </c>
      <c r="X59" s="88">
        <v>0</v>
      </c>
      <c r="Y59" s="88">
        <v>0</v>
      </c>
      <c r="Z59" s="88">
        <v>0</v>
      </c>
      <c r="AA59" s="88">
        <v>0</v>
      </c>
      <c r="AB59" s="88">
        <v>0</v>
      </c>
      <c r="AC59" s="88">
        <v>0</v>
      </c>
      <c r="AD59" s="88">
        <v>0</v>
      </c>
      <c r="AE59" s="88">
        <v>0</v>
      </c>
      <c r="AF59" s="89" t="s">
        <v>321</v>
      </c>
      <c r="AG59" s="80"/>
    </row>
    <row r="60" spans="1:33" ht="15" customHeight="1" x14ac:dyDescent="0.25">
      <c r="A60" s="78" t="s">
        <v>763</v>
      </c>
      <c r="B60" s="87" t="s">
        <v>735</v>
      </c>
      <c r="C60" s="88">
        <v>0</v>
      </c>
      <c r="D60" s="88">
        <v>0</v>
      </c>
      <c r="E60" s="88">
        <v>0</v>
      </c>
      <c r="F60" s="88">
        <v>0</v>
      </c>
      <c r="G60" s="88">
        <v>0</v>
      </c>
      <c r="H60" s="88">
        <v>0</v>
      </c>
      <c r="I60" s="88">
        <v>0</v>
      </c>
      <c r="J60" s="88">
        <v>0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88">
        <v>0</v>
      </c>
      <c r="V60" s="88">
        <v>0</v>
      </c>
      <c r="W60" s="88">
        <v>0</v>
      </c>
      <c r="X60" s="88">
        <v>0</v>
      </c>
      <c r="Y60" s="88">
        <v>0</v>
      </c>
      <c r="Z60" s="88">
        <v>0</v>
      </c>
      <c r="AA60" s="88">
        <v>0</v>
      </c>
      <c r="AB60" s="88">
        <v>0</v>
      </c>
      <c r="AC60" s="88">
        <v>0</v>
      </c>
      <c r="AD60" s="88">
        <v>0</v>
      </c>
      <c r="AE60" s="88">
        <v>0</v>
      </c>
      <c r="AF60" s="89" t="s">
        <v>321</v>
      </c>
      <c r="AG60" s="80"/>
    </row>
    <row r="61" spans="1:33" ht="15" customHeight="1" x14ac:dyDescent="0.25">
      <c r="A61" s="78" t="s">
        <v>764</v>
      </c>
      <c r="B61" s="87" t="s">
        <v>737</v>
      </c>
      <c r="C61" s="88">
        <v>2.0339999999999998E-3</v>
      </c>
      <c r="D61" s="88">
        <v>4.2249999999999996E-3</v>
      </c>
      <c r="E61" s="88">
        <v>6.6280000000000002E-3</v>
      </c>
      <c r="F61" s="88">
        <v>9.1800000000000007E-3</v>
      </c>
      <c r="G61" s="88">
        <v>1.1653E-2</v>
      </c>
      <c r="H61" s="88">
        <v>1.3968E-2</v>
      </c>
      <c r="I61" s="88">
        <v>1.6271000000000001E-2</v>
      </c>
      <c r="J61" s="88">
        <v>1.8672000000000001E-2</v>
      </c>
      <c r="K61" s="88">
        <v>2.0910999999999999E-2</v>
      </c>
      <c r="L61" s="88">
        <v>2.3172999999999999E-2</v>
      </c>
      <c r="M61" s="88">
        <v>2.5411E-2</v>
      </c>
      <c r="N61" s="88">
        <v>2.7647000000000001E-2</v>
      </c>
      <c r="O61" s="88">
        <v>3.0044000000000001E-2</v>
      </c>
      <c r="P61" s="88">
        <v>3.2647000000000002E-2</v>
      </c>
      <c r="Q61" s="88">
        <v>3.5303000000000001E-2</v>
      </c>
      <c r="R61" s="88">
        <v>3.8024000000000002E-2</v>
      </c>
      <c r="S61" s="88">
        <v>4.0863999999999998E-2</v>
      </c>
      <c r="T61" s="88">
        <v>4.3702999999999999E-2</v>
      </c>
      <c r="U61" s="88">
        <v>4.6681E-2</v>
      </c>
      <c r="V61" s="88">
        <v>4.9474999999999998E-2</v>
      </c>
      <c r="W61" s="88">
        <v>5.2331000000000003E-2</v>
      </c>
      <c r="X61" s="88">
        <v>5.5236E-2</v>
      </c>
      <c r="Y61" s="88">
        <v>5.8096000000000002E-2</v>
      </c>
      <c r="Z61" s="88">
        <v>6.1351999999999997E-2</v>
      </c>
      <c r="AA61" s="88">
        <v>6.4301999999999998E-2</v>
      </c>
      <c r="AB61" s="88">
        <v>6.7421999999999996E-2</v>
      </c>
      <c r="AC61" s="88">
        <v>7.0310999999999998E-2</v>
      </c>
      <c r="AD61" s="88">
        <v>7.3610999999999996E-2</v>
      </c>
      <c r="AE61" s="88">
        <v>7.7048000000000005E-2</v>
      </c>
      <c r="AF61" s="89">
        <v>0.13860700000000001</v>
      </c>
      <c r="AG61" s="80"/>
    </row>
    <row r="62" spans="1:33" ht="15" customHeight="1" x14ac:dyDescent="0.25">
      <c r="A62" s="78" t="s">
        <v>765</v>
      </c>
      <c r="B62" s="87" t="s">
        <v>766</v>
      </c>
      <c r="C62" s="88">
        <v>145.60966500000001</v>
      </c>
      <c r="D62" s="88">
        <v>156.480682</v>
      </c>
      <c r="E62" s="88">
        <v>169.07797199999999</v>
      </c>
      <c r="F62" s="88">
        <v>181.20645099999999</v>
      </c>
      <c r="G62" s="88">
        <v>189.621613</v>
      </c>
      <c r="H62" s="88">
        <v>194.99156199999999</v>
      </c>
      <c r="I62" s="88">
        <v>200.235153</v>
      </c>
      <c r="J62" s="88">
        <v>206.636627</v>
      </c>
      <c r="K62" s="88">
        <v>211.226471</v>
      </c>
      <c r="L62" s="88">
        <v>216.195221</v>
      </c>
      <c r="M62" s="88">
        <v>221.037216</v>
      </c>
      <c r="N62" s="88">
        <v>225.941315</v>
      </c>
      <c r="O62" s="88">
        <v>232.14924600000001</v>
      </c>
      <c r="P62" s="88">
        <v>239.80892900000001</v>
      </c>
      <c r="Q62" s="88">
        <v>247.616074</v>
      </c>
      <c r="R62" s="88">
        <v>255.695404</v>
      </c>
      <c r="S62" s="88">
        <v>264.33047499999998</v>
      </c>
      <c r="T62" s="88">
        <v>272.73104899999998</v>
      </c>
      <c r="U62" s="88">
        <v>281.81561299999998</v>
      </c>
      <c r="V62" s="88">
        <v>289.63900799999999</v>
      </c>
      <c r="W62" s="88">
        <v>297.69894399999998</v>
      </c>
      <c r="X62" s="88">
        <v>305.930725</v>
      </c>
      <c r="Y62" s="88">
        <v>313.80929600000002</v>
      </c>
      <c r="Z62" s="88">
        <v>323.713165</v>
      </c>
      <c r="AA62" s="88">
        <v>331.97268700000001</v>
      </c>
      <c r="AB62" s="88">
        <v>340.90216099999998</v>
      </c>
      <c r="AC62" s="88">
        <v>348.57012900000001</v>
      </c>
      <c r="AD62" s="88">
        <v>358.17044099999998</v>
      </c>
      <c r="AE62" s="88">
        <v>368.26666299999999</v>
      </c>
      <c r="AF62" s="89">
        <v>3.3694000000000002E-2</v>
      </c>
      <c r="AG62" s="80"/>
    </row>
    <row r="63" spans="1:33" ht="15" customHeight="1" x14ac:dyDescent="0.25"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</row>
    <row r="64" spans="1:33" ht="15" customHeight="1" x14ac:dyDescent="0.25">
      <c r="A64" s="78" t="s">
        <v>767</v>
      </c>
      <c r="B64" s="87" t="s">
        <v>768</v>
      </c>
      <c r="C64" s="88">
        <v>11.326775</v>
      </c>
      <c r="D64" s="88">
        <v>11.729151999999999</v>
      </c>
      <c r="E64" s="88">
        <v>12.126184</v>
      </c>
      <c r="F64" s="88">
        <v>12.515253</v>
      </c>
      <c r="G64" s="88">
        <v>12.897691</v>
      </c>
      <c r="H64" s="88">
        <v>13.276489</v>
      </c>
      <c r="I64" s="88">
        <v>13.652972999999999</v>
      </c>
      <c r="J64" s="88">
        <v>14.027736000000001</v>
      </c>
      <c r="K64" s="88">
        <v>14.400922</v>
      </c>
      <c r="L64" s="88">
        <v>14.773797999999999</v>
      </c>
      <c r="M64" s="88">
        <v>15.146682999999999</v>
      </c>
      <c r="N64" s="88">
        <v>15.518919</v>
      </c>
      <c r="O64" s="88">
        <v>15.891093</v>
      </c>
      <c r="P64" s="88">
        <v>16.263072999999999</v>
      </c>
      <c r="Q64" s="88">
        <v>16.633780999999999</v>
      </c>
      <c r="R64" s="88">
        <v>17.005393999999999</v>
      </c>
      <c r="S64" s="88">
        <v>17.376149999999999</v>
      </c>
      <c r="T64" s="88">
        <v>17.746307000000002</v>
      </c>
      <c r="U64" s="88">
        <v>18.116952999999999</v>
      </c>
      <c r="V64" s="88">
        <v>18.487981999999999</v>
      </c>
      <c r="W64" s="88">
        <v>18.858979999999999</v>
      </c>
      <c r="X64" s="88">
        <v>19.230163999999998</v>
      </c>
      <c r="Y64" s="88">
        <v>19.601316000000001</v>
      </c>
      <c r="Z64" s="88">
        <v>19.973127000000002</v>
      </c>
      <c r="AA64" s="88">
        <v>20.347881000000001</v>
      </c>
      <c r="AB64" s="88">
        <v>20.720106000000001</v>
      </c>
      <c r="AC64" s="88">
        <v>21.091866</v>
      </c>
      <c r="AD64" s="88">
        <v>21.463251</v>
      </c>
      <c r="AE64" s="88">
        <v>21.833759000000001</v>
      </c>
      <c r="AF64" s="89">
        <v>2.3716000000000001E-2</v>
      </c>
      <c r="AG64" s="80"/>
    </row>
    <row r="65" spans="1:33" ht="15" customHeight="1" x14ac:dyDescent="0.25">
      <c r="A65" s="78" t="s">
        <v>769</v>
      </c>
      <c r="B65" s="87" t="s">
        <v>770</v>
      </c>
      <c r="C65" s="88">
        <v>1285.5351559999999</v>
      </c>
      <c r="D65" s="88">
        <v>1334.1176760000001</v>
      </c>
      <c r="E65" s="88">
        <v>1394.321289</v>
      </c>
      <c r="F65" s="88">
        <v>1447.884888</v>
      </c>
      <c r="G65" s="88">
        <v>1470.19812</v>
      </c>
      <c r="H65" s="88">
        <v>1468.6982419999999</v>
      </c>
      <c r="I65" s="88">
        <v>1466.604736</v>
      </c>
      <c r="J65" s="88">
        <v>1473.0576169999999</v>
      </c>
      <c r="K65" s="88">
        <v>1466.756592</v>
      </c>
      <c r="L65" s="88">
        <v>1463.369263</v>
      </c>
      <c r="M65" s="88">
        <v>1459.3110349999999</v>
      </c>
      <c r="N65" s="88">
        <v>1455.908813</v>
      </c>
      <c r="O65" s="88">
        <v>1460.8764650000001</v>
      </c>
      <c r="P65" s="88">
        <v>1474.5610349999999</v>
      </c>
      <c r="Q65" s="88">
        <v>1488.6336670000001</v>
      </c>
      <c r="R65" s="88">
        <v>1503.613525</v>
      </c>
      <c r="S65" s="88">
        <v>1521.2257079999999</v>
      </c>
      <c r="T65" s="88">
        <v>1536.832764</v>
      </c>
      <c r="U65" s="88">
        <v>1555.5354</v>
      </c>
      <c r="V65" s="88">
        <v>1566.634033</v>
      </c>
      <c r="W65" s="88">
        <v>1578.5527340000001</v>
      </c>
      <c r="X65" s="88">
        <v>1590.889893</v>
      </c>
      <c r="Y65" s="88">
        <v>1600.960327</v>
      </c>
      <c r="Z65" s="88">
        <v>1620.74353</v>
      </c>
      <c r="AA65" s="88">
        <v>1631.4852289999999</v>
      </c>
      <c r="AB65" s="88">
        <v>1645.272217</v>
      </c>
      <c r="AC65" s="88">
        <v>1652.6281739999999</v>
      </c>
      <c r="AD65" s="88">
        <v>1668.7613530000001</v>
      </c>
      <c r="AE65" s="88">
        <v>1686.6845699999999</v>
      </c>
      <c r="AF65" s="89">
        <v>9.7470000000000005E-3</v>
      </c>
      <c r="AG65" s="80"/>
    </row>
    <row r="66" spans="1:33" ht="15" customHeight="1" x14ac:dyDescent="0.25"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</row>
    <row r="67" spans="1:33" ht="15" customHeight="1" x14ac:dyDescent="0.25">
      <c r="A67" s="78" t="s">
        <v>771</v>
      </c>
      <c r="B67" s="86" t="s">
        <v>772</v>
      </c>
      <c r="C67" s="90">
        <v>2115.3095699999999</v>
      </c>
      <c r="D67" s="90">
        <v>2179.8542480000001</v>
      </c>
      <c r="E67" s="90">
        <v>2247.3923340000001</v>
      </c>
      <c r="F67" s="90">
        <v>2289.9018550000001</v>
      </c>
      <c r="G67" s="90">
        <v>2295.4645999999998</v>
      </c>
      <c r="H67" s="90">
        <v>2284.945557</v>
      </c>
      <c r="I67" s="90">
        <v>2273.0161130000001</v>
      </c>
      <c r="J67" s="90">
        <v>2273.9323730000001</v>
      </c>
      <c r="K67" s="90">
        <v>2263.3520509999998</v>
      </c>
      <c r="L67" s="90">
        <v>2255.7309570000002</v>
      </c>
      <c r="M67" s="90">
        <v>2250.6152339999999</v>
      </c>
      <c r="N67" s="90">
        <v>2244.3781739999999</v>
      </c>
      <c r="O67" s="90">
        <v>2250.6123050000001</v>
      </c>
      <c r="P67" s="90">
        <v>2268.9152829999998</v>
      </c>
      <c r="Q67" s="90">
        <v>2291.9157709999999</v>
      </c>
      <c r="R67" s="90">
        <v>2311.8798830000001</v>
      </c>
      <c r="S67" s="90">
        <v>2334.326904</v>
      </c>
      <c r="T67" s="90">
        <v>2354.6838379999999</v>
      </c>
      <c r="U67" s="90">
        <v>2377.2294919999999</v>
      </c>
      <c r="V67" s="90">
        <v>2387.4941410000001</v>
      </c>
      <c r="W67" s="90">
        <v>2398.3923340000001</v>
      </c>
      <c r="X67" s="90">
        <v>2406.5219729999999</v>
      </c>
      <c r="Y67" s="90">
        <v>2415.423096</v>
      </c>
      <c r="Z67" s="90">
        <v>2438.1977539999998</v>
      </c>
      <c r="AA67" s="90">
        <v>2458.0991210000002</v>
      </c>
      <c r="AB67" s="90">
        <v>2472.1123050000001</v>
      </c>
      <c r="AC67" s="90">
        <v>2480.8183589999999</v>
      </c>
      <c r="AD67" s="90">
        <v>2499.592529</v>
      </c>
      <c r="AE67" s="90">
        <v>2521.9509280000002</v>
      </c>
      <c r="AF67" s="91">
        <v>6.2989999999999999E-3</v>
      </c>
      <c r="AG67" s="80"/>
    </row>
    <row r="68" spans="1:33" ht="15" customHeight="1" x14ac:dyDescent="0.25"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</row>
    <row r="69" spans="1:33" ht="15" customHeight="1" x14ac:dyDescent="0.25">
      <c r="B69" s="86" t="s">
        <v>773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</row>
    <row r="70" spans="1:33" ht="12" customHeight="1" x14ac:dyDescent="0.25">
      <c r="A70" s="78" t="s">
        <v>774</v>
      </c>
      <c r="B70" s="87" t="s">
        <v>775</v>
      </c>
      <c r="C70" s="88">
        <v>410.29077100000001</v>
      </c>
      <c r="D70" s="88">
        <v>411.86019900000002</v>
      </c>
      <c r="E70" s="88">
        <v>422.08718900000002</v>
      </c>
      <c r="F70" s="88">
        <v>427.93866000000003</v>
      </c>
      <c r="G70" s="88">
        <v>425.80892899999998</v>
      </c>
      <c r="H70" s="88">
        <v>420.11331200000001</v>
      </c>
      <c r="I70" s="88">
        <v>414.63775600000002</v>
      </c>
      <c r="J70" s="88">
        <v>410.573669</v>
      </c>
      <c r="K70" s="88">
        <v>405.62148999999999</v>
      </c>
      <c r="L70" s="88">
        <v>400.92529300000001</v>
      </c>
      <c r="M70" s="88">
        <v>396.546356</v>
      </c>
      <c r="N70" s="88">
        <v>391.28878800000001</v>
      </c>
      <c r="O70" s="88">
        <v>387.86077899999998</v>
      </c>
      <c r="P70" s="88">
        <v>386.62799100000001</v>
      </c>
      <c r="Q70" s="88">
        <v>386.76229899999998</v>
      </c>
      <c r="R70" s="88">
        <v>386.57772799999998</v>
      </c>
      <c r="S70" s="88">
        <v>387.32144199999999</v>
      </c>
      <c r="T70" s="88">
        <v>387.70996100000002</v>
      </c>
      <c r="U70" s="88">
        <v>388.84600799999998</v>
      </c>
      <c r="V70" s="88">
        <v>388.04797400000001</v>
      </c>
      <c r="W70" s="88">
        <v>387.545593</v>
      </c>
      <c r="X70" s="88">
        <v>386.55062900000001</v>
      </c>
      <c r="Y70" s="88">
        <v>386.34115600000001</v>
      </c>
      <c r="Z70" s="88">
        <v>388.39727800000003</v>
      </c>
      <c r="AA70" s="88">
        <v>390.789581</v>
      </c>
      <c r="AB70" s="88">
        <v>393.30300899999997</v>
      </c>
      <c r="AC70" s="88">
        <v>393.95352200000002</v>
      </c>
      <c r="AD70" s="88">
        <v>395.859467</v>
      </c>
      <c r="AE70" s="88">
        <v>398.83917200000002</v>
      </c>
      <c r="AF70" s="89">
        <v>-1.01E-3</v>
      </c>
      <c r="AG70" s="80"/>
    </row>
    <row r="71" spans="1:33" ht="15" customHeight="1" x14ac:dyDescent="0.25">
      <c r="A71" s="78" t="s">
        <v>776</v>
      </c>
      <c r="B71" s="87" t="s">
        <v>777</v>
      </c>
      <c r="C71" s="88">
        <v>201.55270400000001</v>
      </c>
      <c r="D71" s="88">
        <v>203.643539</v>
      </c>
      <c r="E71" s="88">
        <v>209.879852</v>
      </c>
      <c r="F71" s="88">
        <v>213.99391199999999</v>
      </c>
      <c r="G71" s="88">
        <v>214.05772400000001</v>
      </c>
      <c r="H71" s="88">
        <v>212.224716</v>
      </c>
      <c r="I71" s="88">
        <v>210.50500500000001</v>
      </c>
      <c r="J71" s="88">
        <v>209.42543000000001</v>
      </c>
      <c r="K71" s="88">
        <v>207.82423399999999</v>
      </c>
      <c r="L71" s="88">
        <v>206.28251599999999</v>
      </c>
      <c r="M71" s="88">
        <v>205.665222</v>
      </c>
      <c r="N71" s="88">
        <v>205.245102</v>
      </c>
      <c r="O71" s="88">
        <v>205.64666700000001</v>
      </c>
      <c r="P71" s="88">
        <v>207.12898300000001</v>
      </c>
      <c r="Q71" s="88">
        <v>209.04892000000001</v>
      </c>
      <c r="R71" s="88">
        <v>210.68804900000001</v>
      </c>
      <c r="S71" s="88">
        <v>212.59925799999999</v>
      </c>
      <c r="T71" s="88">
        <v>214.24075300000001</v>
      </c>
      <c r="U71" s="88">
        <v>216.090149</v>
      </c>
      <c r="V71" s="88">
        <v>216.77891500000001</v>
      </c>
      <c r="W71" s="88">
        <v>217.48950199999999</v>
      </c>
      <c r="X71" s="88">
        <v>217.91325399999999</v>
      </c>
      <c r="Y71" s="88">
        <v>218.44653299999999</v>
      </c>
      <c r="Z71" s="88">
        <v>220.21542400000001</v>
      </c>
      <c r="AA71" s="88">
        <v>221.82936100000001</v>
      </c>
      <c r="AB71" s="88">
        <v>223.04495199999999</v>
      </c>
      <c r="AC71" s="88">
        <v>223.587784</v>
      </c>
      <c r="AD71" s="88">
        <v>225.01087999999999</v>
      </c>
      <c r="AE71" s="88">
        <v>226.82165499999999</v>
      </c>
      <c r="AF71" s="89">
        <v>4.2269999999999999E-3</v>
      </c>
      <c r="AG71" s="80"/>
    </row>
    <row r="72" spans="1:33" ht="15" customHeight="1" x14ac:dyDescent="0.25">
      <c r="A72" s="78" t="s">
        <v>778</v>
      </c>
      <c r="B72" s="87" t="s">
        <v>779</v>
      </c>
      <c r="C72" s="88">
        <v>0</v>
      </c>
      <c r="D72" s="88">
        <v>0.42618899999999998</v>
      </c>
      <c r="E72" s="88">
        <v>0.44380199999999997</v>
      </c>
      <c r="F72" s="88">
        <v>0.45290200000000003</v>
      </c>
      <c r="G72" s="88">
        <v>0.472858</v>
      </c>
      <c r="H72" s="88">
        <v>0.49512299999999998</v>
      </c>
      <c r="I72" s="88">
        <v>0.52263599999999999</v>
      </c>
      <c r="J72" s="88">
        <v>0.55938299999999996</v>
      </c>
      <c r="K72" s="88">
        <v>0.60609500000000005</v>
      </c>
      <c r="L72" s="88">
        <v>0.666157</v>
      </c>
      <c r="M72" s="88">
        <v>0.73971799999999999</v>
      </c>
      <c r="N72" s="88">
        <v>0.82662000000000002</v>
      </c>
      <c r="O72" s="88">
        <v>0.93066599999999999</v>
      </c>
      <c r="P72" s="88">
        <v>1.058675</v>
      </c>
      <c r="Q72" s="88">
        <v>1.215913</v>
      </c>
      <c r="R72" s="88">
        <v>1.4003570000000001</v>
      </c>
      <c r="S72" s="88">
        <v>1.611812</v>
      </c>
      <c r="T72" s="88">
        <v>1.853485</v>
      </c>
      <c r="U72" s="88">
        <v>2.1219790000000001</v>
      </c>
      <c r="V72" s="88">
        <v>2.4104000000000001</v>
      </c>
      <c r="W72" s="88">
        <v>2.7167849999999998</v>
      </c>
      <c r="X72" s="88">
        <v>3.048225</v>
      </c>
      <c r="Y72" s="88">
        <v>3.396039</v>
      </c>
      <c r="Z72" s="88">
        <v>3.7744909999999998</v>
      </c>
      <c r="AA72" s="88">
        <v>4.156269</v>
      </c>
      <c r="AB72" s="88">
        <v>4.5259840000000002</v>
      </c>
      <c r="AC72" s="88">
        <v>4.8633280000000001</v>
      </c>
      <c r="AD72" s="88">
        <v>5.1964600000000001</v>
      </c>
      <c r="AE72" s="88">
        <v>5.5149140000000001</v>
      </c>
      <c r="AF72" s="89" t="s">
        <v>321</v>
      </c>
      <c r="AG72" s="80"/>
    </row>
    <row r="73" spans="1:33" ht="15" customHeight="1" x14ac:dyDescent="0.25">
      <c r="A73" s="78" t="s">
        <v>780</v>
      </c>
      <c r="B73" s="87" t="s">
        <v>781</v>
      </c>
      <c r="C73" s="88">
        <v>0</v>
      </c>
      <c r="D73" s="88">
        <v>0</v>
      </c>
      <c r="E73" s="88">
        <v>0</v>
      </c>
      <c r="F73" s="88">
        <v>0</v>
      </c>
      <c r="G73" s="88">
        <v>0</v>
      </c>
      <c r="H73" s="88">
        <v>0</v>
      </c>
      <c r="I73" s="88">
        <v>0</v>
      </c>
      <c r="J73" s="88">
        <v>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88">
        <v>0</v>
      </c>
      <c r="V73" s="88">
        <v>0</v>
      </c>
      <c r="W73" s="88">
        <v>0</v>
      </c>
      <c r="X73" s="88">
        <v>0</v>
      </c>
      <c r="Y73" s="88">
        <v>0</v>
      </c>
      <c r="Z73" s="88">
        <v>0</v>
      </c>
      <c r="AA73" s="88">
        <v>0</v>
      </c>
      <c r="AB73" s="88">
        <v>0</v>
      </c>
      <c r="AC73" s="88">
        <v>0</v>
      </c>
      <c r="AD73" s="88">
        <v>0</v>
      </c>
      <c r="AE73" s="88">
        <v>0</v>
      </c>
      <c r="AF73" s="89" t="s">
        <v>321</v>
      </c>
      <c r="AG73" s="80"/>
    </row>
    <row r="74" spans="1:33" ht="15" customHeight="1" x14ac:dyDescent="0.25">
      <c r="A74" s="78" t="s">
        <v>782</v>
      </c>
      <c r="B74" s="87" t="s">
        <v>783</v>
      </c>
      <c r="C74" s="88">
        <v>30.450520999999998</v>
      </c>
      <c r="D74" s="88">
        <v>34.585701</v>
      </c>
      <c r="E74" s="88">
        <v>41.047305999999999</v>
      </c>
      <c r="F74" s="88">
        <v>45.537776999999998</v>
      </c>
      <c r="G74" s="88">
        <v>49.499518999999999</v>
      </c>
      <c r="H74" s="88">
        <v>53.911239999999999</v>
      </c>
      <c r="I74" s="88">
        <v>56.826735999999997</v>
      </c>
      <c r="J74" s="88">
        <v>60.335323000000002</v>
      </c>
      <c r="K74" s="88">
        <v>64.028458000000001</v>
      </c>
      <c r="L74" s="88">
        <v>68.345496999999995</v>
      </c>
      <c r="M74" s="88">
        <v>72.455596999999997</v>
      </c>
      <c r="N74" s="88">
        <v>76.482697000000002</v>
      </c>
      <c r="O74" s="88">
        <v>80.193877999999998</v>
      </c>
      <c r="P74" s="88">
        <v>84.221335999999994</v>
      </c>
      <c r="Q74" s="88">
        <v>87.631432000000004</v>
      </c>
      <c r="R74" s="88">
        <v>90.807677999999996</v>
      </c>
      <c r="S74" s="88">
        <v>93.597556999999995</v>
      </c>
      <c r="T74" s="88">
        <v>96.278251999999995</v>
      </c>
      <c r="U74" s="88">
        <v>98.649979000000002</v>
      </c>
      <c r="V74" s="88">
        <v>100.454178</v>
      </c>
      <c r="W74" s="88">
        <v>102.048424</v>
      </c>
      <c r="X74" s="88">
        <v>103.66413900000001</v>
      </c>
      <c r="Y74" s="88">
        <v>104.52655</v>
      </c>
      <c r="Z74" s="88">
        <v>105.990318</v>
      </c>
      <c r="AA74" s="88">
        <v>106.505348</v>
      </c>
      <c r="AB74" s="88">
        <v>105.59877</v>
      </c>
      <c r="AC74" s="88">
        <v>105.570808</v>
      </c>
      <c r="AD74" s="88">
        <v>106.518562</v>
      </c>
      <c r="AE74" s="88">
        <v>107.080376</v>
      </c>
      <c r="AF74" s="89">
        <v>4.5934000000000003E-2</v>
      </c>
      <c r="AG74" s="80"/>
    </row>
    <row r="75" spans="1:33" ht="15" customHeight="1" x14ac:dyDescent="0.25">
      <c r="A75" s="78" t="s">
        <v>784</v>
      </c>
      <c r="B75" s="87" t="s">
        <v>785</v>
      </c>
      <c r="C75" s="88">
        <v>0</v>
      </c>
      <c r="D75" s="88">
        <v>0</v>
      </c>
      <c r="E75" s="88">
        <v>0</v>
      </c>
      <c r="F75" s="88">
        <v>0</v>
      </c>
      <c r="G75" s="88">
        <v>0</v>
      </c>
      <c r="H75" s="88">
        <v>0</v>
      </c>
      <c r="I75" s="88">
        <v>0</v>
      </c>
      <c r="J75" s="88">
        <v>0</v>
      </c>
      <c r="K75" s="88">
        <v>0</v>
      </c>
      <c r="L75" s="88">
        <v>0</v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88">
        <v>0</v>
      </c>
      <c r="V75" s="88">
        <v>0</v>
      </c>
      <c r="W75" s="88">
        <v>0</v>
      </c>
      <c r="X75" s="88">
        <v>0</v>
      </c>
      <c r="Y75" s="88">
        <v>0</v>
      </c>
      <c r="Z75" s="88">
        <v>0</v>
      </c>
      <c r="AA75" s="88">
        <v>0</v>
      </c>
      <c r="AB75" s="88">
        <v>0</v>
      </c>
      <c r="AC75" s="88">
        <v>0</v>
      </c>
      <c r="AD75" s="88">
        <v>0</v>
      </c>
      <c r="AE75" s="88">
        <v>0</v>
      </c>
      <c r="AF75" s="89" t="s">
        <v>321</v>
      </c>
      <c r="AG75" s="80"/>
    </row>
    <row r="76" spans="1:33" ht="15" customHeight="1" x14ac:dyDescent="0.25">
      <c r="A76" s="78" t="s">
        <v>786</v>
      </c>
      <c r="B76" s="87" t="s">
        <v>787</v>
      </c>
      <c r="C76" s="88">
        <v>0</v>
      </c>
      <c r="D76" s="88">
        <v>0.787767</v>
      </c>
      <c r="E76" s="88">
        <v>0.80016200000000004</v>
      </c>
      <c r="F76" s="88">
        <v>0.80872999999999995</v>
      </c>
      <c r="G76" s="88">
        <v>0.811863</v>
      </c>
      <c r="H76" s="88">
        <v>0.81890200000000002</v>
      </c>
      <c r="I76" s="88">
        <v>0.83272000000000002</v>
      </c>
      <c r="J76" s="88">
        <v>0.85792100000000004</v>
      </c>
      <c r="K76" s="88">
        <v>0.88896500000000001</v>
      </c>
      <c r="L76" s="88">
        <v>0.92687399999999998</v>
      </c>
      <c r="M76" s="88">
        <v>0.97534600000000005</v>
      </c>
      <c r="N76" s="88">
        <v>1.032321</v>
      </c>
      <c r="O76" s="88">
        <v>1.10005</v>
      </c>
      <c r="P76" s="88">
        <v>1.1823090000000001</v>
      </c>
      <c r="Q76" s="88">
        <v>1.2826679999999999</v>
      </c>
      <c r="R76" s="88">
        <v>1.3961220000000001</v>
      </c>
      <c r="S76" s="88">
        <v>1.5262450000000001</v>
      </c>
      <c r="T76" s="88">
        <v>1.6690529999999999</v>
      </c>
      <c r="U76" s="88">
        <v>1.8257080000000001</v>
      </c>
      <c r="V76" s="88">
        <v>1.9810030000000001</v>
      </c>
      <c r="W76" s="88">
        <v>2.139786</v>
      </c>
      <c r="X76" s="88">
        <v>2.2945030000000002</v>
      </c>
      <c r="Y76" s="88">
        <v>2.4439440000000001</v>
      </c>
      <c r="Z76" s="88">
        <v>2.5983079999999998</v>
      </c>
      <c r="AA76" s="88">
        <v>2.7397170000000002</v>
      </c>
      <c r="AB76" s="88">
        <v>2.862724</v>
      </c>
      <c r="AC76" s="88">
        <v>2.9635039999999999</v>
      </c>
      <c r="AD76" s="88">
        <v>3.0635270000000001</v>
      </c>
      <c r="AE76" s="88">
        <v>3.1549130000000001</v>
      </c>
      <c r="AF76" s="89" t="s">
        <v>321</v>
      </c>
      <c r="AG76" s="80"/>
    </row>
    <row r="77" spans="1:33" ht="15" customHeight="1" x14ac:dyDescent="0.25">
      <c r="A77" s="78" t="s">
        <v>788</v>
      </c>
      <c r="B77" s="87" t="s">
        <v>789</v>
      </c>
      <c r="C77" s="88">
        <v>0</v>
      </c>
      <c r="D77" s="88">
        <v>0.855433</v>
      </c>
      <c r="E77" s="88">
        <v>0.87832900000000003</v>
      </c>
      <c r="F77" s="88">
        <v>0.87276799999999999</v>
      </c>
      <c r="G77" s="88">
        <v>0.86602100000000004</v>
      </c>
      <c r="H77" s="88">
        <v>0.86097800000000002</v>
      </c>
      <c r="I77" s="88">
        <v>0.859267</v>
      </c>
      <c r="J77" s="88">
        <v>0.87018200000000001</v>
      </c>
      <c r="K77" s="88">
        <v>0.89291200000000004</v>
      </c>
      <c r="L77" s="88">
        <v>0.93141799999999997</v>
      </c>
      <c r="M77" s="88">
        <v>0.98409899999999995</v>
      </c>
      <c r="N77" s="88">
        <v>1.0506740000000001</v>
      </c>
      <c r="O77" s="88">
        <v>1.131704</v>
      </c>
      <c r="P77" s="88">
        <v>1.2364980000000001</v>
      </c>
      <c r="Q77" s="88">
        <v>1.3594980000000001</v>
      </c>
      <c r="R77" s="88">
        <v>1.5014730000000001</v>
      </c>
      <c r="S77" s="88">
        <v>1.6622209999999999</v>
      </c>
      <c r="T77" s="88">
        <v>1.841707</v>
      </c>
      <c r="U77" s="88">
        <v>2.0370430000000002</v>
      </c>
      <c r="V77" s="88">
        <v>2.2340399999999998</v>
      </c>
      <c r="W77" s="88">
        <v>2.4355039999999999</v>
      </c>
      <c r="X77" s="88">
        <v>2.635596</v>
      </c>
      <c r="Y77" s="88">
        <v>2.8214579999999998</v>
      </c>
      <c r="Z77" s="88">
        <v>3.0137839999999998</v>
      </c>
      <c r="AA77" s="88">
        <v>3.179278</v>
      </c>
      <c r="AB77" s="88">
        <v>3.3277420000000002</v>
      </c>
      <c r="AC77" s="88">
        <v>3.442774</v>
      </c>
      <c r="AD77" s="88">
        <v>3.5613410000000001</v>
      </c>
      <c r="AE77" s="88">
        <v>3.6622810000000001</v>
      </c>
      <c r="AF77" s="89" t="s">
        <v>321</v>
      </c>
      <c r="AG77" s="80"/>
    </row>
    <row r="78" spans="1:33" ht="15" customHeight="1" x14ac:dyDescent="0.25">
      <c r="A78" s="78" t="s">
        <v>790</v>
      </c>
      <c r="B78" s="87" t="s">
        <v>791</v>
      </c>
      <c r="C78" s="88">
        <v>0</v>
      </c>
      <c r="D78" s="88">
        <v>0</v>
      </c>
      <c r="E78" s="88">
        <v>0</v>
      </c>
      <c r="F78" s="88">
        <v>0</v>
      </c>
      <c r="G78" s="88">
        <v>0</v>
      </c>
      <c r="H78" s="88">
        <v>0</v>
      </c>
      <c r="I78" s="88">
        <v>0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88">
        <v>0</v>
      </c>
      <c r="V78" s="88">
        <v>0</v>
      </c>
      <c r="W78" s="88">
        <v>0</v>
      </c>
      <c r="X78" s="88">
        <v>0</v>
      </c>
      <c r="Y78" s="88">
        <v>0</v>
      </c>
      <c r="Z78" s="88">
        <v>0</v>
      </c>
      <c r="AA78" s="88">
        <v>0</v>
      </c>
      <c r="AB78" s="88">
        <v>0</v>
      </c>
      <c r="AC78" s="88">
        <v>0</v>
      </c>
      <c r="AD78" s="88">
        <v>0</v>
      </c>
      <c r="AE78" s="88">
        <v>0</v>
      </c>
      <c r="AF78" s="89" t="s">
        <v>321</v>
      </c>
      <c r="AG78" s="80"/>
    </row>
    <row r="79" spans="1:33" ht="15" customHeight="1" x14ac:dyDescent="0.25">
      <c r="A79" s="78" t="s">
        <v>792</v>
      </c>
      <c r="B79" s="86" t="s">
        <v>793</v>
      </c>
      <c r="C79" s="90">
        <v>642.29394500000001</v>
      </c>
      <c r="D79" s="90">
        <v>652.15881300000001</v>
      </c>
      <c r="E79" s="90">
        <v>675.13665800000001</v>
      </c>
      <c r="F79" s="90">
        <v>689.60467500000004</v>
      </c>
      <c r="G79" s="90">
        <v>691.51690699999995</v>
      </c>
      <c r="H79" s="90">
        <v>688.42425500000002</v>
      </c>
      <c r="I79" s="90">
        <v>684.18414299999995</v>
      </c>
      <c r="J79" s="90">
        <v>682.62188700000002</v>
      </c>
      <c r="K79" s="90">
        <v>679.86218299999996</v>
      </c>
      <c r="L79" s="90">
        <v>678.07775900000001</v>
      </c>
      <c r="M79" s="90">
        <v>677.36639400000001</v>
      </c>
      <c r="N79" s="90">
        <v>675.92620799999997</v>
      </c>
      <c r="O79" s="90">
        <v>676.86370799999997</v>
      </c>
      <c r="P79" s="90">
        <v>681.45581100000004</v>
      </c>
      <c r="Q79" s="90">
        <v>687.30078100000003</v>
      </c>
      <c r="R79" s="90">
        <v>692.37145999999996</v>
      </c>
      <c r="S79" s="90">
        <v>698.31860400000005</v>
      </c>
      <c r="T79" s="90">
        <v>703.59320100000002</v>
      </c>
      <c r="U79" s="90">
        <v>709.57092299999999</v>
      </c>
      <c r="V79" s="90">
        <v>711.90655500000003</v>
      </c>
      <c r="W79" s="90">
        <v>714.37567100000001</v>
      </c>
      <c r="X79" s="90">
        <v>716.10638400000005</v>
      </c>
      <c r="Y79" s="90">
        <v>717.97564699999998</v>
      </c>
      <c r="Z79" s="90">
        <v>723.98962400000005</v>
      </c>
      <c r="AA79" s="90">
        <v>729.19946300000004</v>
      </c>
      <c r="AB79" s="90">
        <v>732.66320800000005</v>
      </c>
      <c r="AC79" s="90">
        <v>734.38165300000003</v>
      </c>
      <c r="AD79" s="90">
        <v>739.21014400000001</v>
      </c>
      <c r="AE79" s="90">
        <v>745.07336399999997</v>
      </c>
      <c r="AF79" s="91">
        <v>5.3150000000000003E-3</v>
      </c>
      <c r="AG79" s="80"/>
    </row>
    <row r="80" spans="1:33" ht="15" customHeight="1" thickBot="1" x14ac:dyDescent="0.3"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</row>
    <row r="81" spans="2:34" ht="15" customHeight="1" x14ac:dyDescent="0.25">
      <c r="B81" s="133" t="s">
        <v>794</v>
      </c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  <c r="AB81" s="134"/>
      <c r="AC81" s="134"/>
      <c r="AD81" s="134"/>
      <c r="AE81" s="134"/>
      <c r="AF81" s="134"/>
      <c r="AG81" s="134"/>
      <c r="AH81" s="95"/>
    </row>
    <row r="82" spans="2:34" ht="15" customHeight="1" x14ac:dyDescent="0.25">
      <c r="B82" s="80" t="s">
        <v>795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</row>
    <row r="83" spans="2:34" ht="15" customHeight="1" x14ac:dyDescent="0.25">
      <c r="B83" s="80" t="s">
        <v>796</v>
      </c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</row>
    <row r="84" spans="2:34" ht="15" customHeight="1" x14ac:dyDescent="0.25">
      <c r="B84" s="80" t="s">
        <v>797</v>
      </c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</row>
    <row r="85" spans="2:34" ht="15" customHeight="1" x14ac:dyDescent="0.25">
      <c r="B85" s="80" t="s">
        <v>798</v>
      </c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</row>
    <row r="86" spans="2:34" ht="15" customHeight="1" x14ac:dyDescent="0.25">
      <c r="B86" s="80" t="s">
        <v>694</v>
      </c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</row>
    <row r="87" spans="2:34" ht="15" customHeight="1" x14ac:dyDescent="0.25">
      <c r="B87" s="80" t="s">
        <v>799</v>
      </c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</row>
    <row r="88" spans="2:34" ht="15" customHeight="1" x14ac:dyDescent="0.25"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</row>
    <row r="89" spans="2:34" ht="15" customHeight="1" x14ac:dyDescent="0.25"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</row>
    <row r="90" spans="2:34" ht="15" customHeight="1" x14ac:dyDescent="0.25"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</row>
    <row r="91" spans="2:34" ht="12" customHeight="1" x14ac:dyDescent="0.25"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</row>
    <row r="92" spans="2:34" ht="15" customHeight="1" x14ac:dyDescent="0.25"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</row>
    <row r="93" spans="2:34" ht="15" customHeight="1" x14ac:dyDescent="0.25"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</row>
    <row r="94" spans="2:34" ht="15" customHeight="1" x14ac:dyDescent="0.25"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</row>
    <row r="95" spans="2:34" ht="15" customHeight="1" x14ac:dyDescent="0.25"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</row>
    <row r="96" spans="2:34" ht="12" customHeight="1" x14ac:dyDescent="0.25"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</row>
    <row r="97" spans="2:33" ht="15" customHeight="1" x14ac:dyDescent="0.25"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</row>
    <row r="98" spans="2:33" ht="12" customHeight="1" x14ac:dyDescent="0.25"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</row>
    <row r="99" spans="2:33" ht="15" customHeight="1" x14ac:dyDescent="0.25"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</row>
    <row r="100" spans="2:33" ht="15" customHeight="1" x14ac:dyDescent="0.25"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</row>
    <row r="101" spans="2:33" ht="15" customHeight="1" x14ac:dyDescent="0.25"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</row>
    <row r="102" spans="2:33" ht="15" customHeight="1" x14ac:dyDescent="0.25"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</row>
    <row r="103" spans="2:33" ht="15" customHeight="1" x14ac:dyDescent="0.25"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</row>
    <row r="104" spans="2:33" ht="15" customHeight="1" x14ac:dyDescent="0.25"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</row>
    <row r="105" spans="2:33" ht="15" customHeight="1" x14ac:dyDescent="0.25"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</row>
    <row r="106" spans="2:33" ht="15" customHeight="1" x14ac:dyDescent="0.25"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</row>
    <row r="107" spans="2:33" ht="15" customHeight="1" x14ac:dyDescent="0.25"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80"/>
      <c r="AD107" s="80"/>
      <c r="AE107" s="80"/>
      <c r="AF107" s="80"/>
      <c r="AG107" s="80"/>
    </row>
    <row r="108" spans="2:33" ht="15" customHeight="1" x14ac:dyDescent="0.25"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/>
      <c r="AF108" s="80"/>
      <c r="AG108" s="80"/>
    </row>
    <row r="109" spans="2:33" ht="15" customHeight="1" x14ac:dyDescent="0.25"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 t="s">
        <v>572</v>
      </c>
      <c r="AG109" s="80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  <c r="AA117" s="132"/>
      <c r="AB117" s="132"/>
      <c r="AC117" s="132"/>
      <c r="AD117" s="132"/>
      <c r="AE117" s="132"/>
      <c r="AF117" s="132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2"/>
      <c r="C259" s="132"/>
      <c r="D259" s="132"/>
      <c r="E259" s="132"/>
      <c r="F259" s="132"/>
      <c r="G259" s="132"/>
      <c r="H259" s="132"/>
      <c r="I259" s="132"/>
      <c r="J259" s="132"/>
      <c r="K259" s="132"/>
      <c r="L259" s="132"/>
      <c r="M259" s="132"/>
      <c r="N259" s="132"/>
      <c r="O259" s="132"/>
      <c r="P259" s="132"/>
      <c r="Q259" s="132"/>
      <c r="R259" s="132"/>
      <c r="S259" s="132"/>
      <c r="T259" s="132"/>
      <c r="U259" s="132"/>
      <c r="V259" s="132"/>
      <c r="W259" s="132"/>
      <c r="X259" s="132"/>
      <c r="Y259" s="132"/>
      <c r="Z259" s="132"/>
      <c r="AA259" s="132"/>
      <c r="AB259" s="132"/>
      <c r="AC259" s="132"/>
      <c r="AD259" s="132"/>
      <c r="AE259" s="132"/>
      <c r="AF259" s="132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2"/>
      <c r="C339" s="132"/>
      <c r="D339" s="132"/>
      <c r="E339" s="132"/>
      <c r="F339" s="132"/>
      <c r="G339" s="132"/>
      <c r="H339" s="132"/>
      <c r="I339" s="132"/>
      <c r="J339" s="132"/>
      <c r="K339" s="132"/>
      <c r="L339" s="132"/>
      <c r="M339" s="132"/>
      <c r="N339" s="132"/>
      <c r="O339" s="132"/>
      <c r="P339" s="132"/>
      <c r="Q339" s="132"/>
      <c r="R339" s="132"/>
      <c r="S339" s="132"/>
      <c r="T339" s="132"/>
      <c r="U339" s="132"/>
      <c r="V339" s="132"/>
      <c r="W339" s="132"/>
      <c r="X339" s="132"/>
      <c r="Y339" s="132"/>
      <c r="Z339" s="132"/>
      <c r="AA339" s="132"/>
      <c r="AB339" s="132"/>
      <c r="AC339" s="132"/>
      <c r="AD339" s="132"/>
      <c r="AE339" s="132"/>
      <c r="AF339" s="132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2"/>
      <c r="C452" s="132"/>
      <c r="D452" s="132"/>
      <c r="E452" s="132"/>
      <c r="F452" s="132"/>
      <c r="G452" s="132"/>
      <c r="H452" s="132"/>
      <c r="I452" s="132"/>
      <c r="J452" s="132"/>
      <c r="K452" s="132"/>
      <c r="L452" s="132"/>
      <c r="M452" s="132"/>
      <c r="N452" s="132"/>
      <c r="O452" s="132"/>
      <c r="P452" s="132"/>
      <c r="Q452" s="132"/>
      <c r="R452" s="132"/>
      <c r="S452" s="132"/>
      <c r="T452" s="132"/>
      <c r="U452" s="132"/>
      <c r="V452" s="132"/>
      <c r="W452" s="132"/>
      <c r="X452" s="132"/>
      <c r="Y452" s="132"/>
      <c r="Z452" s="132"/>
      <c r="AA452" s="132"/>
      <c r="AB452" s="132"/>
      <c r="AC452" s="132"/>
      <c r="AD452" s="132"/>
      <c r="AE452" s="132"/>
      <c r="AF452" s="132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2"/>
      <c r="C565" s="132"/>
      <c r="D565" s="132"/>
      <c r="E565" s="132"/>
      <c r="F565" s="132"/>
      <c r="G565" s="132"/>
      <c r="H565" s="132"/>
      <c r="I565" s="132"/>
      <c r="J565" s="132"/>
      <c r="K565" s="132"/>
      <c r="L565" s="132"/>
      <c r="M565" s="132"/>
      <c r="N565" s="132"/>
      <c r="O565" s="132"/>
      <c r="P565" s="132"/>
      <c r="Q565" s="132"/>
      <c r="R565" s="132"/>
      <c r="S565" s="132"/>
      <c r="T565" s="132"/>
      <c r="U565" s="132"/>
      <c r="V565" s="132"/>
      <c r="W565" s="132"/>
      <c r="X565" s="132"/>
      <c r="Y565" s="132"/>
      <c r="Z565" s="132"/>
      <c r="AA565" s="132"/>
      <c r="AB565" s="132"/>
      <c r="AC565" s="132"/>
      <c r="AD565" s="132"/>
      <c r="AE565" s="132"/>
      <c r="AF565" s="132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2"/>
      <c r="C663" s="132"/>
      <c r="D663" s="132"/>
      <c r="E663" s="132"/>
      <c r="F663" s="132"/>
      <c r="G663" s="132"/>
      <c r="H663" s="132"/>
      <c r="I663" s="132"/>
      <c r="J663" s="132"/>
      <c r="K663" s="132"/>
      <c r="L663" s="132"/>
      <c r="M663" s="132"/>
      <c r="N663" s="132"/>
      <c r="O663" s="132"/>
      <c r="P663" s="132"/>
      <c r="Q663" s="132"/>
      <c r="R663" s="132"/>
      <c r="S663" s="132"/>
      <c r="T663" s="132"/>
      <c r="U663" s="132"/>
      <c r="V663" s="132"/>
      <c r="W663" s="132"/>
      <c r="X663" s="132"/>
      <c r="Y663" s="132"/>
      <c r="Z663" s="132"/>
      <c r="AA663" s="132"/>
      <c r="AB663" s="132"/>
      <c r="AC663" s="132"/>
      <c r="AD663" s="132"/>
      <c r="AE663" s="132"/>
      <c r="AF663" s="132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2"/>
      <c r="C735" s="132"/>
      <c r="D735" s="132"/>
      <c r="E735" s="132"/>
      <c r="F735" s="132"/>
      <c r="G735" s="132"/>
      <c r="H735" s="132"/>
      <c r="I735" s="132"/>
      <c r="J735" s="132"/>
      <c r="K735" s="132"/>
      <c r="L735" s="132"/>
      <c r="M735" s="132"/>
      <c r="N735" s="132"/>
      <c r="O735" s="132"/>
      <c r="P735" s="132"/>
      <c r="Q735" s="132"/>
      <c r="R735" s="132"/>
      <c r="S735" s="132"/>
      <c r="T735" s="132"/>
      <c r="U735" s="132"/>
      <c r="V735" s="132"/>
      <c r="W735" s="132"/>
      <c r="X735" s="132"/>
      <c r="Y735" s="132"/>
      <c r="Z735" s="132"/>
      <c r="AA735" s="132"/>
      <c r="AB735" s="132"/>
      <c r="AC735" s="132"/>
      <c r="AD735" s="132"/>
      <c r="AE735" s="132"/>
      <c r="AF735" s="132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2"/>
      <c r="C911" s="132"/>
      <c r="D911" s="132"/>
      <c r="E911" s="132"/>
      <c r="F911" s="132"/>
      <c r="G911" s="132"/>
      <c r="H911" s="132"/>
      <c r="I911" s="132"/>
      <c r="J911" s="132"/>
      <c r="K911" s="132"/>
      <c r="L911" s="132"/>
      <c r="M911" s="132"/>
      <c r="N911" s="132"/>
      <c r="O911" s="132"/>
      <c r="P911" s="132"/>
      <c r="Q911" s="132"/>
      <c r="R911" s="132"/>
      <c r="S911" s="132"/>
      <c r="T911" s="132"/>
      <c r="U911" s="132"/>
      <c r="V911" s="132"/>
      <c r="W911" s="132"/>
      <c r="X911" s="132"/>
      <c r="Y911" s="132"/>
      <c r="Z911" s="132"/>
      <c r="AA911" s="132"/>
      <c r="AB911" s="132"/>
      <c r="AC911" s="132"/>
      <c r="AD911" s="132"/>
      <c r="AE911" s="132"/>
      <c r="AF911" s="132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2"/>
      <c r="C994" s="132"/>
      <c r="D994" s="132"/>
      <c r="E994" s="132"/>
      <c r="F994" s="132"/>
      <c r="G994" s="132"/>
      <c r="H994" s="132"/>
      <c r="I994" s="132"/>
      <c r="J994" s="132"/>
      <c r="K994" s="132"/>
      <c r="L994" s="132"/>
      <c r="M994" s="132"/>
      <c r="N994" s="132"/>
      <c r="O994" s="132"/>
      <c r="P994" s="132"/>
      <c r="Q994" s="132"/>
      <c r="R994" s="132"/>
      <c r="S994" s="132"/>
      <c r="T994" s="132"/>
      <c r="U994" s="132"/>
      <c r="V994" s="132"/>
      <c r="W994" s="132"/>
      <c r="X994" s="132"/>
      <c r="Y994" s="132"/>
      <c r="Z994" s="132"/>
      <c r="AA994" s="132"/>
      <c r="AB994" s="132"/>
      <c r="AC994" s="132"/>
      <c r="AD994" s="132"/>
      <c r="AE994" s="132"/>
      <c r="AF994" s="132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2"/>
      <c r="C1096" s="132"/>
      <c r="D1096" s="132"/>
      <c r="E1096" s="132"/>
      <c r="F1096" s="132"/>
      <c r="G1096" s="132"/>
      <c r="H1096" s="132"/>
      <c r="I1096" s="132"/>
      <c r="J1096" s="132"/>
      <c r="K1096" s="132"/>
      <c r="L1096" s="132"/>
      <c r="M1096" s="132"/>
      <c r="N1096" s="132"/>
      <c r="O1096" s="132"/>
      <c r="P1096" s="132"/>
      <c r="Q1096" s="132"/>
      <c r="R1096" s="132"/>
      <c r="S1096" s="132"/>
      <c r="T1096" s="132"/>
      <c r="U1096" s="132"/>
      <c r="V1096" s="132"/>
      <c r="W1096" s="132"/>
      <c r="X1096" s="132"/>
      <c r="Y1096" s="132"/>
      <c r="Z1096" s="132"/>
      <c r="AA1096" s="132"/>
      <c r="AB1096" s="132"/>
      <c r="AC1096" s="132"/>
      <c r="AD1096" s="132"/>
      <c r="AE1096" s="132"/>
      <c r="AF1096" s="132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2"/>
      <c r="C1194" s="132"/>
      <c r="D1194" s="132"/>
      <c r="E1194" s="132"/>
      <c r="F1194" s="132"/>
      <c r="G1194" s="132"/>
      <c r="H1194" s="132"/>
      <c r="I1194" s="132"/>
      <c r="J1194" s="132"/>
      <c r="K1194" s="132"/>
      <c r="L1194" s="132"/>
      <c r="M1194" s="132"/>
      <c r="N1194" s="132"/>
      <c r="O1194" s="132"/>
      <c r="P1194" s="132"/>
      <c r="Q1194" s="132"/>
      <c r="R1194" s="132"/>
      <c r="S1194" s="132"/>
      <c r="T1194" s="132"/>
      <c r="U1194" s="132"/>
      <c r="V1194" s="132"/>
      <c r="W1194" s="132"/>
      <c r="X1194" s="132"/>
      <c r="Y1194" s="132"/>
      <c r="Z1194" s="132"/>
      <c r="AA1194" s="132"/>
      <c r="AB1194" s="132"/>
      <c r="AC1194" s="132"/>
      <c r="AD1194" s="132"/>
      <c r="AE1194" s="132"/>
      <c r="AF1194" s="132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2"/>
      <c r="C1294" s="132"/>
      <c r="D1294" s="132"/>
      <c r="E1294" s="132"/>
      <c r="F1294" s="132"/>
      <c r="G1294" s="132"/>
      <c r="H1294" s="132"/>
      <c r="I1294" s="132"/>
      <c r="J1294" s="132"/>
      <c r="K1294" s="132"/>
      <c r="L1294" s="132"/>
      <c r="M1294" s="132"/>
      <c r="N1294" s="132"/>
      <c r="O1294" s="132"/>
      <c r="P1294" s="132"/>
      <c r="Q1294" s="132"/>
      <c r="R1294" s="132"/>
      <c r="S1294" s="132"/>
      <c r="T1294" s="132"/>
      <c r="U1294" s="132"/>
      <c r="V1294" s="132"/>
      <c r="W1294" s="132"/>
      <c r="X1294" s="132"/>
      <c r="Y1294" s="132"/>
      <c r="Z1294" s="132"/>
      <c r="AA1294" s="132"/>
      <c r="AB1294" s="132"/>
      <c r="AC1294" s="132"/>
      <c r="AD1294" s="132"/>
      <c r="AE1294" s="132"/>
      <c r="AF1294" s="132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2"/>
      <c r="C1590" s="132"/>
      <c r="D1590" s="132"/>
      <c r="E1590" s="132"/>
      <c r="F1590" s="132"/>
      <c r="G1590" s="132"/>
      <c r="H1590" s="132"/>
      <c r="I1590" s="132"/>
      <c r="J1590" s="132"/>
      <c r="K1590" s="132"/>
      <c r="L1590" s="132"/>
      <c r="M1590" s="132"/>
      <c r="N1590" s="132"/>
      <c r="O1590" s="132"/>
      <c r="P1590" s="132"/>
      <c r="Q1590" s="132"/>
      <c r="R1590" s="132"/>
      <c r="S1590" s="132"/>
      <c r="T1590" s="132"/>
      <c r="U1590" s="132"/>
      <c r="V1590" s="132"/>
      <c r="W1590" s="132"/>
      <c r="X1590" s="132"/>
      <c r="Y1590" s="132"/>
      <c r="Z1590" s="132"/>
      <c r="AA1590" s="132"/>
      <c r="AB1590" s="132"/>
      <c r="AC1590" s="132"/>
      <c r="AD1590" s="132"/>
      <c r="AE1590" s="132"/>
      <c r="AF1590" s="132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2"/>
      <c r="C1813" s="132"/>
      <c r="D1813" s="132"/>
      <c r="E1813" s="132"/>
      <c r="F1813" s="132"/>
      <c r="G1813" s="132"/>
      <c r="H1813" s="132"/>
      <c r="I1813" s="132"/>
      <c r="J1813" s="132"/>
      <c r="K1813" s="132"/>
      <c r="L1813" s="132"/>
      <c r="M1813" s="132"/>
      <c r="N1813" s="132"/>
      <c r="O1813" s="132"/>
      <c r="P1813" s="132"/>
      <c r="Q1813" s="132"/>
      <c r="R1813" s="132"/>
      <c r="S1813" s="132"/>
      <c r="T1813" s="132"/>
      <c r="U1813" s="132"/>
      <c r="V1813" s="132"/>
      <c r="W1813" s="132"/>
      <c r="X1813" s="132"/>
      <c r="Y1813" s="132"/>
      <c r="Z1813" s="132"/>
      <c r="AA1813" s="132"/>
      <c r="AB1813" s="132"/>
      <c r="AC1813" s="132"/>
      <c r="AD1813" s="132"/>
      <c r="AE1813" s="132"/>
      <c r="AF1813" s="132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2"/>
      <c r="C2090" s="132"/>
      <c r="D2090" s="132"/>
      <c r="E2090" s="132"/>
      <c r="F2090" s="132"/>
      <c r="G2090" s="132"/>
      <c r="H2090" s="132"/>
      <c r="I2090" s="132"/>
      <c r="J2090" s="132"/>
      <c r="K2090" s="132"/>
      <c r="L2090" s="132"/>
      <c r="M2090" s="132"/>
      <c r="N2090" s="132"/>
      <c r="O2090" s="132"/>
      <c r="P2090" s="132"/>
      <c r="Q2090" s="132"/>
      <c r="R2090" s="132"/>
      <c r="S2090" s="132"/>
      <c r="T2090" s="132"/>
      <c r="U2090" s="132"/>
      <c r="V2090" s="132"/>
      <c r="W2090" s="132"/>
      <c r="X2090" s="132"/>
      <c r="Y2090" s="132"/>
      <c r="Z2090" s="132"/>
      <c r="AA2090" s="132"/>
      <c r="AB2090" s="132"/>
      <c r="AC2090" s="132"/>
      <c r="AD2090" s="132"/>
      <c r="AE2090" s="132"/>
      <c r="AF2090" s="132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2"/>
      <c r="C2425" s="132"/>
      <c r="D2425" s="132"/>
      <c r="E2425" s="132"/>
      <c r="F2425" s="132"/>
      <c r="G2425" s="132"/>
      <c r="H2425" s="132"/>
      <c r="I2425" s="132"/>
      <c r="J2425" s="132"/>
      <c r="K2425" s="132"/>
      <c r="L2425" s="132"/>
      <c r="M2425" s="132"/>
      <c r="N2425" s="132"/>
      <c r="O2425" s="132"/>
      <c r="P2425" s="132"/>
      <c r="Q2425" s="132"/>
      <c r="R2425" s="132"/>
      <c r="S2425" s="132"/>
      <c r="T2425" s="132"/>
      <c r="U2425" s="132"/>
      <c r="V2425" s="132"/>
      <c r="W2425" s="132"/>
      <c r="X2425" s="132"/>
      <c r="Y2425" s="132"/>
      <c r="Z2425" s="132"/>
      <c r="AA2425" s="132"/>
      <c r="AB2425" s="132"/>
      <c r="AC2425" s="132"/>
      <c r="AD2425" s="132"/>
      <c r="AE2425" s="132"/>
      <c r="AF2425" s="132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2"/>
      <c r="C2745" s="132"/>
      <c r="D2745" s="132"/>
      <c r="E2745" s="132"/>
      <c r="F2745" s="132"/>
      <c r="G2745" s="132"/>
      <c r="H2745" s="132"/>
      <c r="I2745" s="132"/>
      <c r="J2745" s="132"/>
      <c r="K2745" s="132"/>
      <c r="L2745" s="132"/>
      <c r="M2745" s="132"/>
      <c r="N2745" s="132"/>
      <c r="O2745" s="132"/>
      <c r="P2745" s="132"/>
      <c r="Q2745" s="132"/>
      <c r="R2745" s="132"/>
      <c r="S2745" s="132"/>
      <c r="T2745" s="132"/>
      <c r="U2745" s="132"/>
      <c r="V2745" s="132"/>
      <c r="W2745" s="132"/>
      <c r="X2745" s="132"/>
      <c r="Y2745" s="132"/>
      <c r="Z2745" s="132"/>
      <c r="AA2745" s="132"/>
      <c r="AB2745" s="132"/>
      <c r="AC2745" s="132"/>
      <c r="AD2745" s="132"/>
      <c r="AE2745" s="132"/>
      <c r="AF2745" s="132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2"/>
      <c r="C3076" s="132"/>
      <c r="D3076" s="132"/>
      <c r="E3076" s="132"/>
      <c r="F3076" s="132"/>
      <c r="G3076" s="132"/>
      <c r="H3076" s="132"/>
      <c r="I3076" s="132"/>
      <c r="J3076" s="132"/>
      <c r="K3076" s="132"/>
      <c r="L3076" s="132"/>
      <c r="M3076" s="132"/>
      <c r="N3076" s="132"/>
      <c r="O3076" s="132"/>
      <c r="P3076" s="132"/>
      <c r="Q3076" s="132"/>
      <c r="R3076" s="132"/>
      <c r="S3076" s="132"/>
      <c r="T3076" s="132"/>
      <c r="U3076" s="132"/>
      <c r="V3076" s="132"/>
      <c r="W3076" s="132"/>
      <c r="X3076" s="132"/>
      <c r="Y3076" s="132"/>
      <c r="Z3076" s="132"/>
      <c r="AA3076" s="132"/>
      <c r="AB3076" s="132"/>
      <c r="AC3076" s="132"/>
      <c r="AD3076" s="132"/>
      <c r="AE3076" s="132"/>
      <c r="AF3076" s="132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2"/>
      <c r="C3393" s="132"/>
      <c r="D3393" s="132"/>
      <c r="E3393" s="132"/>
      <c r="F3393" s="132"/>
      <c r="G3393" s="132"/>
      <c r="H3393" s="132"/>
      <c r="I3393" s="132"/>
      <c r="J3393" s="132"/>
      <c r="K3393" s="132"/>
      <c r="L3393" s="132"/>
      <c r="M3393" s="132"/>
      <c r="N3393" s="132"/>
      <c r="O3393" s="132"/>
      <c r="P3393" s="132"/>
      <c r="Q3393" s="132"/>
      <c r="R3393" s="132"/>
      <c r="S3393" s="132"/>
      <c r="T3393" s="132"/>
      <c r="U3393" s="132"/>
      <c r="V3393" s="132"/>
      <c r="W3393" s="132"/>
      <c r="X3393" s="132"/>
      <c r="Y3393" s="132"/>
      <c r="Z3393" s="132"/>
      <c r="AA3393" s="132"/>
      <c r="AB3393" s="132"/>
      <c r="AC3393" s="132"/>
      <c r="AD3393" s="132"/>
      <c r="AE3393" s="132"/>
      <c r="AF3393" s="132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2"/>
      <c r="C3502" s="132"/>
      <c r="D3502" s="132"/>
      <c r="E3502" s="132"/>
      <c r="F3502" s="132"/>
      <c r="G3502" s="132"/>
      <c r="H3502" s="132"/>
      <c r="I3502" s="132"/>
      <c r="J3502" s="132"/>
      <c r="K3502" s="132"/>
      <c r="L3502" s="132"/>
      <c r="M3502" s="132"/>
      <c r="N3502" s="132"/>
      <c r="O3502" s="132"/>
      <c r="P3502" s="132"/>
      <c r="Q3502" s="132"/>
      <c r="R3502" s="132"/>
      <c r="S3502" s="132"/>
      <c r="T3502" s="132"/>
      <c r="U3502" s="132"/>
      <c r="V3502" s="132"/>
      <c r="W3502" s="132"/>
      <c r="X3502" s="132"/>
      <c r="Y3502" s="132"/>
      <c r="Z3502" s="132"/>
      <c r="AA3502" s="132"/>
      <c r="AB3502" s="132"/>
      <c r="AC3502" s="132"/>
      <c r="AD3502" s="132"/>
      <c r="AE3502" s="132"/>
      <c r="AF3502" s="132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2"/>
      <c r="C3627" s="132"/>
      <c r="D3627" s="132"/>
      <c r="E3627" s="132"/>
      <c r="F3627" s="132"/>
      <c r="G3627" s="132"/>
      <c r="H3627" s="132"/>
      <c r="I3627" s="132"/>
      <c r="J3627" s="132"/>
      <c r="K3627" s="132"/>
      <c r="L3627" s="132"/>
      <c r="M3627" s="132"/>
      <c r="N3627" s="132"/>
      <c r="O3627" s="132"/>
      <c r="P3627" s="132"/>
      <c r="Q3627" s="132"/>
      <c r="R3627" s="132"/>
      <c r="S3627" s="132"/>
      <c r="T3627" s="132"/>
      <c r="U3627" s="132"/>
      <c r="V3627" s="132"/>
      <c r="W3627" s="132"/>
      <c r="X3627" s="132"/>
      <c r="Y3627" s="132"/>
      <c r="Z3627" s="132"/>
      <c r="AA3627" s="132"/>
      <c r="AB3627" s="132"/>
      <c r="AC3627" s="132"/>
      <c r="AD3627" s="132"/>
      <c r="AE3627" s="132"/>
      <c r="AF3627" s="132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2"/>
      <c r="C3752" s="132"/>
      <c r="D3752" s="132"/>
      <c r="E3752" s="132"/>
      <c r="F3752" s="132"/>
      <c r="G3752" s="132"/>
      <c r="H3752" s="132"/>
      <c r="I3752" s="132"/>
      <c r="J3752" s="132"/>
      <c r="K3752" s="132"/>
      <c r="L3752" s="132"/>
      <c r="M3752" s="132"/>
      <c r="N3752" s="132"/>
      <c r="O3752" s="132"/>
      <c r="P3752" s="132"/>
      <c r="Q3752" s="132"/>
      <c r="R3752" s="132"/>
      <c r="S3752" s="132"/>
      <c r="T3752" s="132"/>
      <c r="U3752" s="132"/>
      <c r="V3752" s="132"/>
      <c r="W3752" s="132"/>
      <c r="X3752" s="132"/>
      <c r="Y3752" s="132"/>
      <c r="Z3752" s="132"/>
      <c r="AA3752" s="132"/>
      <c r="AB3752" s="132"/>
      <c r="AC3752" s="132"/>
      <c r="AD3752" s="132"/>
      <c r="AE3752" s="132"/>
      <c r="AF3752" s="132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2"/>
      <c r="C3877" s="132"/>
      <c r="D3877" s="132"/>
      <c r="E3877" s="132"/>
      <c r="F3877" s="132"/>
      <c r="G3877" s="132"/>
      <c r="H3877" s="132"/>
      <c r="I3877" s="132"/>
      <c r="J3877" s="132"/>
      <c r="K3877" s="132"/>
      <c r="L3877" s="132"/>
      <c r="M3877" s="132"/>
      <c r="N3877" s="132"/>
      <c r="O3877" s="132"/>
      <c r="P3877" s="132"/>
      <c r="Q3877" s="132"/>
      <c r="R3877" s="132"/>
      <c r="S3877" s="132"/>
      <c r="T3877" s="132"/>
      <c r="U3877" s="132"/>
      <c r="V3877" s="132"/>
      <c r="W3877" s="132"/>
      <c r="X3877" s="132"/>
      <c r="Y3877" s="132"/>
      <c r="Z3877" s="132"/>
      <c r="AA3877" s="132"/>
      <c r="AB3877" s="132"/>
      <c r="AC3877" s="132"/>
      <c r="AD3877" s="132"/>
      <c r="AE3877" s="132"/>
      <c r="AF3877" s="132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2"/>
      <c r="C4002" s="132"/>
      <c r="D4002" s="132"/>
      <c r="E4002" s="132"/>
      <c r="F4002" s="132"/>
      <c r="G4002" s="132"/>
      <c r="H4002" s="132"/>
      <c r="I4002" s="132"/>
      <c r="J4002" s="132"/>
      <c r="K4002" s="132"/>
      <c r="L4002" s="132"/>
      <c r="M4002" s="132"/>
      <c r="N4002" s="132"/>
      <c r="O4002" s="132"/>
      <c r="P4002" s="132"/>
      <c r="Q4002" s="132"/>
      <c r="R4002" s="132"/>
      <c r="S4002" s="132"/>
      <c r="T4002" s="132"/>
      <c r="U4002" s="132"/>
      <c r="V4002" s="132"/>
      <c r="W4002" s="132"/>
      <c r="X4002" s="132"/>
      <c r="Y4002" s="132"/>
      <c r="Z4002" s="132"/>
      <c r="AA4002" s="132"/>
      <c r="AB4002" s="132"/>
      <c r="AC4002" s="132"/>
      <c r="AD4002" s="132"/>
      <c r="AE4002" s="132"/>
      <c r="AF4002" s="132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2"/>
      <c r="C4127" s="132"/>
      <c r="D4127" s="132"/>
      <c r="E4127" s="132"/>
      <c r="F4127" s="132"/>
      <c r="G4127" s="132"/>
      <c r="H4127" s="132"/>
      <c r="I4127" s="132"/>
      <c r="J4127" s="132"/>
      <c r="K4127" s="132"/>
      <c r="L4127" s="132"/>
      <c r="M4127" s="132"/>
      <c r="N4127" s="132"/>
      <c r="O4127" s="132"/>
      <c r="P4127" s="132"/>
      <c r="Q4127" s="132"/>
      <c r="R4127" s="132"/>
      <c r="S4127" s="132"/>
      <c r="T4127" s="132"/>
      <c r="U4127" s="132"/>
      <c r="V4127" s="132"/>
      <c r="W4127" s="132"/>
      <c r="X4127" s="132"/>
      <c r="Y4127" s="132"/>
      <c r="Z4127" s="132"/>
      <c r="AA4127" s="132"/>
      <c r="AB4127" s="132"/>
      <c r="AC4127" s="132"/>
      <c r="AD4127" s="132"/>
      <c r="AE4127" s="132"/>
      <c r="AF4127" s="132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2"/>
      <c r="C4252" s="132"/>
      <c r="D4252" s="132"/>
      <c r="E4252" s="132"/>
      <c r="F4252" s="132"/>
      <c r="G4252" s="132"/>
      <c r="H4252" s="132"/>
      <c r="I4252" s="132"/>
      <c r="J4252" s="132"/>
      <c r="K4252" s="132"/>
      <c r="L4252" s="132"/>
      <c r="M4252" s="132"/>
      <c r="N4252" s="132"/>
      <c r="O4252" s="132"/>
      <c r="P4252" s="132"/>
      <c r="Q4252" s="132"/>
      <c r="R4252" s="132"/>
      <c r="S4252" s="132"/>
      <c r="T4252" s="132"/>
      <c r="U4252" s="132"/>
      <c r="V4252" s="132"/>
      <c r="W4252" s="132"/>
      <c r="X4252" s="132"/>
      <c r="Y4252" s="132"/>
      <c r="Z4252" s="132"/>
      <c r="AA4252" s="132"/>
      <c r="AB4252" s="132"/>
      <c r="AC4252" s="132"/>
      <c r="AD4252" s="132"/>
      <c r="AE4252" s="132"/>
      <c r="AF4252" s="132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2"/>
      <c r="C4377" s="132"/>
      <c r="D4377" s="132"/>
      <c r="E4377" s="132"/>
      <c r="F4377" s="132"/>
      <c r="G4377" s="132"/>
      <c r="H4377" s="132"/>
      <c r="I4377" s="132"/>
      <c r="J4377" s="132"/>
      <c r="K4377" s="132"/>
      <c r="L4377" s="132"/>
      <c r="M4377" s="132"/>
      <c r="N4377" s="132"/>
      <c r="O4377" s="132"/>
      <c r="P4377" s="132"/>
      <c r="Q4377" s="132"/>
      <c r="R4377" s="132"/>
      <c r="S4377" s="132"/>
      <c r="T4377" s="132"/>
      <c r="U4377" s="132"/>
      <c r="V4377" s="132"/>
      <c r="W4377" s="132"/>
      <c r="X4377" s="132"/>
      <c r="Y4377" s="132"/>
      <c r="Z4377" s="132"/>
      <c r="AA4377" s="132"/>
      <c r="AB4377" s="132"/>
      <c r="AC4377" s="132"/>
      <c r="AD4377" s="132"/>
      <c r="AE4377" s="132"/>
      <c r="AF4377" s="132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2"/>
      <c r="C4502" s="132"/>
      <c r="D4502" s="132"/>
      <c r="E4502" s="132"/>
      <c r="F4502" s="132"/>
      <c r="G4502" s="132"/>
      <c r="H4502" s="132"/>
      <c r="I4502" s="132"/>
      <c r="J4502" s="132"/>
      <c r="K4502" s="132"/>
      <c r="L4502" s="132"/>
      <c r="M4502" s="132"/>
      <c r="N4502" s="132"/>
      <c r="O4502" s="132"/>
      <c r="P4502" s="132"/>
      <c r="Q4502" s="132"/>
      <c r="R4502" s="132"/>
      <c r="S4502" s="132"/>
      <c r="T4502" s="132"/>
      <c r="U4502" s="132"/>
      <c r="V4502" s="132"/>
      <c r="W4502" s="132"/>
      <c r="X4502" s="132"/>
      <c r="Y4502" s="132"/>
      <c r="Z4502" s="132"/>
      <c r="AA4502" s="132"/>
      <c r="AB4502" s="132"/>
      <c r="AC4502" s="132"/>
      <c r="AD4502" s="132"/>
      <c r="AE4502" s="132"/>
      <c r="AF4502" s="132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4002:AF4002"/>
    <mergeCell ref="B4127:AF4127"/>
    <mergeCell ref="B4252:AF4252"/>
    <mergeCell ref="B4377:AF4377"/>
    <mergeCell ref="B4502:AF450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6"/>
      <c r="B1" s="74" t="s">
        <v>288</v>
      </c>
      <c r="C1" s="75">
        <v>2022</v>
      </c>
      <c r="D1" s="75">
        <v>2023</v>
      </c>
      <c r="E1" s="75">
        <v>2024</v>
      </c>
      <c r="F1" s="75">
        <v>2025</v>
      </c>
      <c r="G1" s="75">
        <v>2026</v>
      </c>
      <c r="H1" s="75">
        <v>2027</v>
      </c>
      <c r="I1" s="75">
        <v>2028</v>
      </c>
      <c r="J1" s="75">
        <v>2029</v>
      </c>
      <c r="K1" s="75">
        <v>2030</v>
      </c>
      <c r="L1" s="75">
        <v>2031</v>
      </c>
      <c r="M1" s="75">
        <v>2032</v>
      </c>
      <c r="N1" s="75">
        <v>2033</v>
      </c>
      <c r="O1" s="75">
        <v>2034</v>
      </c>
      <c r="P1" s="75">
        <v>2035</v>
      </c>
      <c r="Q1" s="75">
        <v>2036</v>
      </c>
      <c r="R1" s="75">
        <v>2037</v>
      </c>
      <c r="S1" s="75">
        <v>2038</v>
      </c>
      <c r="T1" s="75">
        <v>2039</v>
      </c>
      <c r="U1" s="75">
        <v>2040</v>
      </c>
      <c r="V1" s="75">
        <v>2041</v>
      </c>
      <c r="W1" s="75">
        <v>2042</v>
      </c>
      <c r="X1" s="75">
        <v>2043</v>
      </c>
      <c r="Y1" s="75">
        <v>2044</v>
      </c>
      <c r="Z1" s="75">
        <v>2045</v>
      </c>
      <c r="AA1" s="75">
        <v>2046</v>
      </c>
      <c r="AB1" s="75">
        <v>2047</v>
      </c>
      <c r="AC1" s="75">
        <v>2048</v>
      </c>
      <c r="AD1" s="75">
        <v>2049</v>
      </c>
      <c r="AE1" s="75">
        <v>2050</v>
      </c>
      <c r="AF1" s="106"/>
      <c r="AG1" s="106"/>
    </row>
    <row r="2" spans="1:33" ht="15.75" thickTop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</row>
    <row r="3" spans="1:33" x14ac:dyDescent="0.25">
      <c r="A3" s="106"/>
      <c r="B3" s="106"/>
      <c r="C3" s="104" t="s">
        <v>289</v>
      </c>
      <c r="D3" s="104" t="s">
        <v>290</v>
      </c>
      <c r="E3" s="100"/>
      <c r="F3" s="100"/>
      <c r="G3" s="100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</row>
    <row r="4" spans="1:33" x14ac:dyDescent="0.25">
      <c r="A4" s="106"/>
      <c r="B4" s="106"/>
      <c r="C4" s="104" t="s">
        <v>291</v>
      </c>
      <c r="D4" s="104" t="s">
        <v>292</v>
      </c>
      <c r="E4" s="100"/>
      <c r="F4" s="100"/>
      <c r="G4" s="104" t="s">
        <v>293</v>
      </c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</row>
    <row r="5" spans="1:33" x14ac:dyDescent="0.25">
      <c r="A5" s="106"/>
      <c r="B5" s="106"/>
      <c r="C5" s="104" t="s">
        <v>294</v>
      </c>
      <c r="D5" s="104" t="s">
        <v>295</v>
      </c>
      <c r="E5" s="100"/>
      <c r="F5" s="100"/>
      <c r="G5" s="100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</row>
    <row r="6" spans="1:33" x14ac:dyDescent="0.25">
      <c r="A6" s="106"/>
      <c r="B6" s="106"/>
      <c r="C6" s="104" t="s">
        <v>296</v>
      </c>
      <c r="D6" s="100"/>
      <c r="E6" s="104" t="s">
        <v>297</v>
      </c>
      <c r="F6" s="100"/>
      <c r="G6" s="100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</row>
    <row r="7" spans="1:33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</row>
    <row r="8" spans="1:33" x14ac:dyDescent="0.25">
      <c r="A8" s="106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</row>
    <row r="9" spans="1:33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</row>
    <row r="10" spans="1:33" ht="15.75" x14ac:dyDescent="0.25">
      <c r="A10" s="107" t="s">
        <v>800</v>
      </c>
      <c r="B10" s="79" t="s">
        <v>801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9" t="s">
        <v>300</v>
      </c>
      <c r="AG10" s="108"/>
    </row>
    <row r="11" spans="1:33" x14ac:dyDescent="0.25">
      <c r="A11" s="106"/>
      <c r="B11" s="82" t="s">
        <v>699</v>
      </c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9" t="s">
        <v>301</v>
      </c>
      <c r="AG11" s="108"/>
    </row>
    <row r="12" spans="1:33" x14ac:dyDescent="0.25">
      <c r="A12" s="106"/>
      <c r="B12" s="82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09" t="s">
        <v>302</v>
      </c>
      <c r="AG12" s="108"/>
    </row>
    <row r="13" spans="1:33" ht="37.5" thickBot="1" x14ac:dyDescent="0.3">
      <c r="A13" s="106"/>
      <c r="B13" s="84" t="s">
        <v>700</v>
      </c>
      <c r="C13" s="84">
        <v>2022</v>
      </c>
      <c r="D13" s="84">
        <v>2023</v>
      </c>
      <c r="E13" s="84">
        <v>2024</v>
      </c>
      <c r="F13" s="84">
        <v>2025</v>
      </c>
      <c r="G13" s="84">
        <v>2026</v>
      </c>
      <c r="H13" s="84">
        <v>2027</v>
      </c>
      <c r="I13" s="84">
        <v>2028</v>
      </c>
      <c r="J13" s="84">
        <v>2029</v>
      </c>
      <c r="K13" s="84">
        <v>2030</v>
      </c>
      <c r="L13" s="84">
        <v>2031</v>
      </c>
      <c r="M13" s="84">
        <v>2032</v>
      </c>
      <c r="N13" s="84">
        <v>2033</v>
      </c>
      <c r="O13" s="84">
        <v>2034</v>
      </c>
      <c r="P13" s="84">
        <v>2035</v>
      </c>
      <c r="Q13" s="84">
        <v>2036</v>
      </c>
      <c r="R13" s="84">
        <v>2037</v>
      </c>
      <c r="S13" s="84">
        <v>2038</v>
      </c>
      <c r="T13" s="84">
        <v>2039</v>
      </c>
      <c r="U13" s="84">
        <v>2040</v>
      </c>
      <c r="V13" s="84">
        <v>2041</v>
      </c>
      <c r="W13" s="84">
        <v>2042</v>
      </c>
      <c r="X13" s="84">
        <v>2043</v>
      </c>
      <c r="Y13" s="84">
        <v>2044</v>
      </c>
      <c r="Z13" s="84">
        <v>2045</v>
      </c>
      <c r="AA13" s="84">
        <v>2046</v>
      </c>
      <c r="AB13" s="84">
        <v>2047</v>
      </c>
      <c r="AC13" s="84">
        <v>2048</v>
      </c>
      <c r="AD13" s="84">
        <v>2049</v>
      </c>
      <c r="AE13" s="84">
        <v>2050</v>
      </c>
      <c r="AF13" s="85">
        <v>2050</v>
      </c>
      <c r="AG13" s="108"/>
    </row>
    <row r="14" spans="1:33" ht="15.75" thickTop="1" x14ac:dyDescent="0.25">
      <c r="A14" s="106"/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</row>
    <row r="15" spans="1:33" ht="24.75" x14ac:dyDescent="0.25">
      <c r="A15" s="106"/>
      <c r="B15" s="86" t="s">
        <v>802</v>
      </c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</row>
    <row r="16" spans="1:33" ht="36.75" x14ac:dyDescent="0.25">
      <c r="A16" s="106"/>
      <c r="B16" s="86" t="s">
        <v>702</v>
      </c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</row>
    <row r="17" spans="1:33" ht="48.75" x14ac:dyDescent="0.25">
      <c r="A17" s="107" t="s">
        <v>803</v>
      </c>
      <c r="B17" s="87" t="s">
        <v>704</v>
      </c>
      <c r="C17" s="88">
        <v>5006.548828</v>
      </c>
      <c r="D17" s="88">
        <v>4623.4965819999998</v>
      </c>
      <c r="E17" s="88">
        <v>4322.0991210000002</v>
      </c>
      <c r="F17" s="88">
        <v>4050.3803710000002</v>
      </c>
      <c r="G17" s="88">
        <v>3798.4448240000002</v>
      </c>
      <c r="H17" s="88">
        <v>3573.9875489999999</v>
      </c>
      <c r="I17" s="88">
        <v>3375.2902829999998</v>
      </c>
      <c r="J17" s="88">
        <v>3201.9536130000001</v>
      </c>
      <c r="K17" s="88">
        <v>3049.9338379999999</v>
      </c>
      <c r="L17" s="88">
        <v>2915.8713379999999</v>
      </c>
      <c r="M17" s="88">
        <v>2799.1982419999999</v>
      </c>
      <c r="N17" s="88">
        <v>2695.3247070000002</v>
      </c>
      <c r="O17" s="88">
        <v>2605.9509280000002</v>
      </c>
      <c r="P17" s="88">
        <v>2531.272461</v>
      </c>
      <c r="Q17" s="88">
        <v>2471.8771969999998</v>
      </c>
      <c r="R17" s="88">
        <v>2420.798828</v>
      </c>
      <c r="S17" s="88">
        <v>2375.9213869999999</v>
      </c>
      <c r="T17" s="88">
        <v>2335.8723140000002</v>
      </c>
      <c r="U17" s="88">
        <v>2299.6142580000001</v>
      </c>
      <c r="V17" s="88">
        <v>2263.0639649999998</v>
      </c>
      <c r="W17" s="88">
        <v>2226.7246089999999</v>
      </c>
      <c r="X17" s="88">
        <v>2188.9047850000002</v>
      </c>
      <c r="Y17" s="88">
        <v>2153.0827640000002</v>
      </c>
      <c r="Z17" s="88">
        <v>2121.883057</v>
      </c>
      <c r="AA17" s="88">
        <v>2098.4035640000002</v>
      </c>
      <c r="AB17" s="88">
        <v>2073.5654300000001</v>
      </c>
      <c r="AC17" s="88">
        <v>2048.201172</v>
      </c>
      <c r="AD17" s="88">
        <v>2023.400879</v>
      </c>
      <c r="AE17" s="88">
        <v>2001.2680660000001</v>
      </c>
      <c r="AF17" s="89">
        <v>-3.2217999999999997E-2</v>
      </c>
      <c r="AG17" s="108"/>
    </row>
    <row r="18" spans="1:33" ht="24.75" x14ac:dyDescent="0.25">
      <c r="A18" s="107" t="s">
        <v>804</v>
      </c>
      <c r="B18" s="87" t="s">
        <v>706</v>
      </c>
      <c r="C18" s="88">
        <v>16.267254000000001</v>
      </c>
      <c r="D18" s="88">
        <v>14.041601</v>
      </c>
      <c r="E18" s="88">
        <v>12.078984</v>
      </c>
      <c r="F18" s="88">
        <v>10.340630000000001</v>
      </c>
      <c r="G18" s="88">
        <v>8.8101280000000006</v>
      </c>
      <c r="H18" s="88">
        <v>7.4528740000000004</v>
      </c>
      <c r="I18" s="88">
        <v>6.2475370000000003</v>
      </c>
      <c r="J18" s="88">
        <v>5.194445</v>
      </c>
      <c r="K18" s="88">
        <v>4.2915020000000004</v>
      </c>
      <c r="L18" s="88">
        <v>3.5278659999999999</v>
      </c>
      <c r="M18" s="88">
        <v>2.8928690000000001</v>
      </c>
      <c r="N18" s="88">
        <v>2.3767160000000001</v>
      </c>
      <c r="O18" s="88">
        <v>1.9656169999999999</v>
      </c>
      <c r="P18" s="88">
        <v>1.6437999999999999</v>
      </c>
      <c r="Q18" s="88">
        <v>1.3933960000000001</v>
      </c>
      <c r="R18" s="88">
        <v>1.1985239999999999</v>
      </c>
      <c r="S18" s="88">
        <v>1.0473939999999999</v>
      </c>
      <c r="T18" s="88">
        <v>0.92833699999999997</v>
      </c>
      <c r="U18" s="88">
        <v>0.82880399999999999</v>
      </c>
      <c r="V18" s="88">
        <v>0.74240799999999996</v>
      </c>
      <c r="W18" s="88">
        <v>0.66700499999999996</v>
      </c>
      <c r="X18" s="88">
        <v>0.60045899999999996</v>
      </c>
      <c r="Y18" s="88">
        <v>0.54111399999999998</v>
      </c>
      <c r="Z18" s="88">
        <v>0.48800300000000002</v>
      </c>
      <c r="AA18" s="88">
        <v>0.44044299999999997</v>
      </c>
      <c r="AB18" s="88">
        <v>0.39783000000000002</v>
      </c>
      <c r="AC18" s="88">
        <v>0.359624</v>
      </c>
      <c r="AD18" s="88">
        <v>0.32534800000000003</v>
      </c>
      <c r="AE18" s="88">
        <v>0.29457699999999998</v>
      </c>
      <c r="AF18" s="89">
        <v>-0.13347400000000001</v>
      </c>
      <c r="AG18" s="108"/>
    </row>
    <row r="19" spans="1:33" ht="36.75" x14ac:dyDescent="0.25">
      <c r="A19" s="107" t="s">
        <v>805</v>
      </c>
      <c r="B19" s="87" t="s">
        <v>708</v>
      </c>
      <c r="C19" s="88">
        <v>5022.8159180000002</v>
      </c>
      <c r="D19" s="88">
        <v>4637.5380859999996</v>
      </c>
      <c r="E19" s="88">
        <v>4334.1782229999999</v>
      </c>
      <c r="F19" s="88">
        <v>4060.7209469999998</v>
      </c>
      <c r="G19" s="88">
        <v>3807.2548830000001</v>
      </c>
      <c r="H19" s="88">
        <v>3581.4404300000001</v>
      </c>
      <c r="I19" s="88">
        <v>3381.5378420000002</v>
      </c>
      <c r="J19" s="88">
        <v>3207.1479490000002</v>
      </c>
      <c r="K19" s="88">
        <v>3054.2253420000002</v>
      </c>
      <c r="L19" s="88">
        <v>2919.3991700000001</v>
      </c>
      <c r="M19" s="88">
        <v>2802.0910640000002</v>
      </c>
      <c r="N19" s="88">
        <v>2697.7014159999999</v>
      </c>
      <c r="O19" s="88">
        <v>2607.9165039999998</v>
      </c>
      <c r="P19" s="88">
        <v>2532.91626</v>
      </c>
      <c r="Q19" s="88">
        <v>2473.2705080000001</v>
      </c>
      <c r="R19" s="88">
        <v>2421.9973140000002</v>
      </c>
      <c r="S19" s="88">
        <v>2376.96875</v>
      </c>
      <c r="T19" s="88">
        <v>2336.8005370000001</v>
      </c>
      <c r="U19" s="88">
        <v>2300.443115</v>
      </c>
      <c r="V19" s="88">
        <v>2263.8063959999999</v>
      </c>
      <c r="W19" s="88">
        <v>2227.3916020000001</v>
      </c>
      <c r="X19" s="88">
        <v>2189.5051269999999</v>
      </c>
      <c r="Y19" s="88">
        <v>2153.623779</v>
      </c>
      <c r="Z19" s="88">
        <v>2122.3710940000001</v>
      </c>
      <c r="AA19" s="88">
        <v>2098.8439939999998</v>
      </c>
      <c r="AB19" s="88">
        <v>2073.9633789999998</v>
      </c>
      <c r="AC19" s="88">
        <v>2048.5607909999999</v>
      </c>
      <c r="AD19" s="88">
        <v>2023.7261960000001</v>
      </c>
      <c r="AE19" s="88">
        <v>2001.5626219999999</v>
      </c>
      <c r="AF19" s="89">
        <v>-3.2325E-2</v>
      </c>
      <c r="AG19" s="108"/>
    </row>
    <row r="20" spans="1:33" x14ac:dyDescent="0.25">
      <c r="A20" s="106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</row>
    <row r="21" spans="1:33" ht="36.75" x14ac:dyDescent="0.25">
      <c r="A21" s="106"/>
      <c r="B21" s="86" t="s">
        <v>709</v>
      </c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</row>
    <row r="22" spans="1:33" ht="36.75" x14ac:dyDescent="0.25">
      <c r="A22" s="107" t="s">
        <v>806</v>
      </c>
      <c r="B22" s="87" t="s">
        <v>711</v>
      </c>
      <c r="C22" s="88">
        <v>260.40920999999997</v>
      </c>
      <c r="D22" s="88">
        <v>233.988113</v>
      </c>
      <c r="E22" s="88">
        <v>209.63816800000001</v>
      </c>
      <c r="F22" s="88">
        <v>186.641312</v>
      </c>
      <c r="G22" s="88">
        <v>165.97789</v>
      </c>
      <c r="H22" s="88">
        <v>147.821091</v>
      </c>
      <c r="I22" s="88">
        <v>132.07270800000001</v>
      </c>
      <c r="J22" s="88">
        <v>118.785217</v>
      </c>
      <c r="K22" s="88">
        <v>107.733772</v>
      </c>
      <c r="L22" s="88">
        <v>98.722213999999994</v>
      </c>
      <c r="M22" s="88">
        <v>91.63073</v>
      </c>
      <c r="N22" s="88">
        <v>86.220878999999996</v>
      </c>
      <c r="O22" s="88">
        <v>82.223006999999996</v>
      </c>
      <c r="P22" s="88">
        <v>79.438202000000004</v>
      </c>
      <c r="Q22" s="88">
        <v>77.735916000000003</v>
      </c>
      <c r="R22" s="88">
        <v>76.541740000000004</v>
      </c>
      <c r="S22" s="88">
        <v>75.666542000000007</v>
      </c>
      <c r="T22" s="88">
        <v>75.034683000000001</v>
      </c>
      <c r="U22" s="88">
        <v>74.555442999999997</v>
      </c>
      <c r="V22" s="88">
        <v>74.032272000000006</v>
      </c>
      <c r="W22" s="88">
        <v>73.489875999999995</v>
      </c>
      <c r="X22" s="88">
        <v>72.862831</v>
      </c>
      <c r="Y22" s="88">
        <v>72.320983999999996</v>
      </c>
      <c r="Z22" s="88">
        <v>71.990898000000001</v>
      </c>
      <c r="AA22" s="88">
        <v>72.008469000000005</v>
      </c>
      <c r="AB22" s="88">
        <v>71.941269000000005</v>
      </c>
      <c r="AC22" s="88">
        <v>71.822685000000007</v>
      </c>
      <c r="AD22" s="88">
        <v>71.715027000000006</v>
      </c>
      <c r="AE22" s="88">
        <v>71.534599</v>
      </c>
      <c r="AF22" s="89">
        <v>-4.5096999999999998E-2</v>
      </c>
      <c r="AG22" s="108"/>
    </row>
    <row r="23" spans="1:33" ht="36.75" x14ac:dyDescent="0.25">
      <c r="A23" s="107" t="s">
        <v>807</v>
      </c>
      <c r="B23" s="87" t="s">
        <v>713</v>
      </c>
      <c r="C23" s="88">
        <v>11.328023999999999</v>
      </c>
      <c r="D23" s="88">
        <v>11.751799</v>
      </c>
      <c r="E23" s="88">
        <v>12.242355999999999</v>
      </c>
      <c r="F23" s="88">
        <v>12.619923999999999</v>
      </c>
      <c r="G23" s="88">
        <v>12.897100999999999</v>
      </c>
      <c r="H23" s="88">
        <v>13.181957000000001</v>
      </c>
      <c r="I23" s="88">
        <v>13.471306999999999</v>
      </c>
      <c r="J23" s="88">
        <v>13.783559</v>
      </c>
      <c r="K23" s="88">
        <v>14.123207000000001</v>
      </c>
      <c r="L23" s="88">
        <v>14.488545999999999</v>
      </c>
      <c r="M23" s="88">
        <v>14.888897999999999</v>
      </c>
      <c r="N23" s="88">
        <v>15.317131</v>
      </c>
      <c r="O23" s="88">
        <v>15.792070000000001</v>
      </c>
      <c r="P23" s="88">
        <v>16.327549000000001</v>
      </c>
      <c r="Q23" s="88">
        <v>16.936695</v>
      </c>
      <c r="R23" s="88">
        <v>17.576630000000002</v>
      </c>
      <c r="S23" s="88">
        <v>18.235157000000001</v>
      </c>
      <c r="T23" s="88">
        <v>18.903063</v>
      </c>
      <c r="U23" s="88">
        <v>19.57601</v>
      </c>
      <c r="V23" s="88">
        <v>20.217279000000001</v>
      </c>
      <c r="W23" s="88">
        <v>20.833856999999998</v>
      </c>
      <c r="X23" s="88">
        <v>21.407917000000001</v>
      </c>
      <c r="Y23" s="88">
        <v>21.978210000000001</v>
      </c>
      <c r="Z23" s="88">
        <v>22.581918999999999</v>
      </c>
      <c r="AA23" s="88">
        <v>23.266811000000001</v>
      </c>
      <c r="AB23" s="88">
        <v>23.926888000000002</v>
      </c>
      <c r="AC23" s="88">
        <v>24.574036</v>
      </c>
      <c r="AD23" s="88">
        <v>25.223347</v>
      </c>
      <c r="AE23" s="88">
        <v>25.902096</v>
      </c>
      <c r="AF23" s="89">
        <v>2.9978000000000001E-2</v>
      </c>
      <c r="AG23" s="108"/>
    </row>
    <row r="24" spans="1:33" ht="36.75" x14ac:dyDescent="0.25">
      <c r="A24" s="107" t="s">
        <v>808</v>
      </c>
      <c r="B24" s="87" t="s">
        <v>715</v>
      </c>
      <c r="C24" s="88">
        <v>17.462101000000001</v>
      </c>
      <c r="D24" s="88">
        <v>18.744710999999999</v>
      </c>
      <c r="E24" s="88">
        <v>21.541321</v>
      </c>
      <c r="F24" s="88">
        <v>25.222059000000002</v>
      </c>
      <c r="G24" s="88">
        <v>29.118895999999999</v>
      </c>
      <c r="H24" s="88">
        <v>33.205460000000002</v>
      </c>
      <c r="I24" s="88">
        <v>37.426132000000003</v>
      </c>
      <c r="J24" s="88">
        <v>41.846263999999998</v>
      </c>
      <c r="K24" s="88">
        <v>46.466693999999997</v>
      </c>
      <c r="L24" s="88">
        <v>51.259414999999997</v>
      </c>
      <c r="M24" s="88">
        <v>56.274909999999998</v>
      </c>
      <c r="N24" s="88">
        <v>61.416988000000003</v>
      </c>
      <c r="O24" s="88">
        <v>66.797652999999997</v>
      </c>
      <c r="P24" s="88">
        <v>72.494193999999993</v>
      </c>
      <c r="Q24" s="88">
        <v>78.615684999999999</v>
      </c>
      <c r="R24" s="88">
        <v>84.929885999999996</v>
      </c>
      <c r="S24" s="88">
        <v>91.387435999999994</v>
      </c>
      <c r="T24" s="88">
        <v>97.968834000000001</v>
      </c>
      <c r="U24" s="88">
        <v>104.64284499999999</v>
      </c>
      <c r="V24" s="88">
        <v>111.18373099999999</v>
      </c>
      <c r="W24" s="88">
        <v>117.624878</v>
      </c>
      <c r="X24" s="88">
        <v>123.84116400000001</v>
      </c>
      <c r="Y24" s="88">
        <v>130.079071</v>
      </c>
      <c r="Z24" s="88">
        <v>136.56813</v>
      </c>
      <c r="AA24" s="88">
        <v>143.622345</v>
      </c>
      <c r="AB24" s="88">
        <v>150.508972</v>
      </c>
      <c r="AC24" s="88">
        <v>157.309113</v>
      </c>
      <c r="AD24" s="88">
        <v>164.12808200000001</v>
      </c>
      <c r="AE24" s="88">
        <v>171.15566999999999</v>
      </c>
      <c r="AF24" s="89">
        <v>8.4933999999999996E-2</v>
      </c>
      <c r="AG24" s="108"/>
    </row>
    <row r="25" spans="1:33" ht="36.75" x14ac:dyDescent="0.25">
      <c r="A25" s="107" t="s">
        <v>809</v>
      </c>
      <c r="B25" s="87" t="s">
        <v>717</v>
      </c>
      <c r="C25" s="88">
        <v>55.467815000000002</v>
      </c>
      <c r="D25" s="88">
        <v>63.862431000000001</v>
      </c>
      <c r="E25" s="88">
        <v>72.749718000000001</v>
      </c>
      <c r="F25" s="88">
        <v>81.883339000000007</v>
      </c>
      <c r="G25" s="88">
        <v>90.405708000000004</v>
      </c>
      <c r="H25" s="88">
        <v>98.471451000000002</v>
      </c>
      <c r="I25" s="88">
        <v>106.067009</v>
      </c>
      <c r="J25" s="88">
        <v>113.402885</v>
      </c>
      <c r="K25" s="88">
        <v>120.48434399999999</v>
      </c>
      <c r="L25" s="88">
        <v>127.294693</v>
      </c>
      <c r="M25" s="88">
        <v>133.98381000000001</v>
      </c>
      <c r="N25" s="88">
        <v>140.44589199999999</v>
      </c>
      <c r="O25" s="88">
        <v>146.910034</v>
      </c>
      <c r="P25" s="88">
        <v>153.54129</v>
      </c>
      <c r="Q25" s="88">
        <v>160.56230199999999</v>
      </c>
      <c r="R25" s="88">
        <v>167.61523399999999</v>
      </c>
      <c r="S25" s="88">
        <v>174.68606600000001</v>
      </c>
      <c r="T25" s="88">
        <v>181.77105700000001</v>
      </c>
      <c r="U25" s="88">
        <v>188.86759900000001</v>
      </c>
      <c r="V25" s="88">
        <v>195.655945</v>
      </c>
      <c r="W25" s="88">
        <v>202.22496000000001</v>
      </c>
      <c r="X25" s="88">
        <v>208.409515</v>
      </c>
      <c r="Y25" s="88">
        <v>214.599075</v>
      </c>
      <c r="Z25" s="88">
        <v>221.16119399999999</v>
      </c>
      <c r="AA25" s="88">
        <v>228.55313100000001</v>
      </c>
      <c r="AB25" s="88">
        <v>235.692307</v>
      </c>
      <c r="AC25" s="88">
        <v>242.69841</v>
      </c>
      <c r="AD25" s="88">
        <v>249.723175</v>
      </c>
      <c r="AE25" s="88">
        <v>257.04064899999997</v>
      </c>
      <c r="AF25" s="89">
        <v>5.6293000000000003E-2</v>
      </c>
      <c r="AG25" s="108"/>
    </row>
    <row r="26" spans="1:33" ht="48.75" x14ac:dyDescent="0.25">
      <c r="A26" s="107" t="s">
        <v>810</v>
      </c>
      <c r="B26" s="87" t="s">
        <v>719</v>
      </c>
      <c r="C26" s="88">
        <v>18.620896999999999</v>
      </c>
      <c r="D26" s="88">
        <v>18.742386</v>
      </c>
      <c r="E26" s="88">
        <v>19.225785999999999</v>
      </c>
      <c r="F26" s="88">
        <v>19.769812000000002</v>
      </c>
      <c r="G26" s="88">
        <v>20.255057999999998</v>
      </c>
      <c r="H26" s="88">
        <v>20.684639000000001</v>
      </c>
      <c r="I26" s="88">
        <v>21.07461</v>
      </c>
      <c r="J26" s="88">
        <v>21.458030999999998</v>
      </c>
      <c r="K26" s="88">
        <v>21.848562000000001</v>
      </c>
      <c r="L26" s="88">
        <v>22.249832000000001</v>
      </c>
      <c r="M26" s="88">
        <v>22.686924000000001</v>
      </c>
      <c r="N26" s="88">
        <v>23.151102000000002</v>
      </c>
      <c r="O26" s="88">
        <v>23.674931000000001</v>
      </c>
      <c r="P26" s="88">
        <v>24.288008000000001</v>
      </c>
      <c r="Q26" s="88">
        <v>25.015554000000002</v>
      </c>
      <c r="R26" s="88">
        <v>25.810991000000001</v>
      </c>
      <c r="S26" s="88">
        <v>26.663719</v>
      </c>
      <c r="T26" s="88">
        <v>27.561453</v>
      </c>
      <c r="U26" s="88">
        <v>28.491934000000001</v>
      </c>
      <c r="V26" s="88">
        <v>29.406262999999999</v>
      </c>
      <c r="W26" s="88">
        <v>30.308496000000002</v>
      </c>
      <c r="X26" s="88">
        <v>31.167662</v>
      </c>
      <c r="Y26" s="88">
        <v>32.028728000000001</v>
      </c>
      <c r="Z26" s="88">
        <v>32.935436000000003</v>
      </c>
      <c r="AA26" s="88">
        <v>33.948967000000003</v>
      </c>
      <c r="AB26" s="88">
        <v>34.930641000000001</v>
      </c>
      <c r="AC26" s="88">
        <v>35.897713000000003</v>
      </c>
      <c r="AD26" s="88">
        <v>36.868178999999998</v>
      </c>
      <c r="AE26" s="88">
        <v>37.873576999999997</v>
      </c>
      <c r="AF26" s="89">
        <v>2.5680000000000001E-2</v>
      </c>
      <c r="AG26" s="108"/>
    </row>
    <row r="27" spans="1:33" ht="48.75" x14ac:dyDescent="0.25">
      <c r="A27" s="107" t="s">
        <v>811</v>
      </c>
      <c r="B27" s="87" t="s">
        <v>721</v>
      </c>
      <c r="C27" s="88">
        <v>9.1898499999999999</v>
      </c>
      <c r="D27" s="88">
        <v>9.2321910000000003</v>
      </c>
      <c r="E27" s="88">
        <v>9.5130649999999992</v>
      </c>
      <c r="F27" s="88">
        <v>9.8905469999999998</v>
      </c>
      <c r="G27" s="88">
        <v>10.297814000000001</v>
      </c>
      <c r="H27" s="88">
        <v>10.742392000000001</v>
      </c>
      <c r="I27" s="88">
        <v>11.226654999999999</v>
      </c>
      <c r="J27" s="88">
        <v>11.782159</v>
      </c>
      <c r="K27" s="88">
        <v>12.412929999999999</v>
      </c>
      <c r="L27" s="88">
        <v>13.113447000000001</v>
      </c>
      <c r="M27" s="88">
        <v>13.8957</v>
      </c>
      <c r="N27" s="88">
        <v>14.741248000000001</v>
      </c>
      <c r="O27" s="88">
        <v>15.667826</v>
      </c>
      <c r="P27" s="88">
        <v>16.685068000000001</v>
      </c>
      <c r="Q27" s="88">
        <v>17.809175</v>
      </c>
      <c r="R27" s="88">
        <v>18.991947</v>
      </c>
      <c r="S27" s="88">
        <v>20.221149</v>
      </c>
      <c r="T27" s="88">
        <v>21.486172</v>
      </c>
      <c r="U27" s="88">
        <v>22.775742000000001</v>
      </c>
      <c r="V27" s="88">
        <v>24.045905999999999</v>
      </c>
      <c r="W27" s="88">
        <v>25.302800999999999</v>
      </c>
      <c r="X27" s="88">
        <v>26.519762</v>
      </c>
      <c r="Y27" s="88">
        <v>27.738803999999998</v>
      </c>
      <c r="Z27" s="88">
        <v>29.003209999999999</v>
      </c>
      <c r="AA27" s="88">
        <v>30.374689</v>
      </c>
      <c r="AB27" s="88">
        <v>31.715917999999999</v>
      </c>
      <c r="AC27" s="88">
        <v>33.043564000000003</v>
      </c>
      <c r="AD27" s="88">
        <v>34.375633000000001</v>
      </c>
      <c r="AE27" s="88">
        <v>35.743800999999998</v>
      </c>
      <c r="AF27" s="89">
        <v>4.9706E-2</v>
      </c>
      <c r="AG27" s="108"/>
    </row>
    <row r="28" spans="1:33" ht="36.75" x14ac:dyDescent="0.25">
      <c r="A28" s="107" t="s">
        <v>812</v>
      </c>
      <c r="B28" s="87" t="s">
        <v>723</v>
      </c>
      <c r="C28" s="88">
        <v>0</v>
      </c>
      <c r="D28" s="88">
        <v>0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  <c r="X28" s="88">
        <v>0</v>
      </c>
      <c r="Y28" s="88">
        <v>0</v>
      </c>
      <c r="Z28" s="88">
        <v>0</v>
      </c>
      <c r="AA28" s="88">
        <v>0</v>
      </c>
      <c r="AB28" s="88">
        <v>0</v>
      </c>
      <c r="AC28" s="88">
        <v>0</v>
      </c>
      <c r="AD28" s="88">
        <v>0</v>
      </c>
      <c r="AE28" s="88">
        <v>0</v>
      </c>
      <c r="AF28" s="89" t="s">
        <v>321</v>
      </c>
      <c r="AG28" s="108"/>
    </row>
    <row r="29" spans="1:33" ht="36.75" x14ac:dyDescent="0.25">
      <c r="A29" s="107" t="s">
        <v>813</v>
      </c>
      <c r="B29" s="87" t="s">
        <v>725</v>
      </c>
      <c r="C29" s="88">
        <v>223.61549400000001</v>
      </c>
      <c r="D29" s="88">
        <v>216.07962000000001</v>
      </c>
      <c r="E29" s="88">
        <v>210.169006</v>
      </c>
      <c r="F29" s="88">
        <v>203.94279499999999</v>
      </c>
      <c r="G29" s="88">
        <v>198.13800000000001</v>
      </c>
      <c r="H29" s="88">
        <v>193.12855500000001</v>
      </c>
      <c r="I29" s="88">
        <v>188.948227</v>
      </c>
      <c r="J29" s="88">
        <v>185.78183000000001</v>
      </c>
      <c r="K29" s="88">
        <v>183.58956900000001</v>
      </c>
      <c r="L29" s="88">
        <v>182.24688699999999</v>
      </c>
      <c r="M29" s="88">
        <v>181.81208799999999</v>
      </c>
      <c r="N29" s="88">
        <v>182.02372700000001</v>
      </c>
      <c r="O29" s="88">
        <v>183.034592</v>
      </c>
      <c r="P29" s="88">
        <v>184.915085</v>
      </c>
      <c r="Q29" s="88">
        <v>187.750809</v>
      </c>
      <c r="R29" s="88">
        <v>191.071381</v>
      </c>
      <c r="S29" s="88">
        <v>194.74928299999999</v>
      </c>
      <c r="T29" s="88">
        <v>198.695999</v>
      </c>
      <c r="U29" s="88">
        <v>202.83294699999999</v>
      </c>
      <c r="V29" s="88">
        <v>206.79274000000001</v>
      </c>
      <c r="W29" s="88">
        <v>210.62626599999999</v>
      </c>
      <c r="X29" s="88">
        <v>214.15209999999999</v>
      </c>
      <c r="Y29" s="88">
        <v>217.717209</v>
      </c>
      <c r="Z29" s="88">
        <v>221.63664199999999</v>
      </c>
      <c r="AA29" s="88">
        <v>226.31954999999999</v>
      </c>
      <c r="AB29" s="88">
        <v>230.77928199999999</v>
      </c>
      <c r="AC29" s="88">
        <v>235.12669399999999</v>
      </c>
      <c r="AD29" s="88">
        <v>239.49491900000001</v>
      </c>
      <c r="AE29" s="88">
        <v>244.11679100000001</v>
      </c>
      <c r="AF29" s="89">
        <v>3.1380000000000002E-3</v>
      </c>
      <c r="AG29" s="108"/>
    </row>
    <row r="30" spans="1:33" ht="24.75" x14ac:dyDescent="0.25">
      <c r="A30" s="107" t="s">
        <v>814</v>
      </c>
      <c r="B30" s="87" t="s">
        <v>727</v>
      </c>
      <c r="C30" s="88">
        <v>11.524046999999999</v>
      </c>
      <c r="D30" s="88">
        <v>10.680966</v>
      </c>
      <c r="E30" s="88">
        <v>9.7907329999999995</v>
      </c>
      <c r="F30" s="88">
        <v>8.885427</v>
      </c>
      <c r="G30" s="88">
        <v>7.9903449999999996</v>
      </c>
      <c r="H30" s="88">
        <v>7.1033359999999997</v>
      </c>
      <c r="I30" s="88">
        <v>6.2375930000000004</v>
      </c>
      <c r="J30" s="88">
        <v>5.4280480000000004</v>
      </c>
      <c r="K30" s="88">
        <v>4.7586219999999999</v>
      </c>
      <c r="L30" s="88">
        <v>4.1292390000000001</v>
      </c>
      <c r="M30" s="88">
        <v>3.577585</v>
      </c>
      <c r="N30" s="88">
        <v>3.1073620000000002</v>
      </c>
      <c r="O30" s="88">
        <v>2.7210860000000001</v>
      </c>
      <c r="P30" s="88">
        <v>2.3994659999999999</v>
      </c>
      <c r="Q30" s="88">
        <v>2.1384289999999999</v>
      </c>
      <c r="R30" s="88">
        <v>1.9661150000000001</v>
      </c>
      <c r="S30" s="88">
        <v>1.819323</v>
      </c>
      <c r="T30" s="88">
        <v>1.697581</v>
      </c>
      <c r="U30" s="88">
        <v>1.589439</v>
      </c>
      <c r="V30" s="88">
        <v>1.488186</v>
      </c>
      <c r="W30" s="88">
        <v>1.393384</v>
      </c>
      <c r="X30" s="88">
        <v>1.3046199999999999</v>
      </c>
      <c r="Y30" s="88">
        <v>1.221511</v>
      </c>
      <c r="Z30" s="88">
        <v>1.143696</v>
      </c>
      <c r="AA30" s="88">
        <v>1.0708390000000001</v>
      </c>
      <c r="AB30" s="88">
        <v>1.0026219999999999</v>
      </c>
      <c r="AC30" s="88">
        <v>0.93875200000000003</v>
      </c>
      <c r="AD30" s="88">
        <v>0.87895000000000001</v>
      </c>
      <c r="AE30" s="88">
        <v>0.82295799999999997</v>
      </c>
      <c r="AF30" s="89">
        <v>-8.9954000000000006E-2</v>
      </c>
      <c r="AG30" s="108"/>
    </row>
    <row r="31" spans="1:33" ht="36.75" x14ac:dyDescent="0.25">
      <c r="A31" s="107" t="s">
        <v>815</v>
      </c>
      <c r="B31" s="87" t="s">
        <v>729</v>
      </c>
      <c r="C31" s="88">
        <v>0.307861</v>
      </c>
      <c r="D31" s="88">
        <v>0.26491900000000002</v>
      </c>
      <c r="E31" s="88">
        <v>0.23980199999999999</v>
      </c>
      <c r="F31" s="88">
        <v>0.224525</v>
      </c>
      <c r="G31" s="88">
        <v>0.21022199999999999</v>
      </c>
      <c r="H31" s="88">
        <v>0.19683</v>
      </c>
      <c r="I31" s="88">
        <v>0.18429200000000001</v>
      </c>
      <c r="J31" s="88">
        <v>0.17255100000000001</v>
      </c>
      <c r="K31" s="88">
        <v>0.16155900000000001</v>
      </c>
      <c r="L31" s="88">
        <v>0.15126700000000001</v>
      </c>
      <c r="M31" s="88">
        <v>0.14163100000000001</v>
      </c>
      <c r="N31" s="88">
        <v>0.132609</v>
      </c>
      <c r="O31" s="88">
        <v>0.12416099999999999</v>
      </c>
      <c r="P31" s="88">
        <v>0.11625199999999999</v>
      </c>
      <c r="Q31" s="88">
        <v>0.108846</v>
      </c>
      <c r="R31" s="88">
        <v>0.101912</v>
      </c>
      <c r="S31" s="88">
        <v>9.5420000000000005E-2</v>
      </c>
      <c r="T31" s="88">
        <v>8.9341000000000004E-2</v>
      </c>
      <c r="U31" s="88">
        <v>8.3650000000000002E-2</v>
      </c>
      <c r="V31" s="88">
        <v>7.8321000000000002E-2</v>
      </c>
      <c r="W31" s="88">
        <v>7.3331999999999994E-2</v>
      </c>
      <c r="X31" s="88">
        <v>6.8659999999999999E-2</v>
      </c>
      <c r="Y31" s="88">
        <v>6.4285999999999996E-2</v>
      </c>
      <c r="Z31" s="88">
        <v>6.0191000000000001E-2</v>
      </c>
      <c r="AA31" s="88">
        <v>5.6356999999999997E-2</v>
      </c>
      <c r="AB31" s="88">
        <v>5.2767000000000001E-2</v>
      </c>
      <c r="AC31" s="88">
        <v>4.9404999999999998E-2</v>
      </c>
      <c r="AD31" s="88">
        <v>4.6258000000000001E-2</v>
      </c>
      <c r="AE31" s="88">
        <v>4.3311000000000002E-2</v>
      </c>
      <c r="AF31" s="89">
        <v>-6.7646999999999999E-2</v>
      </c>
      <c r="AG31" s="108"/>
    </row>
    <row r="32" spans="1:33" ht="24.75" x14ac:dyDescent="0.25">
      <c r="A32" s="107" t="s">
        <v>816</v>
      </c>
      <c r="B32" s="87" t="s">
        <v>731</v>
      </c>
      <c r="C32" s="88">
        <v>2.0879910000000002</v>
      </c>
      <c r="D32" s="88">
        <v>1.7846089999999999</v>
      </c>
      <c r="E32" s="88">
        <v>1.535312</v>
      </c>
      <c r="F32" s="88">
        <v>1.3333470000000001</v>
      </c>
      <c r="G32" s="88">
        <v>1.206512</v>
      </c>
      <c r="H32" s="88">
        <v>1.127065</v>
      </c>
      <c r="I32" s="88">
        <v>1.055267</v>
      </c>
      <c r="J32" s="88">
        <v>0.988043</v>
      </c>
      <c r="K32" s="88">
        <v>0.92510099999999995</v>
      </c>
      <c r="L32" s="88">
        <v>0.86616800000000005</v>
      </c>
      <c r="M32" s="88">
        <v>0.81099100000000002</v>
      </c>
      <c r="N32" s="88">
        <v>0.759328</v>
      </c>
      <c r="O32" s="88">
        <v>0.71095600000000003</v>
      </c>
      <c r="P32" s="88">
        <v>0.66566499999999995</v>
      </c>
      <c r="Q32" s="88">
        <v>0.62326000000000004</v>
      </c>
      <c r="R32" s="88">
        <v>0.58355599999999996</v>
      </c>
      <c r="S32" s="88">
        <v>0.54638100000000001</v>
      </c>
      <c r="T32" s="88">
        <v>0.511575</v>
      </c>
      <c r="U32" s="88">
        <v>0.47898600000000002</v>
      </c>
      <c r="V32" s="88">
        <v>0.44847300000000001</v>
      </c>
      <c r="W32" s="88">
        <v>0.41990300000000003</v>
      </c>
      <c r="X32" s="88">
        <v>0.393154</v>
      </c>
      <c r="Y32" s="88">
        <v>0.36810900000000002</v>
      </c>
      <c r="Z32" s="88">
        <v>0.34465899999999999</v>
      </c>
      <c r="AA32" s="88">
        <v>0.32270300000000002</v>
      </c>
      <c r="AB32" s="88">
        <v>0.302145</v>
      </c>
      <c r="AC32" s="88">
        <v>0.28289799999999998</v>
      </c>
      <c r="AD32" s="88">
        <v>0.264876</v>
      </c>
      <c r="AE32" s="88">
        <v>0.248003</v>
      </c>
      <c r="AF32" s="89">
        <v>-7.3266999999999999E-2</v>
      </c>
      <c r="AG32" s="108"/>
    </row>
    <row r="33" spans="1:33" ht="24.75" x14ac:dyDescent="0.25">
      <c r="A33" s="107" t="s">
        <v>817</v>
      </c>
      <c r="B33" s="87" t="s">
        <v>733</v>
      </c>
      <c r="C33" s="88">
        <v>4.0826789999999997</v>
      </c>
      <c r="D33" s="88">
        <v>3.4803980000000001</v>
      </c>
      <c r="E33" s="88">
        <v>2.9777900000000002</v>
      </c>
      <c r="F33" s="88">
        <v>2.5650409999999999</v>
      </c>
      <c r="G33" s="88">
        <v>2.2838059999999998</v>
      </c>
      <c r="H33" s="88">
        <v>2.1086070000000001</v>
      </c>
      <c r="I33" s="88">
        <v>1.959856</v>
      </c>
      <c r="J33" s="88">
        <v>1.8350059999999999</v>
      </c>
      <c r="K33" s="88">
        <v>1.7181090000000001</v>
      </c>
      <c r="L33" s="88">
        <v>1.60866</v>
      </c>
      <c r="M33" s="88">
        <v>1.5061819999999999</v>
      </c>
      <c r="N33" s="88">
        <v>1.4102330000000001</v>
      </c>
      <c r="O33" s="88">
        <v>1.3203959999999999</v>
      </c>
      <c r="P33" s="88">
        <v>1.2362820000000001</v>
      </c>
      <c r="Q33" s="88">
        <v>1.1575260000000001</v>
      </c>
      <c r="R33" s="88">
        <v>1.083788</v>
      </c>
      <c r="S33" s="88">
        <v>1.0147470000000001</v>
      </c>
      <c r="T33" s="88">
        <v>0.95010399999999995</v>
      </c>
      <c r="U33" s="88">
        <v>0.88957900000000001</v>
      </c>
      <c r="V33" s="88">
        <v>0.83290900000000001</v>
      </c>
      <c r="W33" s="88">
        <v>0.77985000000000004</v>
      </c>
      <c r="X33" s="88">
        <v>0.73017100000000001</v>
      </c>
      <c r="Y33" s="88">
        <v>0.68365600000000004</v>
      </c>
      <c r="Z33" s="88">
        <v>0.64010500000000004</v>
      </c>
      <c r="AA33" s="88">
        <v>0.59932799999999997</v>
      </c>
      <c r="AB33" s="88">
        <v>0.56114900000000001</v>
      </c>
      <c r="AC33" s="88">
        <v>0.52540100000000001</v>
      </c>
      <c r="AD33" s="88">
        <v>0.49193100000000001</v>
      </c>
      <c r="AE33" s="88">
        <v>0.460594</v>
      </c>
      <c r="AF33" s="89">
        <v>-7.4968999999999994E-2</v>
      </c>
      <c r="AG33" s="108"/>
    </row>
    <row r="34" spans="1:33" ht="24.75" x14ac:dyDescent="0.25">
      <c r="A34" s="107" t="s">
        <v>818</v>
      </c>
      <c r="B34" s="87" t="s">
        <v>735</v>
      </c>
      <c r="C34" s="88">
        <v>0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  <c r="X34" s="88">
        <v>0</v>
      </c>
      <c r="Y34" s="88">
        <v>0</v>
      </c>
      <c r="Z34" s="88">
        <v>0</v>
      </c>
      <c r="AA34" s="88">
        <v>0</v>
      </c>
      <c r="AB34" s="88">
        <v>0</v>
      </c>
      <c r="AC34" s="88">
        <v>0</v>
      </c>
      <c r="AD34" s="88">
        <v>0</v>
      </c>
      <c r="AE34" s="88">
        <v>0</v>
      </c>
      <c r="AF34" s="89" t="s">
        <v>321</v>
      </c>
      <c r="AG34" s="108"/>
    </row>
    <row r="35" spans="1:33" ht="24.75" x14ac:dyDescent="0.25">
      <c r="A35" s="107" t="s">
        <v>819</v>
      </c>
      <c r="B35" s="87" t="s">
        <v>737</v>
      </c>
      <c r="C35" s="88">
        <v>0.695658</v>
      </c>
      <c r="D35" s="88">
        <v>0.69352499999999995</v>
      </c>
      <c r="E35" s="88">
        <v>0.730931</v>
      </c>
      <c r="F35" s="88">
        <v>0.79698999999999998</v>
      </c>
      <c r="G35" s="88">
        <v>0.88553999999999999</v>
      </c>
      <c r="H35" s="88">
        <v>0.98939999999999995</v>
      </c>
      <c r="I35" s="88">
        <v>1.10531</v>
      </c>
      <c r="J35" s="88">
        <v>1.234237</v>
      </c>
      <c r="K35" s="88">
        <v>1.3744749999999999</v>
      </c>
      <c r="L35" s="88">
        <v>1.5244759999999999</v>
      </c>
      <c r="M35" s="88">
        <v>1.6852279999999999</v>
      </c>
      <c r="N35" s="88">
        <v>1.8541810000000001</v>
      </c>
      <c r="O35" s="88">
        <v>2.033293</v>
      </c>
      <c r="P35" s="88">
        <v>2.2237119999999999</v>
      </c>
      <c r="Q35" s="88">
        <v>2.4270939999999999</v>
      </c>
      <c r="R35" s="88">
        <v>2.6390389999999999</v>
      </c>
      <c r="S35" s="88">
        <v>2.8586079999999998</v>
      </c>
      <c r="T35" s="88">
        <v>3.0842800000000001</v>
      </c>
      <c r="U35" s="88">
        <v>3.3144110000000002</v>
      </c>
      <c r="V35" s="88">
        <v>3.5441980000000002</v>
      </c>
      <c r="W35" s="88">
        <v>3.773129</v>
      </c>
      <c r="X35" s="88">
        <v>3.9972880000000002</v>
      </c>
      <c r="Y35" s="88">
        <v>4.2207540000000003</v>
      </c>
      <c r="Z35" s="88">
        <v>4.4483009999999998</v>
      </c>
      <c r="AA35" s="88">
        <v>4.6884439999999996</v>
      </c>
      <c r="AB35" s="88">
        <v>4.9254730000000002</v>
      </c>
      <c r="AC35" s="88">
        <v>5.1619760000000001</v>
      </c>
      <c r="AD35" s="88">
        <v>5.3994140000000002</v>
      </c>
      <c r="AE35" s="88">
        <v>5.6399559999999997</v>
      </c>
      <c r="AF35" s="89">
        <v>7.7605999999999994E-2</v>
      </c>
      <c r="AG35" s="108"/>
    </row>
    <row r="36" spans="1:33" ht="36.75" x14ac:dyDescent="0.25">
      <c r="A36" s="107" t="s">
        <v>820</v>
      </c>
      <c r="B36" s="87" t="s">
        <v>739</v>
      </c>
      <c r="C36" s="88">
        <v>614.79174799999998</v>
      </c>
      <c r="D36" s="88">
        <v>589.30566399999998</v>
      </c>
      <c r="E36" s="88">
        <v>570.35400400000003</v>
      </c>
      <c r="F36" s="88">
        <v>553.77508499999999</v>
      </c>
      <c r="G36" s="88">
        <v>539.66693099999998</v>
      </c>
      <c r="H36" s="88">
        <v>528.76080300000001</v>
      </c>
      <c r="I36" s="88">
        <v>520.828979</v>
      </c>
      <c r="J36" s="88">
        <v>516.49780299999998</v>
      </c>
      <c r="K36" s="88">
        <v>515.59692399999994</v>
      </c>
      <c r="L36" s="88">
        <v>517.65484600000002</v>
      </c>
      <c r="M36" s="88">
        <v>522.89471400000002</v>
      </c>
      <c r="N36" s="88">
        <v>530.58074999999997</v>
      </c>
      <c r="O36" s="88">
        <v>541.01000999999997</v>
      </c>
      <c r="P36" s="88">
        <v>554.33074999999997</v>
      </c>
      <c r="Q36" s="88">
        <v>570.881348</v>
      </c>
      <c r="R36" s="88">
        <v>588.91223100000002</v>
      </c>
      <c r="S36" s="88">
        <v>607.94378700000004</v>
      </c>
      <c r="T36" s="88">
        <v>627.75414999999998</v>
      </c>
      <c r="U36" s="88">
        <v>648.09857199999999</v>
      </c>
      <c r="V36" s="88">
        <v>667.72619599999996</v>
      </c>
      <c r="W36" s="88">
        <v>686.85070800000005</v>
      </c>
      <c r="X36" s="88">
        <v>704.85485800000004</v>
      </c>
      <c r="Y36" s="88">
        <v>723.02038600000003</v>
      </c>
      <c r="Z36" s="88">
        <v>742.51434300000005</v>
      </c>
      <c r="AA36" s="88">
        <v>764.83160399999997</v>
      </c>
      <c r="AB36" s="88">
        <v>786.33947799999999</v>
      </c>
      <c r="AC36" s="88">
        <v>807.43066399999998</v>
      </c>
      <c r="AD36" s="88">
        <v>828.60986300000002</v>
      </c>
      <c r="AE36" s="88">
        <v>850.58196999999996</v>
      </c>
      <c r="AF36" s="89">
        <v>1.1662E-2</v>
      </c>
      <c r="AG36" s="108"/>
    </row>
    <row r="37" spans="1:33" x14ac:dyDescent="0.25">
      <c r="A37" s="106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</row>
    <row r="38" spans="1:33" ht="24.75" x14ac:dyDescent="0.25">
      <c r="A38" s="107" t="s">
        <v>821</v>
      </c>
      <c r="B38" s="87" t="s">
        <v>822</v>
      </c>
      <c r="C38" s="88">
        <v>5637.607422</v>
      </c>
      <c r="D38" s="88">
        <v>5226.84375</v>
      </c>
      <c r="E38" s="88">
        <v>4904.5322269999997</v>
      </c>
      <c r="F38" s="88">
        <v>4614.4960940000001</v>
      </c>
      <c r="G38" s="88">
        <v>4346.921875</v>
      </c>
      <c r="H38" s="88">
        <v>4110.201172</v>
      </c>
      <c r="I38" s="88">
        <v>3902.3666990000002</v>
      </c>
      <c r="J38" s="88">
        <v>3723.6457519999999</v>
      </c>
      <c r="K38" s="88">
        <v>3569.8222660000001</v>
      </c>
      <c r="L38" s="88">
        <v>3437.0539549999999</v>
      </c>
      <c r="M38" s="88">
        <v>3324.9858399999998</v>
      </c>
      <c r="N38" s="88">
        <v>3228.2822270000001</v>
      </c>
      <c r="O38" s="88">
        <v>3148.9265140000002</v>
      </c>
      <c r="P38" s="88">
        <v>3087.2470699999999</v>
      </c>
      <c r="Q38" s="88">
        <v>3044.1518550000001</v>
      </c>
      <c r="R38" s="88">
        <v>3010.9096679999998</v>
      </c>
      <c r="S38" s="88">
        <v>2984.9125979999999</v>
      </c>
      <c r="T38" s="88">
        <v>2964.5546880000002</v>
      </c>
      <c r="U38" s="88">
        <v>2948.5417480000001</v>
      </c>
      <c r="V38" s="88">
        <v>2931.5327149999998</v>
      </c>
      <c r="W38" s="88">
        <v>2914.2421880000002</v>
      </c>
      <c r="X38" s="88">
        <v>2894.3598630000001</v>
      </c>
      <c r="Y38" s="88">
        <v>2876.6440429999998</v>
      </c>
      <c r="Z38" s="88">
        <v>2864.8854980000001</v>
      </c>
      <c r="AA38" s="88">
        <v>2863.6755370000001</v>
      </c>
      <c r="AB38" s="88">
        <v>2860.3027339999999</v>
      </c>
      <c r="AC38" s="88">
        <v>2855.9914549999999</v>
      </c>
      <c r="AD38" s="88">
        <v>2852.3359380000002</v>
      </c>
      <c r="AE38" s="88">
        <v>2852.1445309999999</v>
      </c>
      <c r="AF38" s="89">
        <v>-2.4042000000000001E-2</v>
      </c>
      <c r="AG38" s="108"/>
    </row>
    <row r="39" spans="1:33" x14ac:dyDescent="0.25">
      <c r="A39" s="106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</row>
    <row r="40" spans="1:33" ht="24.75" x14ac:dyDescent="0.25">
      <c r="A40" s="106"/>
      <c r="B40" s="86" t="s">
        <v>823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</row>
    <row r="41" spans="1:33" ht="48.75" x14ac:dyDescent="0.25">
      <c r="A41" s="106"/>
      <c r="B41" s="86" t="s">
        <v>745</v>
      </c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</row>
    <row r="42" spans="1:33" ht="48.75" x14ac:dyDescent="0.25">
      <c r="A42" s="107" t="s">
        <v>824</v>
      </c>
      <c r="B42" s="87" t="s">
        <v>704</v>
      </c>
      <c r="C42" s="88">
        <v>7639.0830079999996</v>
      </c>
      <c r="D42" s="88">
        <v>7655.0961909999996</v>
      </c>
      <c r="E42" s="88">
        <v>7760.3139650000003</v>
      </c>
      <c r="F42" s="88">
        <v>7895.3627930000002</v>
      </c>
      <c r="G42" s="88">
        <v>8023.1142579999996</v>
      </c>
      <c r="H42" s="88">
        <v>8127.6328119999998</v>
      </c>
      <c r="I42" s="88">
        <v>8212.9814449999994</v>
      </c>
      <c r="J42" s="88">
        <v>8290.5888670000004</v>
      </c>
      <c r="K42" s="88">
        <v>8349.9736329999996</v>
      </c>
      <c r="L42" s="88">
        <v>8394.4511719999991</v>
      </c>
      <c r="M42" s="88">
        <v>8423.9824219999991</v>
      </c>
      <c r="N42" s="88">
        <v>8440.4257809999999</v>
      </c>
      <c r="O42" s="88">
        <v>8451.6865230000003</v>
      </c>
      <c r="P42" s="88">
        <v>8465.3476559999999</v>
      </c>
      <c r="Q42" s="88">
        <v>8480.6542969999991</v>
      </c>
      <c r="R42" s="88">
        <v>8497.1035159999992</v>
      </c>
      <c r="S42" s="88">
        <v>8516.1015619999998</v>
      </c>
      <c r="T42" s="88">
        <v>8536.0273440000001</v>
      </c>
      <c r="U42" s="88">
        <v>8559.6494139999995</v>
      </c>
      <c r="V42" s="88">
        <v>8580.203125</v>
      </c>
      <c r="W42" s="88">
        <v>8599.4804690000001</v>
      </c>
      <c r="X42" s="88">
        <v>8618.3642579999996</v>
      </c>
      <c r="Y42" s="88">
        <v>8635.5253909999992</v>
      </c>
      <c r="Z42" s="88">
        <v>8659.0556639999995</v>
      </c>
      <c r="AA42" s="88">
        <v>8680.4677730000003</v>
      </c>
      <c r="AB42" s="88">
        <v>8702.9228519999997</v>
      </c>
      <c r="AC42" s="88">
        <v>8720.7890619999998</v>
      </c>
      <c r="AD42" s="88">
        <v>8742.2802730000003</v>
      </c>
      <c r="AE42" s="88">
        <v>8768.0771480000003</v>
      </c>
      <c r="AF42" s="89">
        <v>4.9350000000000002E-3</v>
      </c>
      <c r="AG42" s="108"/>
    </row>
    <row r="43" spans="1:33" ht="24.75" x14ac:dyDescent="0.25">
      <c r="A43" s="107" t="s">
        <v>825</v>
      </c>
      <c r="B43" s="87" t="s">
        <v>706</v>
      </c>
      <c r="C43" s="88">
        <v>60.554519999999997</v>
      </c>
      <c r="D43" s="88">
        <v>54.813412</v>
      </c>
      <c r="E43" s="88">
        <v>48.998947000000001</v>
      </c>
      <c r="F43" s="88">
        <v>43.883667000000003</v>
      </c>
      <c r="G43" s="88">
        <v>39.715415999999998</v>
      </c>
      <c r="H43" s="88">
        <v>35.790714000000001</v>
      </c>
      <c r="I43" s="88">
        <v>32.023296000000002</v>
      </c>
      <c r="J43" s="88">
        <v>28.420086000000001</v>
      </c>
      <c r="K43" s="88">
        <v>24.994423000000001</v>
      </c>
      <c r="L43" s="88">
        <v>21.770368999999999</v>
      </c>
      <c r="M43" s="88">
        <v>18.758324000000002</v>
      </c>
      <c r="N43" s="88">
        <v>15.995414</v>
      </c>
      <c r="O43" s="88">
        <v>13.487584999999999</v>
      </c>
      <c r="P43" s="88">
        <v>11.270678999999999</v>
      </c>
      <c r="Q43" s="88">
        <v>9.3356399999999997</v>
      </c>
      <c r="R43" s="88">
        <v>7.6824560000000002</v>
      </c>
      <c r="S43" s="88">
        <v>6.3136010000000002</v>
      </c>
      <c r="T43" s="88">
        <v>5.1956619999999996</v>
      </c>
      <c r="U43" s="88">
        <v>4.3157319999999997</v>
      </c>
      <c r="V43" s="88">
        <v>3.6364559999999999</v>
      </c>
      <c r="W43" s="88">
        <v>3.103021</v>
      </c>
      <c r="X43" s="88">
        <v>2.68296</v>
      </c>
      <c r="Y43" s="88">
        <v>2.3479139999999998</v>
      </c>
      <c r="Z43" s="88">
        <v>2.093235</v>
      </c>
      <c r="AA43" s="88">
        <v>1.8931100000000001</v>
      </c>
      <c r="AB43" s="88">
        <v>1.714415</v>
      </c>
      <c r="AC43" s="88">
        <v>1.55453</v>
      </c>
      <c r="AD43" s="88">
        <v>1.411821</v>
      </c>
      <c r="AE43" s="88">
        <v>1.2844409999999999</v>
      </c>
      <c r="AF43" s="89">
        <v>-0.12856600000000001</v>
      </c>
      <c r="AG43" s="108"/>
    </row>
    <row r="44" spans="1:33" ht="48.75" x14ac:dyDescent="0.25">
      <c r="A44" s="107" t="s">
        <v>826</v>
      </c>
      <c r="B44" s="87" t="s">
        <v>749</v>
      </c>
      <c r="C44" s="88">
        <v>7699.6376950000003</v>
      </c>
      <c r="D44" s="88">
        <v>7709.9096680000002</v>
      </c>
      <c r="E44" s="88">
        <v>7809.3129879999997</v>
      </c>
      <c r="F44" s="88">
        <v>7939.2465819999998</v>
      </c>
      <c r="G44" s="88">
        <v>8062.8295900000003</v>
      </c>
      <c r="H44" s="88">
        <v>8163.4233400000003</v>
      </c>
      <c r="I44" s="88">
        <v>8245.0048829999996</v>
      </c>
      <c r="J44" s="88">
        <v>8319.0087889999995</v>
      </c>
      <c r="K44" s="88">
        <v>8374.9677730000003</v>
      </c>
      <c r="L44" s="88">
        <v>8416.2216800000006</v>
      </c>
      <c r="M44" s="88">
        <v>8442.7412110000005</v>
      </c>
      <c r="N44" s="88">
        <v>8456.4208980000003</v>
      </c>
      <c r="O44" s="88">
        <v>8465.1738280000009</v>
      </c>
      <c r="P44" s="88">
        <v>8476.6181639999995</v>
      </c>
      <c r="Q44" s="88">
        <v>8489.9902340000008</v>
      </c>
      <c r="R44" s="88">
        <v>8504.7861329999996</v>
      </c>
      <c r="S44" s="88">
        <v>8522.4150389999995</v>
      </c>
      <c r="T44" s="88">
        <v>8541.2226559999999</v>
      </c>
      <c r="U44" s="88">
        <v>8563.9648440000001</v>
      </c>
      <c r="V44" s="88">
        <v>8583.8398440000001</v>
      </c>
      <c r="W44" s="88">
        <v>8602.5830079999996</v>
      </c>
      <c r="X44" s="88">
        <v>8621.046875</v>
      </c>
      <c r="Y44" s="88">
        <v>8637.8730469999991</v>
      </c>
      <c r="Z44" s="88">
        <v>8661.1484380000002</v>
      </c>
      <c r="AA44" s="88">
        <v>8682.3613280000009</v>
      </c>
      <c r="AB44" s="88">
        <v>8704.6376949999994</v>
      </c>
      <c r="AC44" s="88">
        <v>8722.34375</v>
      </c>
      <c r="AD44" s="88">
        <v>8743.6923829999996</v>
      </c>
      <c r="AE44" s="88">
        <v>8769.3613280000009</v>
      </c>
      <c r="AF44" s="89">
        <v>4.6569999999999997E-3</v>
      </c>
      <c r="AG44" s="108"/>
    </row>
    <row r="45" spans="1:33" x14ac:dyDescent="0.25">
      <c r="A45" s="106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</row>
    <row r="46" spans="1:33" ht="48.75" x14ac:dyDescent="0.25">
      <c r="A46" s="106"/>
      <c r="B46" s="86" t="s">
        <v>750</v>
      </c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</row>
    <row r="47" spans="1:33" ht="36.75" x14ac:dyDescent="0.25">
      <c r="A47" s="107" t="s">
        <v>827</v>
      </c>
      <c r="B47" s="87" t="s">
        <v>711</v>
      </c>
      <c r="C47" s="88">
        <v>1218.5097659999999</v>
      </c>
      <c r="D47" s="88">
        <v>1120.8608400000001</v>
      </c>
      <c r="E47" s="88">
        <v>1037.922607</v>
      </c>
      <c r="F47" s="88">
        <v>953.25146500000005</v>
      </c>
      <c r="G47" s="88">
        <v>874.385132</v>
      </c>
      <c r="H47" s="88">
        <v>799.14770499999997</v>
      </c>
      <c r="I47" s="88">
        <v>728.95617700000003</v>
      </c>
      <c r="J47" s="88">
        <v>665.63317900000004</v>
      </c>
      <c r="K47" s="88">
        <v>608.78552200000001</v>
      </c>
      <c r="L47" s="88">
        <v>558.96545400000002</v>
      </c>
      <c r="M47" s="88">
        <v>515.91949499999998</v>
      </c>
      <c r="N47" s="88">
        <v>479.58041400000002</v>
      </c>
      <c r="O47" s="88">
        <v>449.99478099999999</v>
      </c>
      <c r="P47" s="88">
        <v>427.03121900000002</v>
      </c>
      <c r="Q47" s="88">
        <v>409.60955799999999</v>
      </c>
      <c r="R47" s="88">
        <v>396.73980699999998</v>
      </c>
      <c r="S47" s="88">
        <v>387.82333399999999</v>
      </c>
      <c r="T47" s="88">
        <v>381.65939300000002</v>
      </c>
      <c r="U47" s="88">
        <v>377.57605000000001</v>
      </c>
      <c r="V47" s="88">
        <v>374.55401599999999</v>
      </c>
      <c r="W47" s="88">
        <v>372.48345899999998</v>
      </c>
      <c r="X47" s="88">
        <v>371.24044800000001</v>
      </c>
      <c r="Y47" s="88">
        <v>370.602936</v>
      </c>
      <c r="Z47" s="88">
        <v>371.138733</v>
      </c>
      <c r="AA47" s="88">
        <v>371.85049400000003</v>
      </c>
      <c r="AB47" s="88">
        <v>372.85183699999999</v>
      </c>
      <c r="AC47" s="88">
        <v>373.50030500000003</v>
      </c>
      <c r="AD47" s="88">
        <v>374.77465799999999</v>
      </c>
      <c r="AE47" s="88">
        <v>376.67770400000001</v>
      </c>
      <c r="AF47" s="89">
        <v>-4.1062000000000001E-2</v>
      </c>
      <c r="AG47" s="108"/>
    </row>
    <row r="48" spans="1:33" ht="36.75" x14ac:dyDescent="0.25">
      <c r="A48" s="107" t="s">
        <v>828</v>
      </c>
      <c r="B48" s="87" t="s">
        <v>713</v>
      </c>
      <c r="C48" s="88">
        <v>0.40278399999999998</v>
      </c>
      <c r="D48" s="88">
        <v>0.42450199999999999</v>
      </c>
      <c r="E48" s="88">
        <v>0.45090000000000002</v>
      </c>
      <c r="F48" s="88">
        <v>0.47550700000000001</v>
      </c>
      <c r="G48" s="88">
        <v>0.49552499999999999</v>
      </c>
      <c r="H48" s="88">
        <v>0.51174399999999998</v>
      </c>
      <c r="I48" s="88">
        <v>0.52413100000000001</v>
      </c>
      <c r="J48" s="88">
        <v>0.53337500000000004</v>
      </c>
      <c r="K48" s="88">
        <v>0.53922700000000001</v>
      </c>
      <c r="L48" s="88">
        <v>0.542153</v>
      </c>
      <c r="M48" s="88">
        <v>0.54225900000000005</v>
      </c>
      <c r="N48" s="88">
        <v>0.53948099999999999</v>
      </c>
      <c r="O48" s="88">
        <v>0.53401699999999996</v>
      </c>
      <c r="P48" s="88">
        <v>0.52622400000000003</v>
      </c>
      <c r="Q48" s="88">
        <v>0.516212</v>
      </c>
      <c r="R48" s="88">
        <v>0.50370999999999999</v>
      </c>
      <c r="S48" s="88">
        <v>0.48858099999999999</v>
      </c>
      <c r="T48" s="88">
        <v>0.471082</v>
      </c>
      <c r="U48" s="88">
        <v>0.45154100000000003</v>
      </c>
      <c r="V48" s="88">
        <v>0.430114</v>
      </c>
      <c r="W48" s="88">
        <v>0.40718300000000002</v>
      </c>
      <c r="X48" s="88">
        <v>0.38306600000000002</v>
      </c>
      <c r="Y48" s="88">
        <v>0.35797499999999999</v>
      </c>
      <c r="Z48" s="88">
        <v>0.33221000000000001</v>
      </c>
      <c r="AA48" s="88">
        <v>0.30586600000000003</v>
      </c>
      <c r="AB48" s="88">
        <v>0.27916400000000002</v>
      </c>
      <c r="AC48" s="88">
        <v>0.25207499999999999</v>
      </c>
      <c r="AD48" s="88">
        <v>0.22464600000000001</v>
      </c>
      <c r="AE48" s="88">
        <v>0.196857</v>
      </c>
      <c r="AF48" s="89">
        <v>-2.5243999999999999E-2</v>
      </c>
      <c r="AG48" s="108"/>
    </row>
    <row r="49" spans="1:33" ht="36.75" x14ac:dyDescent="0.25">
      <c r="A49" s="107" t="s">
        <v>829</v>
      </c>
      <c r="B49" s="87" t="s">
        <v>715</v>
      </c>
      <c r="C49" s="88">
        <v>7.4126669999999999</v>
      </c>
      <c r="D49" s="88">
        <v>13.531482</v>
      </c>
      <c r="E49" s="88">
        <v>22.335041</v>
      </c>
      <c r="F49" s="88">
        <v>33.406112999999998</v>
      </c>
      <c r="G49" s="88">
        <v>46.353321000000001</v>
      </c>
      <c r="H49" s="88">
        <v>60.676521000000001</v>
      </c>
      <c r="I49" s="88">
        <v>76.242644999999996</v>
      </c>
      <c r="J49" s="88">
        <v>93.138985000000005</v>
      </c>
      <c r="K49" s="88">
        <v>110.994789</v>
      </c>
      <c r="L49" s="88">
        <v>129.774933</v>
      </c>
      <c r="M49" s="88">
        <v>149.34217799999999</v>
      </c>
      <c r="N49" s="88">
        <v>169.62480199999999</v>
      </c>
      <c r="O49" s="88">
        <v>190.79437300000001</v>
      </c>
      <c r="P49" s="88">
        <v>213.05165099999999</v>
      </c>
      <c r="Q49" s="88">
        <v>236.29544100000001</v>
      </c>
      <c r="R49" s="88">
        <v>260.44390900000002</v>
      </c>
      <c r="S49" s="88">
        <v>285.51135299999999</v>
      </c>
      <c r="T49" s="88">
        <v>311.33316000000002</v>
      </c>
      <c r="U49" s="88">
        <v>338.007385</v>
      </c>
      <c r="V49" s="88">
        <v>365.09576399999997</v>
      </c>
      <c r="W49" s="88">
        <v>392.64248700000002</v>
      </c>
      <c r="X49" s="88">
        <v>420.65603599999997</v>
      </c>
      <c r="Y49" s="88">
        <v>449.01431300000002</v>
      </c>
      <c r="Z49" s="88">
        <v>478.30361900000003</v>
      </c>
      <c r="AA49" s="88">
        <v>507.88632200000001</v>
      </c>
      <c r="AB49" s="88">
        <v>537.97442599999999</v>
      </c>
      <c r="AC49" s="88">
        <v>568.08892800000001</v>
      </c>
      <c r="AD49" s="88">
        <v>598.928223</v>
      </c>
      <c r="AE49" s="88">
        <v>630.58471699999996</v>
      </c>
      <c r="AF49" s="89">
        <v>0.17197999999999999</v>
      </c>
      <c r="AG49" s="108"/>
    </row>
    <row r="50" spans="1:33" ht="36.75" x14ac:dyDescent="0.25">
      <c r="A50" s="107" t="s">
        <v>830</v>
      </c>
      <c r="B50" s="87" t="s">
        <v>717</v>
      </c>
      <c r="C50" s="88">
        <v>4.682086</v>
      </c>
      <c r="D50" s="88">
        <v>6.2229380000000001</v>
      </c>
      <c r="E50" s="88">
        <v>8.1345430000000007</v>
      </c>
      <c r="F50" s="88">
        <v>10.340325</v>
      </c>
      <c r="G50" s="88">
        <v>12.714148</v>
      </c>
      <c r="H50" s="88">
        <v>15.219875</v>
      </c>
      <c r="I50" s="88">
        <v>17.849283</v>
      </c>
      <c r="J50" s="88">
        <v>20.622627000000001</v>
      </c>
      <c r="K50" s="88">
        <v>23.482182000000002</v>
      </c>
      <c r="L50" s="88">
        <v>26.428581000000001</v>
      </c>
      <c r="M50" s="88">
        <v>29.444866000000001</v>
      </c>
      <c r="N50" s="88">
        <v>32.522841999999997</v>
      </c>
      <c r="O50" s="88">
        <v>35.698284000000001</v>
      </c>
      <c r="P50" s="88">
        <v>39.007182999999998</v>
      </c>
      <c r="Q50" s="88">
        <v>42.437012000000003</v>
      </c>
      <c r="R50" s="88">
        <v>45.980494999999998</v>
      </c>
      <c r="S50" s="88">
        <v>49.641651000000003</v>
      </c>
      <c r="T50" s="88">
        <v>53.398612999999997</v>
      </c>
      <c r="U50" s="88">
        <v>57.268452000000003</v>
      </c>
      <c r="V50" s="88">
        <v>61.188079999999999</v>
      </c>
      <c r="W50" s="88">
        <v>65.168548999999999</v>
      </c>
      <c r="X50" s="88">
        <v>69.211051999999995</v>
      </c>
      <c r="Y50" s="88">
        <v>73.297386000000003</v>
      </c>
      <c r="Z50" s="88">
        <v>77.517409999999998</v>
      </c>
      <c r="AA50" s="88">
        <v>81.776482000000001</v>
      </c>
      <c r="AB50" s="88">
        <v>86.108940000000004</v>
      </c>
      <c r="AC50" s="88">
        <v>90.443427999999997</v>
      </c>
      <c r="AD50" s="88">
        <v>94.884017999999998</v>
      </c>
      <c r="AE50" s="88">
        <v>99.444466000000006</v>
      </c>
      <c r="AF50" s="89">
        <v>0.115316</v>
      </c>
      <c r="AG50" s="108"/>
    </row>
    <row r="51" spans="1:33" ht="48.75" x14ac:dyDescent="0.25">
      <c r="A51" s="107" t="s">
        <v>831</v>
      </c>
      <c r="B51" s="87" t="s">
        <v>719</v>
      </c>
      <c r="C51" s="88">
        <v>19.925865000000002</v>
      </c>
      <c r="D51" s="88">
        <v>21.544412999999999</v>
      </c>
      <c r="E51" s="88">
        <v>23.247982</v>
      </c>
      <c r="F51" s="88">
        <v>26.570222999999999</v>
      </c>
      <c r="G51" s="88">
        <v>29.872574</v>
      </c>
      <c r="H51" s="88">
        <v>33.027237</v>
      </c>
      <c r="I51" s="88">
        <v>36.027607000000003</v>
      </c>
      <c r="J51" s="88">
        <v>38.916355000000003</v>
      </c>
      <c r="K51" s="88">
        <v>41.642071000000001</v>
      </c>
      <c r="L51" s="88">
        <v>44.229751999999998</v>
      </c>
      <c r="M51" s="88">
        <v>46.675167000000002</v>
      </c>
      <c r="N51" s="88">
        <v>48.983440000000002</v>
      </c>
      <c r="O51" s="88">
        <v>51.200951000000003</v>
      </c>
      <c r="P51" s="88">
        <v>53.372917000000001</v>
      </c>
      <c r="Q51" s="88">
        <v>55.503917999999999</v>
      </c>
      <c r="R51" s="88">
        <v>57.604095000000001</v>
      </c>
      <c r="S51" s="88">
        <v>59.697902999999997</v>
      </c>
      <c r="T51" s="88">
        <v>61.780059999999999</v>
      </c>
      <c r="U51" s="88">
        <v>63.879299000000003</v>
      </c>
      <c r="V51" s="88">
        <v>65.963065999999998</v>
      </c>
      <c r="W51" s="88">
        <v>68.048286000000004</v>
      </c>
      <c r="X51" s="88">
        <v>70.142859999999999</v>
      </c>
      <c r="Y51" s="88">
        <v>72.239493999999993</v>
      </c>
      <c r="Z51" s="88">
        <v>74.405258000000003</v>
      </c>
      <c r="AA51" s="88">
        <v>76.580680999999998</v>
      </c>
      <c r="AB51" s="88">
        <v>78.79007</v>
      </c>
      <c r="AC51" s="88">
        <v>80.991341000000006</v>
      </c>
      <c r="AD51" s="88">
        <v>83.242904999999993</v>
      </c>
      <c r="AE51" s="88">
        <v>85.554489000000004</v>
      </c>
      <c r="AF51" s="89">
        <v>5.3418E-2</v>
      </c>
      <c r="AG51" s="108"/>
    </row>
    <row r="52" spans="1:33" ht="48.75" x14ac:dyDescent="0.25">
      <c r="A52" s="107" t="s">
        <v>832</v>
      </c>
      <c r="B52" s="87" t="s">
        <v>721</v>
      </c>
      <c r="C52" s="88">
        <v>1.216323</v>
      </c>
      <c r="D52" s="88">
        <v>1.8004869999999999</v>
      </c>
      <c r="E52" s="88">
        <v>2.6621299999999999</v>
      </c>
      <c r="F52" s="88">
        <v>3.8157960000000002</v>
      </c>
      <c r="G52" s="88">
        <v>5.2756109999999996</v>
      </c>
      <c r="H52" s="88">
        <v>6.9585080000000001</v>
      </c>
      <c r="I52" s="88">
        <v>8.8427710000000008</v>
      </c>
      <c r="J52" s="88">
        <v>10.92844</v>
      </c>
      <c r="K52" s="88">
        <v>13.17403</v>
      </c>
      <c r="L52" s="88">
        <v>15.571790999999999</v>
      </c>
      <c r="M52" s="88">
        <v>18.100981000000001</v>
      </c>
      <c r="N52" s="88">
        <v>20.747391</v>
      </c>
      <c r="O52" s="88">
        <v>23.521432999999998</v>
      </c>
      <c r="P52" s="88">
        <v>26.438811999999999</v>
      </c>
      <c r="Q52" s="88">
        <v>29.488754</v>
      </c>
      <c r="R52" s="88">
        <v>32.663853000000003</v>
      </c>
      <c r="S52" s="88">
        <v>35.966309000000003</v>
      </c>
      <c r="T52" s="88">
        <v>39.377879999999998</v>
      </c>
      <c r="U52" s="88">
        <v>42.906146999999997</v>
      </c>
      <c r="V52" s="88">
        <v>46.508395999999998</v>
      </c>
      <c r="W52" s="88">
        <v>50.184578000000002</v>
      </c>
      <c r="X52" s="88">
        <v>53.931499000000002</v>
      </c>
      <c r="Y52" s="88">
        <v>57.733252999999998</v>
      </c>
      <c r="Z52" s="88">
        <v>61.644629999999999</v>
      </c>
      <c r="AA52" s="88">
        <v>65.605125000000001</v>
      </c>
      <c r="AB52" s="88">
        <v>69.635688999999999</v>
      </c>
      <c r="AC52" s="88">
        <v>73.692322000000004</v>
      </c>
      <c r="AD52" s="88">
        <v>77.833954000000006</v>
      </c>
      <c r="AE52" s="88">
        <v>82.071624999999997</v>
      </c>
      <c r="AF52" s="89">
        <v>0.16232199999999999</v>
      </c>
      <c r="AG52" s="108"/>
    </row>
    <row r="53" spans="1:33" ht="36.75" x14ac:dyDescent="0.25">
      <c r="A53" s="107" t="s">
        <v>833</v>
      </c>
      <c r="B53" s="87" t="s">
        <v>723</v>
      </c>
      <c r="C53" s="88">
        <v>0</v>
      </c>
      <c r="D53" s="88">
        <v>0</v>
      </c>
      <c r="E53" s="88">
        <v>0</v>
      </c>
      <c r="F53" s="88">
        <v>0</v>
      </c>
      <c r="G53" s="88">
        <v>0</v>
      </c>
      <c r="H53" s="88">
        <v>0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  <c r="Q53" s="88">
        <v>0</v>
      </c>
      <c r="R53" s="88">
        <v>0</v>
      </c>
      <c r="S53" s="88">
        <v>0</v>
      </c>
      <c r="T53" s="88">
        <v>0</v>
      </c>
      <c r="U53" s="88">
        <v>0</v>
      </c>
      <c r="V53" s="88">
        <v>0</v>
      </c>
      <c r="W53" s="88">
        <v>0</v>
      </c>
      <c r="X53" s="88">
        <v>0</v>
      </c>
      <c r="Y53" s="88">
        <v>0</v>
      </c>
      <c r="Z53" s="88">
        <v>0</v>
      </c>
      <c r="AA53" s="88">
        <v>0</v>
      </c>
      <c r="AB53" s="88">
        <v>0</v>
      </c>
      <c r="AC53" s="88">
        <v>0</v>
      </c>
      <c r="AD53" s="88">
        <v>0</v>
      </c>
      <c r="AE53" s="88">
        <v>0</v>
      </c>
      <c r="AF53" s="89" t="s">
        <v>321</v>
      </c>
      <c r="AG53" s="108"/>
    </row>
    <row r="54" spans="1:33" ht="36.75" x14ac:dyDescent="0.25">
      <c r="A54" s="107" t="s">
        <v>834</v>
      </c>
      <c r="B54" s="87" t="s">
        <v>725</v>
      </c>
      <c r="C54" s="88">
        <v>135.86802700000001</v>
      </c>
      <c r="D54" s="88">
        <v>160.33596800000001</v>
      </c>
      <c r="E54" s="88">
        <v>184.473557</v>
      </c>
      <c r="F54" s="88">
        <v>209.81907699999999</v>
      </c>
      <c r="G54" s="88">
        <v>234.51753199999999</v>
      </c>
      <c r="H54" s="88">
        <v>257.46469100000002</v>
      </c>
      <c r="I54" s="88">
        <v>278.54953</v>
      </c>
      <c r="J54" s="88">
        <v>298.11563100000001</v>
      </c>
      <c r="K54" s="88">
        <v>315.834991</v>
      </c>
      <c r="L54" s="88">
        <v>331.873718</v>
      </c>
      <c r="M54" s="88">
        <v>346.20721400000002</v>
      </c>
      <c r="N54" s="88">
        <v>358.901276</v>
      </c>
      <c r="O54" s="88">
        <v>370.31750499999998</v>
      </c>
      <c r="P54" s="88">
        <v>380.79077100000001</v>
      </c>
      <c r="Q54" s="88">
        <v>390.40115400000002</v>
      </c>
      <c r="R54" s="88">
        <v>399.24508700000001</v>
      </c>
      <c r="S54" s="88">
        <v>407.54202299999997</v>
      </c>
      <c r="T54" s="88">
        <v>415.30740400000002</v>
      </c>
      <c r="U54" s="88">
        <v>422.79144300000002</v>
      </c>
      <c r="V54" s="88">
        <v>429.82556199999999</v>
      </c>
      <c r="W54" s="88">
        <v>436.565155</v>
      </c>
      <c r="X54" s="88">
        <v>443.109467</v>
      </c>
      <c r="Y54" s="88">
        <v>449.46087599999998</v>
      </c>
      <c r="Z54" s="88">
        <v>456.09204099999999</v>
      </c>
      <c r="AA54" s="88">
        <v>462.64462300000002</v>
      </c>
      <c r="AB54" s="88">
        <v>469.25631700000002</v>
      </c>
      <c r="AC54" s="88">
        <v>475.66360500000002</v>
      </c>
      <c r="AD54" s="88">
        <v>482.26095600000002</v>
      </c>
      <c r="AE54" s="88">
        <v>489.10043300000001</v>
      </c>
      <c r="AF54" s="89">
        <v>4.6808000000000002E-2</v>
      </c>
      <c r="AG54" s="108"/>
    </row>
    <row r="55" spans="1:33" ht="24.75" x14ac:dyDescent="0.25">
      <c r="A55" s="107" t="s">
        <v>835</v>
      </c>
      <c r="B55" s="87" t="s">
        <v>727</v>
      </c>
      <c r="C55" s="88">
        <v>2.8394689999999998</v>
      </c>
      <c r="D55" s="88">
        <v>2.6402389999999998</v>
      </c>
      <c r="E55" s="88">
        <v>2.4714209999999999</v>
      </c>
      <c r="F55" s="88">
        <v>2.307671</v>
      </c>
      <c r="G55" s="88">
        <v>2.1489020000000001</v>
      </c>
      <c r="H55" s="88">
        <v>1.9944459999999999</v>
      </c>
      <c r="I55" s="88">
        <v>1.8519239999999999</v>
      </c>
      <c r="J55" s="88">
        <v>1.735058</v>
      </c>
      <c r="K55" s="88">
        <v>1.626692</v>
      </c>
      <c r="L55" s="88">
        <v>1.521126</v>
      </c>
      <c r="M55" s="88">
        <v>1.4203939999999999</v>
      </c>
      <c r="N55" s="88">
        <v>1.3247119999999999</v>
      </c>
      <c r="O55" s="88">
        <v>1.23502</v>
      </c>
      <c r="P55" s="88">
        <v>1.1505069999999999</v>
      </c>
      <c r="Q55" s="88">
        <v>1.0719479999999999</v>
      </c>
      <c r="R55" s="88">
        <v>1.010057</v>
      </c>
      <c r="S55" s="88">
        <v>0.95058600000000004</v>
      </c>
      <c r="T55" s="88">
        <v>0.89879100000000001</v>
      </c>
      <c r="U55" s="88">
        <v>0.84982899999999995</v>
      </c>
      <c r="V55" s="88">
        <v>0.80354300000000001</v>
      </c>
      <c r="W55" s="88">
        <v>0.75978599999999996</v>
      </c>
      <c r="X55" s="88">
        <v>0.71842099999999998</v>
      </c>
      <c r="Y55" s="88">
        <v>0.679315</v>
      </c>
      <c r="Z55" s="88">
        <v>0.64234599999999997</v>
      </c>
      <c r="AA55" s="88">
        <v>0.60739500000000002</v>
      </c>
      <c r="AB55" s="88">
        <v>0.57435199999999997</v>
      </c>
      <c r="AC55" s="88">
        <v>0.54311299999999996</v>
      </c>
      <c r="AD55" s="88">
        <v>0.51357900000000001</v>
      </c>
      <c r="AE55" s="88">
        <v>0.48565700000000001</v>
      </c>
      <c r="AF55" s="89">
        <v>-6.1119E-2</v>
      </c>
      <c r="AG55" s="108"/>
    </row>
    <row r="56" spans="1:33" ht="36.75" x14ac:dyDescent="0.25">
      <c r="A56" s="107" t="s">
        <v>836</v>
      </c>
      <c r="B56" s="87" t="s">
        <v>729</v>
      </c>
      <c r="C56" s="88">
        <v>2.1852510000000001</v>
      </c>
      <c r="D56" s="88">
        <v>2.0150779999999999</v>
      </c>
      <c r="E56" s="88">
        <v>1.9048449999999999</v>
      </c>
      <c r="F56" s="88">
        <v>1.8006629999999999</v>
      </c>
      <c r="G56" s="88">
        <v>1.702199</v>
      </c>
      <c r="H56" s="88">
        <v>1.609138</v>
      </c>
      <c r="I56" s="88">
        <v>1.521183</v>
      </c>
      <c r="J56" s="88">
        <v>1.4380520000000001</v>
      </c>
      <c r="K56" s="88">
        <v>1.35948</v>
      </c>
      <c r="L56" s="88">
        <v>1.2852170000000001</v>
      </c>
      <c r="M56" s="88">
        <v>1.2150240000000001</v>
      </c>
      <c r="N56" s="88">
        <v>1.1486780000000001</v>
      </c>
      <c r="O56" s="88">
        <v>1.085968</v>
      </c>
      <c r="P56" s="88">
        <v>1.0266930000000001</v>
      </c>
      <c r="Q56" s="88">
        <v>0.970665</v>
      </c>
      <c r="R56" s="88">
        <v>0.91770499999999999</v>
      </c>
      <c r="S56" s="88">
        <v>0.867645</v>
      </c>
      <c r="T56" s="88">
        <v>0.82032499999999997</v>
      </c>
      <c r="U56" s="88">
        <v>0.77559500000000003</v>
      </c>
      <c r="V56" s="88">
        <v>0.73331199999999996</v>
      </c>
      <c r="W56" s="88">
        <v>0.69334200000000001</v>
      </c>
      <c r="X56" s="88">
        <v>0.655559</v>
      </c>
      <c r="Y56" s="88">
        <v>0.619842</v>
      </c>
      <c r="Z56" s="88">
        <v>0.58607699999999996</v>
      </c>
      <c r="AA56" s="88">
        <v>0.55415800000000004</v>
      </c>
      <c r="AB56" s="88">
        <v>0.52398299999999998</v>
      </c>
      <c r="AC56" s="88">
        <v>0.49545699999999998</v>
      </c>
      <c r="AD56" s="88">
        <v>0.46848899999999999</v>
      </c>
      <c r="AE56" s="88">
        <v>0.44299500000000003</v>
      </c>
      <c r="AF56" s="89">
        <v>-5.5404000000000002E-2</v>
      </c>
      <c r="AG56" s="108"/>
    </row>
    <row r="57" spans="1:33" ht="24.75" x14ac:dyDescent="0.25">
      <c r="A57" s="107" t="s">
        <v>837</v>
      </c>
      <c r="B57" s="87" t="s">
        <v>731</v>
      </c>
      <c r="C57" s="88">
        <v>5.7546530000000002</v>
      </c>
      <c r="D57" s="88">
        <v>5.1709949999999996</v>
      </c>
      <c r="E57" s="88">
        <v>4.6336570000000004</v>
      </c>
      <c r="F57" s="88">
        <v>4.2048030000000001</v>
      </c>
      <c r="G57" s="88">
        <v>3.890476</v>
      </c>
      <c r="H57" s="88">
        <v>3.6618270000000002</v>
      </c>
      <c r="I57" s="88">
        <v>3.461627</v>
      </c>
      <c r="J57" s="88">
        <v>3.272411</v>
      </c>
      <c r="K57" s="88">
        <v>3.0935739999999998</v>
      </c>
      <c r="L57" s="88">
        <v>2.924544</v>
      </c>
      <c r="M57" s="88">
        <v>2.764783</v>
      </c>
      <c r="N57" s="88">
        <v>2.6137800000000002</v>
      </c>
      <c r="O57" s="88">
        <v>2.4710519999999998</v>
      </c>
      <c r="P57" s="88">
        <v>2.3361459999999998</v>
      </c>
      <c r="Q57" s="88">
        <v>2.208631</v>
      </c>
      <c r="R57" s="88">
        <v>2.0880999999999998</v>
      </c>
      <c r="S57" s="88">
        <v>1.97417</v>
      </c>
      <c r="T57" s="88">
        <v>1.8664780000000001</v>
      </c>
      <c r="U57" s="88">
        <v>1.7646809999999999</v>
      </c>
      <c r="V57" s="88">
        <v>1.668455</v>
      </c>
      <c r="W57" s="88">
        <v>1.577494</v>
      </c>
      <c r="X57" s="88">
        <v>1.4915099999999999</v>
      </c>
      <c r="Y57" s="88">
        <v>1.410229</v>
      </c>
      <c r="Z57" s="88">
        <v>1.3333919999999999</v>
      </c>
      <c r="AA57" s="88">
        <v>1.2607569999999999</v>
      </c>
      <c r="AB57" s="88">
        <v>1.192091</v>
      </c>
      <c r="AC57" s="88">
        <v>1.1271789999999999</v>
      </c>
      <c r="AD57" s="88">
        <v>1.0658129999999999</v>
      </c>
      <c r="AE57" s="88">
        <v>1.0078</v>
      </c>
      <c r="AF57" s="89">
        <v>-6.0326999999999999E-2</v>
      </c>
      <c r="AG57" s="108"/>
    </row>
    <row r="58" spans="1:33" ht="24.75" x14ac:dyDescent="0.25">
      <c r="A58" s="107" t="s">
        <v>838</v>
      </c>
      <c r="B58" s="87" t="s">
        <v>733</v>
      </c>
      <c r="C58" s="88">
        <v>5.1262449999999999</v>
      </c>
      <c r="D58" s="88">
        <v>4.7267590000000004</v>
      </c>
      <c r="E58" s="88">
        <v>4.4681829999999998</v>
      </c>
      <c r="F58" s="88">
        <v>4.2238020000000001</v>
      </c>
      <c r="G58" s="88">
        <v>3.9928349999999999</v>
      </c>
      <c r="H58" s="88">
        <v>3.7745419999999998</v>
      </c>
      <c r="I58" s="88">
        <v>3.568225</v>
      </c>
      <c r="J58" s="88">
        <v>3.373224</v>
      </c>
      <c r="K58" s="88">
        <v>3.1889189999999998</v>
      </c>
      <c r="L58" s="88">
        <v>3.0147189999999999</v>
      </c>
      <c r="M58" s="88">
        <v>2.8500670000000001</v>
      </c>
      <c r="N58" s="88">
        <v>2.6944400000000002</v>
      </c>
      <c r="O58" s="88">
        <v>2.5473409999999999</v>
      </c>
      <c r="P58" s="88">
        <v>2.4083000000000001</v>
      </c>
      <c r="Q58" s="88">
        <v>2.276875</v>
      </c>
      <c r="R58" s="88">
        <v>2.152647</v>
      </c>
      <c r="S58" s="88">
        <v>2.0352209999999999</v>
      </c>
      <c r="T58" s="88">
        <v>1.924223</v>
      </c>
      <c r="U58" s="88">
        <v>1.819299</v>
      </c>
      <c r="V58" s="88">
        <v>1.7201169999999999</v>
      </c>
      <c r="W58" s="88">
        <v>1.62636</v>
      </c>
      <c r="X58" s="88">
        <v>1.5377320000000001</v>
      </c>
      <c r="Y58" s="88">
        <v>1.4539500000000001</v>
      </c>
      <c r="Z58" s="88">
        <v>1.3747480000000001</v>
      </c>
      <c r="AA58" s="88">
        <v>1.299876</v>
      </c>
      <c r="AB58" s="88">
        <v>1.229095</v>
      </c>
      <c r="AC58" s="88">
        <v>1.162182</v>
      </c>
      <c r="AD58" s="88">
        <v>1.0989249999999999</v>
      </c>
      <c r="AE58" s="88">
        <v>1.0391220000000001</v>
      </c>
      <c r="AF58" s="89">
        <v>-5.5405999999999997E-2</v>
      </c>
      <c r="AG58" s="108"/>
    </row>
    <row r="59" spans="1:33" ht="24.75" x14ac:dyDescent="0.25">
      <c r="A59" s="107" t="s">
        <v>839</v>
      </c>
      <c r="B59" s="87" t="s">
        <v>735</v>
      </c>
      <c r="C59" s="88">
        <v>0</v>
      </c>
      <c r="D59" s="88">
        <v>0</v>
      </c>
      <c r="E59" s="88">
        <v>0</v>
      </c>
      <c r="F59" s="88">
        <v>0</v>
      </c>
      <c r="G59" s="88">
        <v>0</v>
      </c>
      <c r="H59" s="88">
        <v>0</v>
      </c>
      <c r="I59" s="88">
        <v>0</v>
      </c>
      <c r="J59" s="88">
        <v>0</v>
      </c>
      <c r="K59" s="88">
        <v>0</v>
      </c>
      <c r="L59" s="88">
        <v>0</v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88">
        <v>0</v>
      </c>
      <c r="V59" s="88">
        <v>0</v>
      </c>
      <c r="W59" s="88">
        <v>0</v>
      </c>
      <c r="X59" s="88">
        <v>0</v>
      </c>
      <c r="Y59" s="88">
        <v>0</v>
      </c>
      <c r="Z59" s="88">
        <v>0</v>
      </c>
      <c r="AA59" s="88">
        <v>0</v>
      </c>
      <c r="AB59" s="88">
        <v>0</v>
      </c>
      <c r="AC59" s="88">
        <v>0</v>
      </c>
      <c r="AD59" s="88">
        <v>0</v>
      </c>
      <c r="AE59" s="88">
        <v>0</v>
      </c>
      <c r="AF59" s="89" t="s">
        <v>321</v>
      </c>
      <c r="AG59" s="108"/>
    </row>
    <row r="60" spans="1:33" ht="24.75" x14ac:dyDescent="0.25">
      <c r="A60" s="107" t="s">
        <v>840</v>
      </c>
      <c r="B60" s="87" t="s">
        <v>737</v>
      </c>
      <c r="C60" s="88">
        <v>2.0339999999999998E-3</v>
      </c>
      <c r="D60" s="88">
        <v>6.2049999999999996E-3</v>
      </c>
      <c r="E60" s="88">
        <v>1.2722000000000001E-2</v>
      </c>
      <c r="F60" s="88">
        <v>2.1700000000000001E-2</v>
      </c>
      <c r="G60" s="88">
        <v>3.3008999999999997E-2</v>
      </c>
      <c r="H60" s="88">
        <v>4.6428999999999998E-2</v>
      </c>
      <c r="I60" s="88">
        <v>6.1843000000000002E-2</v>
      </c>
      <c r="J60" s="88">
        <v>7.9235E-2</v>
      </c>
      <c r="K60" s="88">
        <v>9.8308999999999994E-2</v>
      </c>
      <c r="L60" s="88">
        <v>0.118946</v>
      </c>
      <c r="M60" s="88">
        <v>0.140962</v>
      </c>
      <c r="N60" s="88">
        <v>0.164185</v>
      </c>
      <c r="O60" s="88">
        <v>0.188612</v>
      </c>
      <c r="P60" s="88">
        <v>0.214285</v>
      </c>
      <c r="Q60" s="88">
        <v>0.241124</v>
      </c>
      <c r="R60" s="88">
        <v>0.26907399999999998</v>
      </c>
      <c r="S60" s="88">
        <v>0.298147</v>
      </c>
      <c r="T60" s="88">
        <v>0.328241</v>
      </c>
      <c r="U60" s="88">
        <v>0.359404</v>
      </c>
      <c r="V60" s="88">
        <v>0.39135799999999998</v>
      </c>
      <c r="W60" s="88">
        <v>0.42408899999999999</v>
      </c>
      <c r="X60" s="88">
        <v>0.45756999999999998</v>
      </c>
      <c r="Y60" s="88">
        <v>0.49168200000000001</v>
      </c>
      <c r="Z60" s="88">
        <v>0.52675700000000003</v>
      </c>
      <c r="AA60" s="88">
        <v>0.56241099999999999</v>
      </c>
      <c r="AB60" s="88">
        <v>0.598777</v>
      </c>
      <c r="AC60" s="88">
        <v>0.63556699999999999</v>
      </c>
      <c r="AD60" s="88">
        <v>0.67315000000000003</v>
      </c>
      <c r="AE60" s="88">
        <v>0.71160800000000002</v>
      </c>
      <c r="AF60" s="89">
        <v>0.23269400000000001</v>
      </c>
      <c r="AG60" s="108"/>
    </row>
    <row r="61" spans="1:33" ht="48.75" x14ac:dyDescent="0.25">
      <c r="A61" s="107" t="s">
        <v>841</v>
      </c>
      <c r="B61" s="87" t="s">
        <v>766</v>
      </c>
      <c r="C61" s="88">
        <v>1403.9254149999999</v>
      </c>
      <c r="D61" s="88">
        <v>1339.2801509999999</v>
      </c>
      <c r="E61" s="88">
        <v>1292.7174070000001</v>
      </c>
      <c r="F61" s="88">
        <v>1250.237183</v>
      </c>
      <c r="G61" s="88">
        <v>1215.381226</v>
      </c>
      <c r="H61" s="88">
        <v>1184.0926509999999</v>
      </c>
      <c r="I61" s="88">
        <v>1157.4570309999999</v>
      </c>
      <c r="J61" s="88">
        <v>1137.7867429999999</v>
      </c>
      <c r="K61" s="88">
        <v>1123.8199460000001</v>
      </c>
      <c r="L61" s="88">
        <v>1116.2508539999999</v>
      </c>
      <c r="M61" s="88">
        <v>1114.6232910000001</v>
      </c>
      <c r="N61" s="88">
        <v>1118.8454589999999</v>
      </c>
      <c r="O61" s="88">
        <v>1129.5892329999999</v>
      </c>
      <c r="P61" s="88">
        <v>1147.3548579999999</v>
      </c>
      <c r="Q61" s="88">
        <v>1171.02124</v>
      </c>
      <c r="R61" s="88">
        <v>1199.61853</v>
      </c>
      <c r="S61" s="88">
        <v>1232.7967530000001</v>
      </c>
      <c r="T61" s="88">
        <v>1269.1655270000001</v>
      </c>
      <c r="U61" s="88">
        <v>1308.4490969999999</v>
      </c>
      <c r="V61" s="88">
        <v>1348.881836</v>
      </c>
      <c r="W61" s="88">
        <v>1390.580811</v>
      </c>
      <c r="X61" s="88">
        <v>1433.535034</v>
      </c>
      <c r="Y61" s="88">
        <v>1477.3614500000001</v>
      </c>
      <c r="Z61" s="88">
        <v>1523.897217</v>
      </c>
      <c r="AA61" s="88">
        <v>1570.9343260000001</v>
      </c>
      <c r="AB61" s="88">
        <v>1619.0146480000001</v>
      </c>
      <c r="AC61" s="88">
        <v>1666.595703</v>
      </c>
      <c r="AD61" s="88">
        <v>1715.9692379999999</v>
      </c>
      <c r="AE61" s="88">
        <v>1767.3173830000001</v>
      </c>
      <c r="AF61" s="89">
        <v>8.2550000000000002E-3</v>
      </c>
      <c r="AG61" s="108"/>
    </row>
    <row r="62" spans="1:33" x14ac:dyDescent="0.25">
      <c r="A62" s="106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</row>
    <row r="63" spans="1:33" ht="36.75" x14ac:dyDescent="0.25">
      <c r="A63" s="107" t="s">
        <v>842</v>
      </c>
      <c r="B63" s="87" t="s">
        <v>843</v>
      </c>
      <c r="C63" s="88">
        <v>9103.5634769999997</v>
      </c>
      <c r="D63" s="88">
        <v>9049.1894530000009</v>
      </c>
      <c r="E63" s="88">
        <v>9102.0302730000003</v>
      </c>
      <c r="F63" s="88">
        <v>9189.4833980000003</v>
      </c>
      <c r="G63" s="88">
        <v>9278.2109380000002</v>
      </c>
      <c r="H63" s="88">
        <v>9347.515625</v>
      </c>
      <c r="I63" s="88">
        <v>9402.4619139999995</v>
      </c>
      <c r="J63" s="88">
        <v>9456.7958980000003</v>
      </c>
      <c r="K63" s="88">
        <v>9498.7880860000005</v>
      </c>
      <c r="L63" s="88">
        <v>9532.4726559999999</v>
      </c>
      <c r="M63" s="88">
        <v>9557.3642579999996</v>
      </c>
      <c r="N63" s="88">
        <v>9575.2666019999997</v>
      </c>
      <c r="O63" s="88">
        <v>9594.7626949999994</v>
      </c>
      <c r="P63" s="88">
        <v>9623.9726559999999</v>
      </c>
      <c r="Q63" s="88">
        <v>9661.0117190000001</v>
      </c>
      <c r="R63" s="88">
        <v>9704.4042969999991</v>
      </c>
      <c r="S63" s="88">
        <v>9755.2119139999995</v>
      </c>
      <c r="T63" s="88">
        <v>9810.3886719999991</v>
      </c>
      <c r="U63" s="88">
        <v>9872.4140619999998</v>
      </c>
      <c r="V63" s="88">
        <v>9932.7216800000006</v>
      </c>
      <c r="W63" s="88">
        <v>9993.1640619999998</v>
      </c>
      <c r="X63" s="88">
        <v>10054.582031</v>
      </c>
      <c r="Y63" s="88">
        <v>10115.234375</v>
      </c>
      <c r="Z63" s="88">
        <v>10185.045898</v>
      </c>
      <c r="AA63" s="88">
        <v>10253.295898</v>
      </c>
      <c r="AB63" s="88">
        <v>10323.652344</v>
      </c>
      <c r="AC63" s="88">
        <v>10388.939453000001</v>
      </c>
      <c r="AD63" s="88">
        <v>10459.662109000001</v>
      </c>
      <c r="AE63" s="88">
        <v>10536.678711</v>
      </c>
      <c r="AF63" s="89">
        <v>5.2350000000000001E-3</v>
      </c>
      <c r="AG63" s="108"/>
    </row>
    <row r="64" spans="1:33" x14ac:dyDescent="0.25">
      <c r="A64" s="106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  <c r="AG64" s="108"/>
    </row>
    <row r="65" spans="1:34" ht="24.75" x14ac:dyDescent="0.25">
      <c r="A65" s="107" t="s">
        <v>844</v>
      </c>
      <c r="B65" s="86" t="s">
        <v>772</v>
      </c>
      <c r="C65" s="90">
        <v>14741.170898</v>
      </c>
      <c r="D65" s="90">
        <v>14276.033203000001</v>
      </c>
      <c r="E65" s="90">
        <v>14006.5625</v>
      </c>
      <c r="F65" s="90">
        <v>13803.979492</v>
      </c>
      <c r="G65" s="90">
        <v>13625.132812</v>
      </c>
      <c r="H65" s="90">
        <v>13457.716796999999</v>
      </c>
      <c r="I65" s="90">
        <v>13304.828125</v>
      </c>
      <c r="J65" s="90">
        <v>13180.441406</v>
      </c>
      <c r="K65" s="90">
        <v>13068.610352</v>
      </c>
      <c r="L65" s="90">
        <v>12969.526367</v>
      </c>
      <c r="M65" s="90">
        <v>12882.349609000001</v>
      </c>
      <c r="N65" s="90">
        <v>12803.548828000001</v>
      </c>
      <c r="O65" s="90">
        <v>12743.689453000001</v>
      </c>
      <c r="P65" s="90">
        <v>12711.219727</v>
      </c>
      <c r="Q65" s="90">
        <v>12705.164062</v>
      </c>
      <c r="R65" s="90">
        <v>12715.314453000001</v>
      </c>
      <c r="S65" s="90">
        <v>12740.125</v>
      </c>
      <c r="T65" s="90">
        <v>12774.943359000001</v>
      </c>
      <c r="U65" s="90">
        <v>12820.956055000001</v>
      </c>
      <c r="V65" s="90">
        <v>12864.253906</v>
      </c>
      <c r="W65" s="90">
        <v>12907.40625</v>
      </c>
      <c r="X65" s="90">
        <v>12948.941406</v>
      </c>
      <c r="Y65" s="90">
        <v>12991.878906</v>
      </c>
      <c r="Z65" s="90">
        <v>13049.931640999999</v>
      </c>
      <c r="AA65" s="90">
        <v>13116.971680000001</v>
      </c>
      <c r="AB65" s="90">
        <v>13183.955078000001</v>
      </c>
      <c r="AC65" s="90">
        <v>13244.930664</v>
      </c>
      <c r="AD65" s="90">
        <v>13311.998046999999</v>
      </c>
      <c r="AE65" s="90">
        <v>13388.823242</v>
      </c>
      <c r="AF65" s="91">
        <v>-3.431E-3</v>
      </c>
      <c r="AG65" s="108"/>
      <c r="AH65" s="106"/>
    </row>
    <row r="66" spans="1:34" x14ac:dyDescent="0.25">
      <c r="A66" s="106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  <c r="AG66" s="108"/>
      <c r="AH66" s="106"/>
    </row>
    <row r="67" spans="1:34" ht="48.75" x14ac:dyDescent="0.25">
      <c r="A67" s="106"/>
      <c r="B67" s="86" t="s">
        <v>845</v>
      </c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6"/>
    </row>
    <row r="68" spans="1:34" ht="24.75" x14ac:dyDescent="0.25">
      <c r="A68" s="107" t="s">
        <v>846</v>
      </c>
      <c r="B68" s="87" t="s">
        <v>775</v>
      </c>
      <c r="C68" s="88">
        <v>8031.3188479999999</v>
      </c>
      <c r="D68" s="88">
        <v>7940.3720700000003</v>
      </c>
      <c r="E68" s="88">
        <v>7903.7353519999997</v>
      </c>
      <c r="F68" s="88">
        <v>7909.8017579999996</v>
      </c>
      <c r="G68" s="88">
        <v>7940.830078</v>
      </c>
      <c r="H68" s="88">
        <v>7987.8505859999996</v>
      </c>
      <c r="I68" s="88">
        <v>8042.6831050000001</v>
      </c>
      <c r="J68" s="88">
        <v>8101.8808589999999</v>
      </c>
      <c r="K68" s="88">
        <v>8168.1220700000003</v>
      </c>
      <c r="L68" s="88">
        <v>8235.2177730000003</v>
      </c>
      <c r="M68" s="88">
        <v>8306.8525389999995</v>
      </c>
      <c r="N68" s="88">
        <v>8373.7109380000002</v>
      </c>
      <c r="O68" s="88">
        <v>8435.4941409999992</v>
      </c>
      <c r="P68" s="88">
        <v>8494.0546880000002</v>
      </c>
      <c r="Q68" s="88">
        <v>8552.7587889999995</v>
      </c>
      <c r="R68" s="88">
        <v>8606.1826170000004</v>
      </c>
      <c r="S68" s="88">
        <v>8658.1015619999998</v>
      </c>
      <c r="T68" s="88">
        <v>8711.0576170000004</v>
      </c>
      <c r="U68" s="88">
        <v>8762.5673829999996</v>
      </c>
      <c r="V68" s="88">
        <v>8814.5947269999997</v>
      </c>
      <c r="W68" s="88">
        <v>8864.6865230000003</v>
      </c>
      <c r="X68" s="88">
        <v>8916.5878909999992</v>
      </c>
      <c r="Y68" s="88">
        <v>8972.7021480000003</v>
      </c>
      <c r="Z68" s="88">
        <v>9027.6074219999991</v>
      </c>
      <c r="AA68" s="88">
        <v>9080.1376949999994</v>
      </c>
      <c r="AB68" s="88">
        <v>9132.8710940000001</v>
      </c>
      <c r="AC68" s="88">
        <v>9182.9980469999991</v>
      </c>
      <c r="AD68" s="88">
        <v>9228.2011719999991</v>
      </c>
      <c r="AE68" s="88">
        <v>9269.6210940000001</v>
      </c>
      <c r="AF68" s="89">
        <v>5.1339999999999997E-3</v>
      </c>
      <c r="AG68" s="108"/>
      <c r="AH68" s="106"/>
    </row>
    <row r="69" spans="1:34" x14ac:dyDescent="0.25">
      <c r="A69" s="107" t="s">
        <v>847</v>
      </c>
      <c r="B69" s="87" t="s">
        <v>777</v>
      </c>
      <c r="C69" s="88">
        <v>5201.8085940000001</v>
      </c>
      <c r="D69" s="88">
        <v>5250.8969729999999</v>
      </c>
      <c r="E69" s="88">
        <v>5302.2626950000003</v>
      </c>
      <c r="F69" s="88">
        <v>5353.2270509999998</v>
      </c>
      <c r="G69" s="88">
        <v>5399.2612300000001</v>
      </c>
      <c r="H69" s="88">
        <v>5437.2954099999997</v>
      </c>
      <c r="I69" s="88">
        <v>5468.6098629999997</v>
      </c>
      <c r="J69" s="88">
        <v>5492.0893550000001</v>
      </c>
      <c r="K69" s="88">
        <v>5507.6777339999999</v>
      </c>
      <c r="L69" s="88">
        <v>5512.2534180000002</v>
      </c>
      <c r="M69" s="88">
        <v>5521.1801759999998</v>
      </c>
      <c r="N69" s="88">
        <v>5519.0473629999997</v>
      </c>
      <c r="O69" s="88">
        <v>5513.2485349999997</v>
      </c>
      <c r="P69" s="88">
        <v>5500.6274409999996</v>
      </c>
      <c r="Q69" s="88">
        <v>5486.0024409999996</v>
      </c>
      <c r="R69" s="88">
        <v>5469.0234380000002</v>
      </c>
      <c r="S69" s="88">
        <v>5449.0185549999997</v>
      </c>
      <c r="T69" s="88">
        <v>5431.8198240000002</v>
      </c>
      <c r="U69" s="88">
        <v>5414.2065430000002</v>
      </c>
      <c r="V69" s="88">
        <v>5406.3969729999999</v>
      </c>
      <c r="W69" s="88">
        <v>5405.3071289999998</v>
      </c>
      <c r="X69" s="88">
        <v>5420.1103519999997</v>
      </c>
      <c r="Y69" s="88">
        <v>5445.6806640000004</v>
      </c>
      <c r="Z69" s="88">
        <v>5472.6030270000001</v>
      </c>
      <c r="AA69" s="88">
        <v>5500.2749020000001</v>
      </c>
      <c r="AB69" s="88">
        <v>5530.6381840000004</v>
      </c>
      <c r="AC69" s="88">
        <v>5561.6923829999996</v>
      </c>
      <c r="AD69" s="88">
        <v>5585.7548829999996</v>
      </c>
      <c r="AE69" s="88">
        <v>5608.0507809999999</v>
      </c>
      <c r="AF69" s="89">
        <v>2.689E-3</v>
      </c>
      <c r="AG69" s="108"/>
      <c r="AH69" s="106"/>
    </row>
    <row r="70" spans="1:34" x14ac:dyDescent="0.25">
      <c r="A70" s="107" t="s">
        <v>848</v>
      </c>
      <c r="B70" s="87" t="s">
        <v>779</v>
      </c>
      <c r="C70" s="88">
        <v>2.7199999999999998E-2</v>
      </c>
      <c r="D70" s="88">
        <v>0.446405</v>
      </c>
      <c r="E70" s="88">
        <v>0.88520500000000002</v>
      </c>
      <c r="F70" s="88">
        <v>1.334503</v>
      </c>
      <c r="G70" s="88">
        <v>1.8046040000000001</v>
      </c>
      <c r="H70" s="88">
        <v>2.2977280000000002</v>
      </c>
      <c r="I70" s="88">
        <v>2.8189009999999999</v>
      </c>
      <c r="J70" s="88">
        <v>3.3765900000000002</v>
      </c>
      <c r="K70" s="88">
        <v>3.9795349999999998</v>
      </c>
      <c r="L70" s="88">
        <v>4.6397399999999998</v>
      </c>
      <c r="M70" s="88">
        <v>5.3691800000000001</v>
      </c>
      <c r="N70" s="88">
        <v>6.1793230000000001</v>
      </c>
      <c r="O70" s="88">
        <v>7.0851259999999998</v>
      </c>
      <c r="P70" s="88">
        <v>8.1084790000000009</v>
      </c>
      <c r="Q70" s="88">
        <v>9.2763559999999998</v>
      </c>
      <c r="R70" s="88">
        <v>10.613517999999999</v>
      </c>
      <c r="S70" s="88">
        <v>12.144465</v>
      </c>
      <c r="T70" s="88">
        <v>13.896808999999999</v>
      </c>
      <c r="U70" s="88">
        <v>15.894682</v>
      </c>
      <c r="V70" s="88">
        <v>18.155231000000001</v>
      </c>
      <c r="W70" s="88">
        <v>20.693428000000001</v>
      </c>
      <c r="X70" s="88">
        <v>23.531113000000001</v>
      </c>
      <c r="Y70" s="88">
        <v>26.681090999999999</v>
      </c>
      <c r="Z70" s="88">
        <v>30.170033</v>
      </c>
      <c r="AA70" s="88">
        <v>33.996665999999998</v>
      </c>
      <c r="AB70" s="88">
        <v>38.143760999999998</v>
      </c>
      <c r="AC70" s="88">
        <v>42.573020999999997</v>
      </c>
      <c r="AD70" s="88">
        <v>47.273494999999997</v>
      </c>
      <c r="AE70" s="88">
        <v>52.222855000000003</v>
      </c>
      <c r="AF70" s="89">
        <v>0.30996800000000002</v>
      </c>
      <c r="AG70" s="108"/>
      <c r="AH70" s="106"/>
    </row>
    <row r="71" spans="1:34" ht="72.75" x14ac:dyDescent="0.25">
      <c r="A71" s="107" t="s">
        <v>849</v>
      </c>
      <c r="B71" s="87" t="s">
        <v>781</v>
      </c>
      <c r="C71" s="88">
        <v>12.657215000000001</v>
      </c>
      <c r="D71" s="88">
        <v>12.253945999999999</v>
      </c>
      <c r="E71" s="88">
        <v>11.837052999999999</v>
      </c>
      <c r="F71" s="88">
        <v>11.405747</v>
      </c>
      <c r="G71" s="88">
        <v>10.958615999999999</v>
      </c>
      <c r="H71" s="88">
        <v>10.497102999999999</v>
      </c>
      <c r="I71" s="88">
        <v>10.004996999999999</v>
      </c>
      <c r="J71" s="88">
        <v>9.5020070000000008</v>
      </c>
      <c r="K71" s="88">
        <v>8.9698100000000007</v>
      </c>
      <c r="L71" s="88">
        <v>8.4179040000000001</v>
      </c>
      <c r="M71" s="88">
        <v>7.8272069999999996</v>
      </c>
      <c r="N71" s="88">
        <v>7.1769290000000003</v>
      </c>
      <c r="O71" s="88">
        <v>6.5703300000000002</v>
      </c>
      <c r="P71" s="88">
        <v>6.0011219999999996</v>
      </c>
      <c r="Q71" s="88">
        <v>5.4681610000000003</v>
      </c>
      <c r="R71" s="88">
        <v>4.9728019999999997</v>
      </c>
      <c r="S71" s="88">
        <v>4.5123030000000002</v>
      </c>
      <c r="T71" s="88">
        <v>4.0931480000000002</v>
      </c>
      <c r="U71" s="88">
        <v>3.7105700000000001</v>
      </c>
      <c r="V71" s="88">
        <v>3.3614989999999998</v>
      </c>
      <c r="W71" s="88">
        <v>3.0438139999999998</v>
      </c>
      <c r="X71" s="88">
        <v>2.7556120000000002</v>
      </c>
      <c r="Y71" s="88">
        <v>2.4947569999999999</v>
      </c>
      <c r="Z71" s="88">
        <v>2.2507510000000002</v>
      </c>
      <c r="AA71" s="88">
        <v>1.9678009999999999</v>
      </c>
      <c r="AB71" s="88">
        <v>1.629623</v>
      </c>
      <c r="AC71" s="88">
        <v>1.333248</v>
      </c>
      <c r="AD71" s="88">
        <v>1.052214</v>
      </c>
      <c r="AE71" s="88">
        <v>0.83661700000000006</v>
      </c>
      <c r="AF71" s="89">
        <v>-9.2464000000000005E-2</v>
      </c>
      <c r="AG71" s="108"/>
      <c r="AH71" s="106"/>
    </row>
    <row r="72" spans="1:34" ht="24.75" x14ac:dyDescent="0.25">
      <c r="A72" s="107" t="s">
        <v>850</v>
      </c>
      <c r="B72" s="87" t="s">
        <v>783</v>
      </c>
      <c r="C72" s="88">
        <v>1568.900635</v>
      </c>
      <c r="D72" s="88">
        <v>1592.0656739999999</v>
      </c>
      <c r="E72" s="88">
        <v>1617.6141359999999</v>
      </c>
      <c r="F72" s="88">
        <v>1642.889404</v>
      </c>
      <c r="G72" s="88">
        <v>1666.8477780000001</v>
      </c>
      <c r="H72" s="88">
        <v>1689.6022949999999</v>
      </c>
      <c r="I72" s="88">
        <v>1709.506836</v>
      </c>
      <c r="J72" s="88">
        <v>1727.1770019999999</v>
      </c>
      <c r="K72" s="88">
        <v>1742.9711910000001</v>
      </c>
      <c r="L72" s="88">
        <v>1757.8314210000001</v>
      </c>
      <c r="M72" s="88">
        <v>1771.9936520000001</v>
      </c>
      <c r="N72" s="88">
        <v>1785.9129640000001</v>
      </c>
      <c r="O72" s="88">
        <v>1799.8901370000001</v>
      </c>
      <c r="P72" s="88">
        <v>1814.896606</v>
      </c>
      <c r="Q72" s="88">
        <v>1830.9842530000001</v>
      </c>
      <c r="R72" s="88">
        <v>1848.5692140000001</v>
      </c>
      <c r="S72" s="88">
        <v>1867.8732910000001</v>
      </c>
      <c r="T72" s="88">
        <v>1889.3264160000001</v>
      </c>
      <c r="U72" s="88">
        <v>1913.0802000000001</v>
      </c>
      <c r="V72" s="88">
        <v>1938.9139399999999</v>
      </c>
      <c r="W72" s="88">
        <v>1966.8549800000001</v>
      </c>
      <c r="X72" s="88">
        <v>1997.009155</v>
      </c>
      <c r="Y72" s="88">
        <v>2025.797241</v>
      </c>
      <c r="Z72" s="88">
        <v>2053.891846</v>
      </c>
      <c r="AA72" s="88">
        <v>2081.9648440000001</v>
      </c>
      <c r="AB72" s="88">
        <v>2106.8190920000002</v>
      </c>
      <c r="AC72" s="88">
        <v>2130.8447270000001</v>
      </c>
      <c r="AD72" s="88">
        <v>2151.36499</v>
      </c>
      <c r="AE72" s="88">
        <v>2171.7822270000001</v>
      </c>
      <c r="AF72" s="89">
        <v>1.1681E-2</v>
      </c>
      <c r="AG72" s="108"/>
      <c r="AH72" s="106"/>
    </row>
    <row r="73" spans="1:34" x14ac:dyDescent="0.25">
      <c r="A73" s="107" t="s">
        <v>851</v>
      </c>
      <c r="B73" s="87" t="s">
        <v>785</v>
      </c>
      <c r="C73" s="88">
        <v>0</v>
      </c>
      <c r="D73" s="88">
        <v>0</v>
      </c>
      <c r="E73" s="88">
        <v>0</v>
      </c>
      <c r="F73" s="88">
        <v>0</v>
      </c>
      <c r="G73" s="88">
        <v>0</v>
      </c>
      <c r="H73" s="88">
        <v>0</v>
      </c>
      <c r="I73" s="88">
        <v>0</v>
      </c>
      <c r="J73" s="88">
        <v>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88">
        <v>0</v>
      </c>
      <c r="V73" s="88">
        <v>0</v>
      </c>
      <c r="W73" s="88">
        <v>0</v>
      </c>
      <c r="X73" s="88">
        <v>0</v>
      </c>
      <c r="Y73" s="88">
        <v>0</v>
      </c>
      <c r="Z73" s="88">
        <v>0</v>
      </c>
      <c r="AA73" s="88">
        <v>0</v>
      </c>
      <c r="AB73" s="88">
        <v>0</v>
      </c>
      <c r="AC73" s="88">
        <v>0</v>
      </c>
      <c r="AD73" s="88">
        <v>0</v>
      </c>
      <c r="AE73" s="88">
        <v>0</v>
      </c>
      <c r="AF73" s="89" t="s">
        <v>321</v>
      </c>
      <c r="AG73" s="108"/>
      <c r="AH73" s="106"/>
    </row>
    <row r="74" spans="1:34" ht="36.75" x14ac:dyDescent="0.25">
      <c r="A74" s="107" t="s">
        <v>852</v>
      </c>
      <c r="B74" s="87" t="s">
        <v>787</v>
      </c>
      <c r="C74" s="88">
        <v>0</v>
      </c>
      <c r="D74" s="88">
        <v>0.787767</v>
      </c>
      <c r="E74" s="88">
        <v>1.5879289999999999</v>
      </c>
      <c r="F74" s="88">
        <v>2.3966599999999998</v>
      </c>
      <c r="G74" s="88">
        <v>3.208523</v>
      </c>
      <c r="H74" s="88">
        <v>4.0274260000000002</v>
      </c>
      <c r="I74" s="88">
        <v>4.8601450000000002</v>
      </c>
      <c r="J74" s="88">
        <v>5.7169280000000002</v>
      </c>
      <c r="K74" s="88">
        <v>6.6017650000000003</v>
      </c>
      <c r="L74" s="88">
        <v>7.5191460000000001</v>
      </c>
      <c r="M74" s="88">
        <v>8.4768489999999996</v>
      </c>
      <c r="N74" s="88">
        <v>9.4802370000000007</v>
      </c>
      <c r="O74" s="88">
        <v>10.536694000000001</v>
      </c>
      <c r="P74" s="88">
        <v>11.657214</v>
      </c>
      <c r="Q74" s="88">
        <v>12.856301999999999</v>
      </c>
      <c r="R74" s="88">
        <v>14.143478</v>
      </c>
      <c r="S74" s="88">
        <v>15.531952</v>
      </c>
      <c r="T74" s="88">
        <v>17.031109000000001</v>
      </c>
      <c r="U74" s="88">
        <v>18.651724000000002</v>
      </c>
      <c r="V74" s="88">
        <v>20.389593000000001</v>
      </c>
      <c r="W74" s="88">
        <v>22.245595999999999</v>
      </c>
      <c r="X74" s="88">
        <v>24.213246999999999</v>
      </c>
      <c r="Y74" s="88">
        <v>26.284991999999999</v>
      </c>
      <c r="Z74" s="88">
        <v>28.463531</v>
      </c>
      <c r="AA74" s="88">
        <v>30.733688000000001</v>
      </c>
      <c r="AB74" s="88">
        <v>33.074711000000001</v>
      </c>
      <c r="AC74" s="88">
        <v>35.461925999999998</v>
      </c>
      <c r="AD74" s="88">
        <v>37.891818999999998</v>
      </c>
      <c r="AE74" s="88">
        <v>40.35284</v>
      </c>
      <c r="AF74" s="89" t="s">
        <v>321</v>
      </c>
      <c r="AG74" s="108"/>
      <c r="AH74" s="106"/>
    </row>
    <row r="75" spans="1:34" ht="36.75" x14ac:dyDescent="0.25">
      <c r="A75" s="107" t="s">
        <v>853</v>
      </c>
      <c r="B75" s="87" t="s">
        <v>789</v>
      </c>
      <c r="C75" s="88">
        <v>0</v>
      </c>
      <c r="D75" s="88">
        <v>0.855433</v>
      </c>
      <c r="E75" s="88">
        <v>1.733762</v>
      </c>
      <c r="F75" s="88">
        <v>2.6065299999999998</v>
      </c>
      <c r="G75" s="88">
        <v>3.4725510000000002</v>
      </c>
      <c r="H75" s="88">
        <v>4.3335290000000004</v>
      </c>
      <c r="I75" s="88">
        <v>5.1927940000000001</v>
      </c>
      <c r="J75" s="88">
        <v>6.0617429999999999</v>
      </c>
      <c r="K75" s="88">
        <v>6.9501559999999998</v>
      </c>
      <c r="L75" s="88">
        <v>7.8712400000000002</v>
      </c>
      <c r="M75" s="88">
        <v>8.836157</v>
      </c>
      <c r="N75" s="88">
        <v>9.8554539999999999</v>
      </c>
      <c r="O75" s="88">
        <v>10.940022000000001</v>
      </c>
      <c r="P75" s="88">
        <v>12.10994</v>
      </c>
      <c r="Q75" s="88">
        <v>13.379708000000001</v>
      </c>
      <c r="R75" s="88">
        <v>14.764685</v>
      </c>
      <c r="S75" s="88">
        <v>16.280159000000001</v>
      </c>
      <c r="T75" s="88">
        <v>17.941573999999999</v>
      </c>
      <c r="U75" s="88">
        <v>19.761744</v>
      </c>
      <c r="V75" s="88">
        <v>21.739498000000001</v>
      </c>
      <c r="W75" s="88">
        <v>23.876650000000001</v>
      </c>
      <c r="X75" s="88">
        <v>26.169352</v>
      </c>
      <c r="Y75" s="88">
        <v>28.600905999999998</v>
      </c>
      <c r="Z75" s="88">
        <v>31.175287000000001</v>
      </c>
      <c r="AA75" s="88">
        <v>33.863022000000001</v>
      </c>
      <c r="AB75" s="88">
        <v>36.644165000000001</v>
      </c>
      <c r="AC75" s="88">
        <v>39.482059</v>
      </c>
      <c r="AD75" s="88">
        <v>42.376590999999998</v>
      </c>
      <c r="AE75" s="88">
        <v>45.306109999999997</v>
      </c>
      <c r="AF75" s="89" t="s">
        <v>321</v>
      </c>
      <c r="AG75" s="108"/>
      <c r="AH75" s="106"/>
    </row>
    <row r="76" spans="1:34" x14ac:dyDescent="0.25">
      <c r="A76" s="107" t="s">
        <v>854</v>
      </c>
      <c r="B76" s="87" t="s">
        <v>791</v>
      </c>
      <c r="C76" s="88">
        <v>0</v>
      </c>
      <c r="D76" s="88">
        <v>0</v>
      </c>
      <c r="E76" s="88">
        <v>0</v>
      </c>
      <c r="F76" s="88">
        <v>0</v>
      </c>
      <c r="G76" s="88">
        <v>0</v>
      </c>
      <c r="H76" s="88">
        <v>0</v>
      </c>
      <c r="I76" s="88">
        <v>0</v>
      </c>
      <c r="J76" s="88">
        <v>0</v>
      </c>
      <c r="K76" s="88">
        <v>0</v>
      </c>
      <c r="L76" s="88">
        <v>0</v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88">
        <v>0</v>
      </c>
      <c r="V76" s="88">
        <v>0</v>
      </c>
      <c r="W76" s="88">
        <v>0</v>
      </c>
      <c r="X76" s="88">
        <v>0</v>
      </c>
      <c r="Y76" s="88">
        <v>0</v>
      </c>
      <c r="Z76" s="88">
        <v>0</v>
      </c>
      <c r="AA76" s="88">
        <v>0</v>
      </c>
      <c r="AB76" s="88">
        <v>0</v>
      </c>
      <c r="AC76" s="88">
        <v>0</v>
      </c>
      <c r="AD76" s="88">
        <v>0</v>
      </c>
      <c r="AE76" s="88">
        <v>0</v>
      </c>
      <c r="AF76" s="89" t="s">
        <v>321</v>
      </c>
      <c r="AG76" s="108"/>
      <c r="AH76" s="106"/>
    </row>
    <row r="77" spans="1:34" ht="48.75" x14ac:dyDescent="0.25">
      <c r="A77" s="107" t="s">
        <v>855</v>
      </c>
      <c r="B77" s="86" t="s">
        <v>856</v>
      </c>
      <c r="C77" s="90">
        <v>14814.711914</v>
      </c>
      <c r="D77" s="90">
        <v>14797.678711</v>
      </c>
      <c r="E77" s="90">
        <v>14839.655273</v>
      </c>
      <c r="F77" s="90">
        <v>14923.662109000001</v>
      </c>
      <c r="G77" s="90">
        <v>15026.384765999999</v>
      </c>
      <c r="H77" s="90">
        <v>15135.905273</v>
      </c>
      <c r="I77" s="90">
        <v>15243.676758</v>
      </c>
      <c r="J77" s="90">
        <v>15345.804688</v>
      </c>
      <c r="K77" s="90">
        <v>15445.272461</v>
      </c>
      <c r="L77" s="90">
        <v>15533.75</v>
      </c>
      <c r="M77" s="90">
        <v>15630.535156</v>
      </c>
      <c r="N77" s="90">
        <v>15711.363281</v>
      </c>
      <c r="O77" s="90">
        <v>15783.764648</v>
      </c>
      <c r="P77" s="90">
        <v>15847.455078000001</v>
      </c>
      <c r="Q77" s="90">
        <v>15910.726562</v>
      </c>
      <c r="R77" s="90">
        <v>15968.269531</v>
      </c>
      <c r="S77" s="90">
        <v>16023.462890999999</v>
      </c>
      <c r="T77" s="90">
        <v>16085.165039</v>
      </c>
      <c r="U77" s="90">
        <v>16147.872069999999</v>
      </c>
      <c r="V77" s="90">
        <v>16223.551758</v>
      </c>
      <c r="W77" s="90">
        <v>16306.708008</v>
      </c>
      <c r="X77" s="90">
        <v>16410.376952999999</v>
      </c>
      <c r="Y77" s="90">
        <v>16528.242188</v>
      </c>
      <c r="Z77" s="90">
        <v>16646.162109000001</v>
      </c>
      <c r="AA77" s="90">
        <v>16762.939452999999</v>
      </c>
      <c r="AB77" s="90">
        <v>16879.820312</v>
      </c>
      <c r="AC77" s="90">
        <v>16994.386718999998</v>
      </c>
      <c r="AD77" s="90">
        <v>17093.916015999999</v>
      </c>
      <c r="AE77" s="90">
        <v>17188.173827999999</v>
      </c>
      <c r="AF77" s="91">
        <v>5.3210000000000002E-3</v>
      </c>
      <c r="AG77" s="108"/>
      <c r="AH77" s="106"/>
    </row>
    <row r="78" spans="1:34" ht="15.75" thickBot="1" x14ac:dyDescent="0.3">
      <c r="A78" s="106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  <c r="AD78" s="108"/>
      <c r="AE78" s="108"/>
      <c r="AF78" s="108"/>
      <c r="AG78" s="108"/>
      <c r="AH78" s="106"/>
    </row>
    <row r="79" spans="1:34" x14ac:dyDescent="0.25">
      <c r="A79" s="106"/>
      <c r="B79" s="133" t="s">
        <v>794</v>
      </c>
      <c r="C79" s="136"/>
      <c r="D79" s="136"/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136"/>
      <c r="AC79" s="136"/>
      <c r="AD79" s="136"/>
      <c r="AE79" s="136"/>
      <c r="AF79" s="136"/>
      <c r="AG79" s="136"/>
      <c r="AH79" s="105"/>
    </row>
    <row r="80" spans="1:34" x14ac:dyDescent="0.25">
      <c r="A80" s="106"/>
      <c r="B80" s="108" t="s">
        <v>795</v>
      </c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  <c r="AD80" s="108"/>
      <c r="AE80" s="108"/>
      <c r="AF80" s="108"/>
      <c r="AG80" s="108"/>
      <c r="AH80" s="106"/>
    </row>
    <row r="81" spans="2:33" x14ac:dyDescent="0.25">
      <c r="B81" s="108" t="s">
        <v>796</v>
      </c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</row>
    <row r="82" spans="2:33" x14ac:dyDescent="0.25">
      <c r="B82" s="108" t="s">
        <v>797</v>
      </c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</row>
    <row r="83" spans="2:33" x14ac:dyDescent="0.25">
      <c r="B83" s="108" t="s">
        <v>567</v>
      </c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</row>
    <row r="84" spans="2:33" x14ac:dyDescent="0.25">
      <c r="B84" s="108" t="s">
        <v>694</v>
      </c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</row>
    <row r="85" spans="2:33" x14ac:dyDescent="0.25">
      <c r="B85" s="108" t="s">
        <v>799</v>
      </c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</row>
    <row r="86" spans="2:33" x14ac:dyDescent="0.25"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</row>
    <row r="87" spans="2:33" x14ac:dyDescent="0.25"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</row>
    <row r="88" spans="2:33" x14ac:dyDescent="0.25"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</row>
    <row r="89" spans="2:33" x14ac:dyDescent="0.25"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</row>
    <row r="90" spans="2:33" x14ac:dyDescent="0.25"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</row>
    <row r="91" spans="2:33" x14ac:dyDescent="0.25"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</row>
    <row r="92" spans="2:33" x14ac:dyDescent="0.25"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  <c r="AF92" s="108"/>
      <c r="AG92" s="108"/>
    </row>
    <row r="93" spans="2:33" x14ac:dyDescent="0.25"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  <c r="AG93" s="108"/>
    </row>
    <row r="94" spans="2:33" x14ac:dyDescent="0.25"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  <c r="AF94" s="108"/>
      <c r="AG94" s="108"/>
    </row>
    <row r="95" spans="2:33" x14ac:dyDescent="0.25"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  <c r="AG95" s="108"/>
    </row>
    <row r="96" spans="2:33" x14ac:dyDescent="0.25"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  <c r="AG96" s="108"/>
    </row>
    <row r="97" spans="2:33" x14ac:dyDescent="0.25"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  <c r="AF97" s="108"/>
      <c r="AG97" s="108"/>
    </row>
    <row r="98" spans="2:33" x14ac:dyDescent="0.25"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  <c r="AG98" s="108"/>
    </row>
    <row r="99" spans="2:33" x14ac:dyDescent="0.25"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  <c r="AG99" s="108"/>
    </row>
    <row r="100" spans="2:33" x14ac:dyDescent="0.25"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  <c r="AG100" s="108"/>
    </row>
    <row r="101" spans="2:33" x14ac:dyDescent="0.25"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</row>
    <row r="102" spans="2:33" x14ac:dyDescent="0.25"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  <c r="AG102" s="108"/>
    </row>
    <row r="103" spans="2:33" x14ac:dyDescent="0.25"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</row>
    <row r="104" spans="2:33" x14ac:dyDescent="0.25"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</row>
    <row r="105" spans="2:33" x14ac:dyDescent="0.25"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  <c r="AG105" s="108"/>
    </row>
    <row r="106" spans="2:33" x14ac:dyDescent="0.25"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  <c r="AG106" s="108"/>
    </row>
    <row r="107" spans="2:33" x14ac:dyDescent="0.25"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/>
      <c r="AF107" s="108"/>
      <c r="AG107" s="108"/>
    </row>
    <row r="108" spans="2:33" x14ac:dyDescent="0.25"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  <c r="AE108" s="108"/>
      <c r="AF108" s="108"/>
      <c r="AG108" s="108"/>
    </row>
    <row r="109" spans="2:33" x14ac:dyDescent="0.25"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  <c r="AF109" s="108" t="s">
        <v>572</v>
      </c>
      <c r="AG109" s="108"/>
    </row>
    <row r="114" spans="2:32" x14ac:dyDescent="0.25"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</row>
    <row r="116" spans="2:32" x14ac:dyDescent="0.25"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</row>
    <row r="117" spans="2:32" x14ac:dyDescent="0.25"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</row>
    <row r="258" spans="2:32" x14ac:dyDescent="0.25"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</row>
    <row r="259" spans="2:32" x14ac:dyDescent="0.25">
      <c r="B259" s="135"/>
      <c r="C259" s="135"/>
      <c r="D259" s="135"/>
      <c r="E259" s="135"/>
      <c r="F259" s="135"/>
      <c r="G259" s="135"/>
      <c r="H259" s="135"/>
      <c r="I259" s="135"/>
      <c r="J259" s="135"/>
      <c r="K259" s="135"/>
      <c r="L259" s="135"/>
      <c r="M259" s="135"/>
      <c r="N259" s="135"/>
      <c r="O259" s="135"/>
      <c r="P259" s="135"/>
      <c r="Q259" s="135"/>
      <c r="R259" s="135"/>
      <c r="S259" s="135"/>
      <c r="T259" s="135"/>
      <c r="U259" s="135"/>
      <c r="V259" s="135"/>
      <c r="W259" s="135"/>
      <c r="X259" s="135"/>
      <c r="Y259" s="135"/>
      <c r="Z259" s="135"/>
      <c r="AA259" s="135"/>
      <c r="AB259" s="135"/>
      <c r="AC259" s="135"/>
      <c r="AD259" s="135"/>
      <c r="AE259" s="135"/>
      <c r="AF259" s="135"/>
    </row>
    <row r="268" spans="2:32" x14ac:dyDescent="0.25"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</row>
    <row r="269" spans="2:32" x14ac:dyDescent="0.25"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</row>
    <row r="270" spans="2:32" x14ac:dyDescent="0.25"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</row>
    <row r="271" spans="2:32" x14ac:dyDescent="0.25"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</row>
    <row r="272" spans="2:32" x14ac:dyDescent="0.25"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</row>
    <row r="338" spans="2:32" x14ac:dyDescent="0.25"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06"/>
      <c r="AD338" s="106"/>
      <c r="AE338" s="106"/>
      <c r="AF338" s="106"/>
    </row>
    <row r="339" spans="2:32" x14ac:dyDescent="0.25">
      <c r="B339" s="135"/>
      <c r="C339" s="135"/>
      <c r="D339" s="135"/>
      <c r="E339" s="135"/>
      <c r="F339" s="135"/>
      <c r="G339" s="135"/>
      <c r="H339" s="135"/>
      <c r="I339" s="135"/>
      <c r="J339" s="135"/>
      <c r="K339" s="135"/>
      <c r="L339" s="135"/>
      <c r="M339" s="135"/>
      <c r="N339" s="135"/>
      <c r="O339" s="135"/>
      <c r="P339" s="135"/>
      <c r="Q339" s="135"/>
      <c r="R339" s="135"/>
      <c r="S339" s="135"/>
      <c r="T339" s="135"/>
      <c r="U339" s="135"/>
      <c r="V339" s="135"/>
      <c r="W339" s="135"/>
      <c r="X339" s="135"/>
      <c r="Y339" s="135"/>
      <c r="Z339" s="135"/>
      <c r="AA339" s="135"/>
      <c r="AB339" s="135"/>
      <c r="AC339" s="135"/>
      <c r="AD339" s="135"/>
      <c r="AE339" s="135"/>
      <c r="AF339" s="135"/>
    </row>
    <row r="348" spans="2:32" x14ac:dyDescent="0.25"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106"/>
      <c r="AE348" s="106"/>
      <c r="AF348" s="106"/>
    </row>
    <row r="349" spans="2:32" x14ac:dyDescent="0.25"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106"/>
      <c r="AE349" s="106"/>
      <c r="AF349" s="106"/>
    </row>
    <row r="350" spans="2:32" x14ac:dyDescent="0.25"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106"/>
      <c r="AE350" s="106"/>
      <c r="AF350" s="106"/>
    </row>
    <row r="351" spans="2:32" x14ac:dyDescent="0.25"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06"/>
      <c r="AD351" s="106"/>
      <c r="AE351" s="106"/>
      <c r="AF351" s="106"/>
    </row>
    <row r="352" spans="2:32" x14ac:dyDescent="0.25"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106"/>
      <c r="AE352" s="106"/>
      <c r="AF352" s="106"/>
    </row>
    <row r="449" spans="2:32" x14ac:dyDescent="0.25"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  <c r="AB449" s="106"/>
      <c r="AC449" s="106"/>
      <c r="AD449" s="106"/>
      <c r="AE449" s="106"/>
      <c r="AF449" s="106"/>
    </row>
    <row r="451" spans="2:32" x14ac:dyDescent="0.25"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  <c r="AB451" s="106"/>
      <c r="AC451" s="106"/>
      <c r="AD451" s="106"/>
      <c r="AE451" s="106"/>
      <c r="AF451" s="106"/>
    </row>
    <row r="452" spans="2:32" x14ac:dyDescent="0.25">
      <c r="B452" s="135"/>
      <c r="C452" s="135"/>
      <c r="D452" s="135"/>
      <c r="E452" s="135"/>
      <c r="F452" s="135"/>
      <c r="G452" s="135"/>
      <c r="H452" s="135"/>
      <c r="I452" s="135"/>
      <c r="J452" s="135"/>
      <c r="K452" s="135"/>
      <c r="L452" s="135"/>
      <c r="M452" s="135"/>
      <c r="N452" s="135"/>
      <c r="O452" s="135"/>
      <c r="P452" s="135"/>
      <c r="Q452" s="135"/>
      <c r="R452" s="135"/>
      <c r="S452" s="135"/>
      <c r="T452" s="135"/>
      <c r="U452" s="135"/>
      <c r="V452" s="135"/>
      <c r="W452" s="135"/>
      <c r="X452" s="135"/>
      <c r="Y452" s="135"/>
      <c r="Z452" s="135"/>
      <c r="AA452" s="135"/>
      <c r="AB452" s="135"/>
      <c r="AC452" s="135"/>
      <c r="AD452" s="135"/>
      <c r="AE452" s="135"/>
      <c r="AF452" s="135"/>
    </row>
    <row r="461" spans="2:32" x14ac:dyDescent="0.25"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  <c r="AB461" s="106"/>
      <c r="AC461" s="106"/>
      <c r="AD461" s="106"/>
      <c r="AE461" s="106"/>
      <c r="AF461" s="106"/>
    </row>
    <row r="462" spans="2:32" x14ac:dyDescent="0.25"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  <c r="AB462" s="106"/>
      <c r="AC462" s="106"/>
      <c r="AD462" s="106"/>
      <c r="AE462" s="106"/>
      <c r="AF462" s="106"/>
    </row>
    <row r="463" spans="2:32" x14ac:dyDescent="0.25"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  <c r="AB463" s="106"/>
      <c r="AC463" s="106"/>
      <c r="AD463" s="106"/>
      <c r="AE463" s="106"/>
      <c r="AF463" s="106"/>
    </row>
    <row r="464" spans="2:32" x14ac:dyDescent="0.25"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  <c r="AB464" s="106"/>
      <c r="AC464" s="106"/>
      <c r="AD464" s="106"/>
      <c r="AE464" s="106"/>
      <c r="AF464" s="106"/>
    </row>
    <row r="564" spans="2:32" x14ac:dyDescent="0.25"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106"/>
      <c r="AB564" s="106"/>
      <c r="AC564" s="106"/>
      <c r="AD564" s="106"/>
      <c r="AE564" s="106"/>
      <c r="AF564" s="106"/>
    </row>
    <row r="565" spans="2:32" x14ac:dyDescent="0.25">
      <c r="B565" s="135"/>
      <c r="C565" s="135"/>
      <c r="D565" s="135"/>
      <c r="E565" s="135"/>
      <c r="F565" s="135"/>
      <c r="G565" s="135"/>
      <c r="H565" s="135"/>
      <c r="I565" s="135"/>
      <c r="J565" s="135"/>
      <c r="K565" s="135"/>
      <c r="L565" s="135"/>
      <c r="M565" s="135"/>
      <c r="N565" s="135"/>
      <c r="O565" s="135"/>
      <c r="P565" s="135"/>
      <c r="Q565" s="135"/>
      <c r="R565" s="135"/>
      <c r="S565" s="135"/>
      <c r="T565" s="135"/>
      <c r="U565" s="135"/>
      <c r="V565" s="135"/>
      <c r="W565" s="135"/>
      <c r="X565" s="135"/>
      <c r="Y565" s="135"/>
      <c r="Z565" s="135"/>
      <c r="AA565" s="135"/>
      <c r="AB565" s="135"/>
      <c r="AC565" s="135"/>
      <c r="AD565" s="135"/>
      <c r="AE565" s="135"/>
      <c r="AF565" s="135"/>
    </row>
    <row r="571" spans="2:32" x14ac:dyDescent="0.25"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  <c r="AB571" s="106"/>
      <c r="AC571" s="106"/>
      <c r="AD571" s="106"/>
      <c r="AE571" s="106"/>
      <c r="AF571" s="106"/>
    </row>
    <row r="572" spans="2:32" x14ac:dyDescent="0.25"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  <c r="AB572" s="106"/>
      <c r="AC572" s="106"/>
      <c r="AD572" s="106"/>
      <c r="AE572" s="106"/>
      <c r="AF572" s="106"/>
    </row>
    <row r="573" spans="2:32" x14ac:dyDescent="0.25"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106"/>
      <c r="AB573" s="106"/>
      <c r="AC573" s="106"/>
      <c r="AD573" s="106"/>
      <c r="AE573" s="106"/>
      <c r="AF573" s="106"/>
    </row>
    <row r="574" spans="2:32" x14ac:dyDescent="0.25"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106"/>
      <c r="AB574" s="106"/>
      <c r="AC574" s="106"/>
      <c r="AD574" s="106"/>
      <c r="AE574" s="106"/>
      <c r="AF574" s="106"/>
    </row>
    <row r="575" spans="2:32" x14ac:dyDescent="0.25"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106"/>
      <c r="AB575" s="106"/>
      <c r="AC575" s="106"/>
      <c r="AD575" s="106"/>
      <c r="AE575" s="106"/>
      <c r="AF575" s="106"/>
    </row>
    <row r="576" spans="2:32" x14ac:dyDescent="0.25"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106"/>
      <c r="AB576" s="106"/>
      <c r="AC576" s="106"/>
      <c r="AD576" s="106"/>
      <c r="AE576" s="106"/>
      <c r="AF576" s="106"/>
    </row>
    <row r="657" spans="2:32" x14ac:dyDescent="0.25"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106"/>
      <c r="AB657" s="106"/>
      <c r="AC657" s="106"/>
      <c r="AD657" s="106"/>
      <c r="AE657" s="106"/>
      <c r="AF657" s="106"/>
    </row>
    <row r="658" spans="2:32" x14ac:dyDescent="0.25"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106"/>
      <c r="AB658" s="106"/>
      <c r="AC658" s="106"/>
      <c r="AD658" s="106"/>
      <c r="AE658" s="106"/>
      <c r="AF658" s="106"/>
    </row>
    <row r="660" spans="2:32" x14ac:dyDescent="0.25"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106"/>
      <c r="AB660" s="106"/>
      <c r="AC660" s="106"/>
      <c r="AD660" s="106"/>
      <c r="AE660" s="106"/>
      <c r="AF660" s="106"/>
    </row>
    <row r="662" spans="2:32" x14ac:dyDescent="0.25"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106"/>
      <c r="AB662" s="106"/>
      <c r="AC662" s="106"/>
      <c r="AD662" s="106"/>
      <c r="AE662" s="106"/>
      <c r="AF662" s="106"/>
    </row>
    <row r="663" spans="2:32" x14ac:dyDescent="0.25">
      <c r="B663" s="135"/>
      <c r="C663" s="135"/>
      <c r="D663" s="135"/>
      <c r="E663" s="135"/>
      <c r="F663" s="135"/>
      <c r="G663" s="135"/>
      <c r="H663" s="135"/>
      <c r="I663" s="135"/>
      <c r="J663" s="135"/>
      <c r="K663" s="135"/>
      <c r="L663" s="135"/>
      <c r="M663" s="135"/>
      <c r="N663" s="135"/>
      <c r="O663" s="135"/>
      <c r="P663" s="135"/>
      <c r="Q663" s="135"/>
      <c r="R663" s="135"/>
      <c r="S663" s="135"/>
      <c r="T663" s="135"/>
      <c r="U663" s="135"/>
      <c r="V663" s="135"/>
      <c r="W663" s="135"/>
      <c r="X663" s="135"/>
      <c r="Y663" s="135"/>
      <c r="Z663" s="135"/>
      <c r="AA663" s="135"/>
      <c r="AB663" s="135"/>
      <c r="AC663" s="135"/>
      <c r="AD663" s="135"/>
      <c r="AE663" s="135"/>
      <c r="AF663" s="135"/>
    </row>
    <row r="669" spans="2:32" x14ac:dyDescent="0.25"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  <c r="AA669" s="106"/>
      <c r="AB669" s="106"/>
      <c r="AC669" s="106"/>
      <c r="AD669" s="106"/>
      <c r="AE669" s="106"/>
      <c r="AF669" s="106"/>
    </row>
    <row r="670" spans="2:32" x14ac:dyDescent="0.25"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  <c r="AA670" s="106"/>
      <c r="AB670" s="106"/>
      <c r="AC670" s="106"/>
      <c r="AD670" s="106"/>
      <c r="AE670" s="106"/>
      <c r="AF670" s="106"/>
    </row>
    <row r="671" spans="2:32" x14ac:dyDescent="0.25"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  <c r="AA671" s="106"/>
      <c r="AB671" s="106"/>
      <c r="AC671" s="106"/>
      <c r="AD671" s="106"/>
      <c r="AE671" s="106"/>
      <c r="AF671" s="106"/>
    </row>
    <row r="672" spans="2:32" x14ac:dyDescent="0.25"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  <c r="AB672" s="106"/>
      <c r="AC672" s="106"/>
      <c r="AD672" s="106"/>
      <c r="AE672" s="106"/>
      <c r="AF672" s="106"/>
    </row>
    <row r="723" spans="2:32" x14ac:dyDescent="0.25"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  <c r="AA723" s="106"/>
      <c r="AB723" s="106"/>
      <c r="AC723" s="106"/>
      <c r="AD723" s="106"/>
      <c r="AE723" s="106"/>
      <c r="AF723" s="106"/>
    </row>
    <row r="728" spans="2:32" x14ac:dyDescent="0.25"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  <c r="AA728" s="106"/>
      <c r="AB728" s="106"/>
      <c r="AC728" s="106"/>
      <c r="AD728" s="106"/>
      <c r="AE728" s="106"/>
      <c r="AF728" s="106"/>
    </row>
    <row r="734" spans="2:32" x14ac:dyDescent="0.25"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  <c r="AA734" s="106"/>
      <c r="AB734" s="106"/>
      <c r="AC734" s="106"/>
      <c r="AD734" s="106"/>
      <c r="AE734" s="106"/>
      <c r="AF734" s="106"/>
    </row>
    <row r="735" spans="2:32" x14ac:dyDescent="0.25">
      <c r="B735" s="135"/>
      <c r="C735" s="135"/>
      <c r="D735" s="135"/>
      <c r="E735" s="135"/>
      <c r="F735" s="135"/>
      <c r="G735" s="135"/>
      <c r="H735" s="135"/>
      <c r="I735" s="135"/>
      <c r="J735" s="135"/>
      <c r="K735" s="135"/>
      <c r="L735" s="135"/>
      <c r="M735" s="135"/>
      <c r="N735" s="135"/>
      <c r="O735" s="135"/>
      <c r="P735" s="135"/>
      <c r="Q735" s="135"/>
      <c r="R735" s="135"/>
      <c r="S735" s="135"/>
      <c r="T735" s="135"/>
      <c r="U735" s="135"/>
      <c r="V735" s="135"/>
      <c r="W735" s="135"/>
      <c r="X735" s="135"/>
      <c r="Y735" s="135"/>
      <c r="Z735" s="135"/>
      <c r="AA735" s="135"/>
      <c r="AB735" s="135"/>
      <c r="AC735" s="135"/>
      <c r="AD735" s="135"/>
      <c r="AE735" s="135"/>
      <c r="AF735" s="135"/>
    </row>
    <row r="906" spans="2:32" x14ac:dyDescent="0.25"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  <c r="AA906" s="106"/>
      <c r="AB906" s="106"/>
      <c r="AC906" s="106"/>
      <c r="AD906" s="106"/>
      <c r="AE906" s="106"/>
      <c r="AF906" s="106"/>
    </row>
    <row r="910" spans="2:32" x14ac:dyDescent="0.25"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  <c r="AA910" s="106"/>
      <c r="AB910" s="106"/>
      <c r="AC910" s="106"/>
      <c r="AD910" s="106"/>
      <c r="AE910" s="106"/>
      <c r="AF910" s="106"/>
    </row>
    <row r="911" spans="2:32" x14ac:dyDescent="0.25">
      <c r="B911" s="135"/>
      <c r="C911" s="135"/>
      <c r="D911" s="135"/>
      <c r="E911" s="135"/>
      <c r="F911" s="135"/>
      <c r="G911" s="135"/>
      <c r="H911" s="135"/>
      <c r="I911" s="135"/>
      <c r="J911" s="135"/>
      <c r="K911" s="135"/>
      <c r="L911" s="135"/>
      <c r="M911" s="135"/>
      <c r="N911" s="135"/>
      <c r="O911" s="135"/>
      <c r="P911" s="135"/>
      <c r="Q911" s="135"/>
      <c r="R911" s="135"/>
      <c r="S911" s="135"/>
      <c r="T911" s="135"/>
      <c r="U911" s="135"/>
      <c r="V911" s="135"/>
      <c r="W911" s="135"/>
      <c r="X911" s="135"/>
      <c r="Y911" s="135"/>
      <c r="Z911" s="135"/>
      <c r="AA911" s="135"/>
      <c r="AB911" s="135"/>
      <c r="AC911" s="135"/>
      <c r="AD911" s="135"/>
      <c r="AE911" s="135"/>
      <c r="AF911" s="135"/>
    </row>
    <row r="993" spans="2:32" x14ac:dyDescent="0.25"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  <c r="AA993" s="106"/>
      <c r="AB993" s="106"/>
      <c r="AC993" s="106"/>
      <c r="AD993" s="106"/>
      <c r="AE993" s="106"/>
      <c r="AF993" s="106"/>
    </row>
    <row r="994" spans="2:32" x14ac:dyDescent="0.25">
      <c r="B994" s="135"/>
      <c r="C994" s="135"/>
      <c r="D994" s="135"/>
      <c r="E994" s="135"/>
      <c r="F994" s="135"/>
      <c r="G994" s="135"/>
      <c r="H994" s="135"/>
      <c r="I994" s="135"/>
      <c r="J994" s="135"/>
      <c r="K994" s="135"/>
      <c r="L994" s="135"/>
      <c r="M994" s="135"/>
      <c r="N994" s="135"/>
      <c r="O994" s="135"/>
      <c r="P994" s="135"/>
      <c r="Q994" s="135"/>
      <c r="R994" s="135"/>
      <c r="S994" s="135"/>
      <c r="T994" s="135"/>
      <c r="U994" s="135"/>
      <c r="V994" s="135"/>
      <c r="W994" s="135"/>
      <c r="X994" s="135"/>
      <c r="Y994" s="135"/>
      <c r="Z994" s="135"/>
      <c r="AA994" s="135"/>
      <c r="AB994" s="135"/>
      <c r="AC994" s="135"/>
      <c r="AD994" s="135"/>
      <c r="AE994" s="135"/>
      <c r="AF994" s="135"/>
    </row>
    <row r="1001" spans="2:32" x14ac:dyDescent="0.25"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  <c r="Q1001" s="106"/>
      <c r="R1001" s="106"/>
      <c r="S1001" s="106"/>
      <c r="T1001" s="106"/>
      <c r="U1001" s="106"/>
      <c r="V1001" s="106"/>
      <c r="W1001" s="106"/>
      <c r="X1001" s="106"/>
      <c r="Y1001" s="106"/>
      <c r="Z1001" s="106"/>
      <c r="AA1001" s="106"/>
      <c r="AB1001" s="106"/>
      <c r="AC1001" s="106"/>
      <c r="AD1001" s="106"/>
      <c r="AE1001" s="106"/>
      <c r="AF1001" s="106"/>
    </row>
    <row r="1002" spans="2:32" x14ac:dyDescent="0.25"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  <c r="P1002" s="106"/>
      <c r="Q1002" s="106"/>
      <c r="R1002" s="106"/>
      <c r="S1002" s="106"/>
      <c r="T1002" s="106"/>
      <c r="U1002" s="106"/>
      <c r="V1002" s="106"/>
      <c r="W1002" s="106"/>
      <c r="X1002" s="106"/>
      <c r="Y1002" s="106"/>
      <c r="Z1002" s="106"/>
      <c r="AA1002" s="106"/>
      <c r="AB1002" s="106"/>
      <c r="AC1002" s="106"/>
      <c r="AD1002" s="106"/>
      <c r="AE1002" s="106"/>
      <c r="AF1002" s="106"/>
    </row>
    <row r="1003" spans="2:32" x14ac:dyDescent="0.25">
      <c r="B1003" s="106"/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  <c r="P1003" s="106"/>
      <c r="Q1003" s="106"/>
      <c r="R1003" s="106"/>
      <c r="S1003" s="106"/>
      <c r="T1003" s="106"/>
      <c r="U1003" s="106"/>
      <c r="V1003" s="106"/>
      <c r="W1003" s="106"/>
      <c r="X1003" s="106"/>
      <c r="Y1003" s="106"/>
      <c r="Z1003" s="106"/>
      <c r="AA1003" s="106"/>
      <c r="AB1003" s="106"/>
      <c r="AC1003" s="106"/>
      <c r="AD1003" s="106"/>
      <c r="AE1003" s="106"/>
      <c r="AF1003" s="106"/>
    </row>
    <row r="1004" spans="2:32" x14ac:dyDescent="0.25">
      <c r="B1004" s="106"/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  <c r="P1004" s="106"/>
      <c r="Q1004" s="106"/>
      <c r="R1004" s="106"/>
      <c r="S1004" s="106"/>
      <c r="T1004" s="106"/>
      <c r="U1004" s="106"/>
      <c r="V1004" s="106"/>
      <c r="W1004" s="106"/>
      <c r="X1004" s="106"/>
      <c r="Y1004" s="106"/>
      <c r="Z1004" s="106"/>
      <c r="AA1004" s="106"/>
      <c r="AB1004" s="106"/>
      <c r="AC1004" s="106"/>
      <c r="AD1004" s="106"/>
      <c r="AE1004" s="106"/>
      <c r="AF1004" s="106"/>
    </row>
    <row r="1005" spans="2:32" x14ac:dyDescent="0.25">
      <c r="B1005" s="106"/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/>
      <c r="O1005" s="106"/>
      <c r="P1005" s="106"/>
      <c r="Q1005" s="106"/>
      <c r="R1005" s="106"/>
      <c r="S1005" s="106"/>
      <c r="T1005" s="106"/>
      <c r="U1005" s="106"/>
      <c r="V1005" s="106"/>
      <c r="W1005" s="106"/>
      <c r="X1005" s="106"/>
      <c r="Y1005" s="106"/>
      <c r="Z1005" s="106"/>
      <c r="AA1005" s="106"/>
      <c r="AB1005" s="106"/>
      <c r="AC1005" s="106"/>
      <c r="AD1005" s="106"/>
      <c r="AE1005" s="106"/>
      <c r="AF1005" s="106"/>
    </row>
    <row r="1006" spans="2:32" x14ac:dyDescent="0.25">
      <c r="B1006" s="106"/>
      <c r="C1006" s="106"/>
      <c r="D1006" s="106"/>
      <c r="E1006" s="106"/>
      <c r="F1006" s="106"/>
      <c r="G1006" s="106"/>
      <c r="H1006" s="106"/>
      <c r="I1006" s="106"/>
      <c r="J1006" s="106"/>
      <c r="K1006" s="106"/>
      <c r="L1006" s="106"/>
      <c r="M1006" s="106"/>
      <c r="N1006" s="106"/>
      <c r="O1006" s="106"/>
      <c r="P1006" s="106"/>
      <c r="Q1006" s="106"/>
      <c r="R1006" s="106"/>
      <c r="S1006" s="106"/>
      <c r="T1006" s="106"/>
      <c r="U1006" s="106"/>
      <c r="V1006" s="106"/>
      <c r="W1006" s="106"/>
      <c r="X1006" s="106"/>
      <c r="Y1006" s="106"/>
      <c r="Z1006" s="106"/>
      <c r="AA1006" s="106"/>
      <c r="AB1006" s="106"/>
      <c r="AC1006" s="106"/>
      <c r="AD1006" s="106"/>
      <c r="AE1006" s="106"/>
      <c r="AF1006" s="106"/>
    </row>
    <row r="1007" spans="2:32" x14ac:dyDescent="0.25">
      <c r="B1007" s="106"/>
      <c r="C1007" s="106"/>
      <c r="D1007" s="106"/>
      <c r="E1007" s="106"/>
      <c r="F1007" s="106"/>
      <c r="G1007" s="106"/>
      <c r="H1007" s="106"/>
      <c r="I1007" s="106"/>
      <c r="J1007" s="106"/>
      <c r="K1007" s="106"/>
      <c r="L1007" s="106"/>
      <c r="M1007" s="106"/>
      <c r="N1007" s="106"/>
      <c r="O1007" s="106"/>
      <c r="P1007" s="106"/>
      <c r="Q1007" s="106"/>
      <c r="R1007" s="106"/>
      <c r="S1007" s="106"/>
      <c r="T1007" s="106"/>
      <c r="U1007" s="106"/>
      <c r="V1007" s="106"/>
      <c r="W1007" s="106"/>
      <c r="X1007" s="106"/>
      <c r="Y1007" s="106"/>
      <c r="Z1007" s="106"/>
      <c r="AA1007" s="106"/>
      <c r="AB1007" s="106"/>
      <c r="AC1007" s="106"/>
      <c r="AD1007" s="106"/>
      <c r="AE1007" s="106"/>
      <c r="AF1007" s="106"/>
    </row>
    <row r="1008" spans="2:32" x14ac:dyDescent="0.25">
      <c r="B1008" s="106"/>
      <c r="C1008" s="106"/>
      <c r="D1008" s="106"/>
      <c r="E1008" s="106"/>
      <c r="F1008" s="106"/>
      <c r="G1008" s="106"/>
      <c r="H1008" s="106"/>
      <c r="I1008" s="106"/>
      <c r="J1008" s="106"/>
      <c r="K1008" s="106"/>
      <c r="L1008" s="106"/>
      <c r="M1008" s="106"/>
      <c r="N1008" s="106"/>
      <c r="O1008" s="106"/>
      <c r="P1008" s="106"/>
      <c r="Q1008" s="106"/>
      <c r="R1008" s="106"/>
      <c r="S1008" s="106"/>
      <c r="T1008" s="106"/>
      <c r="U1008" s="106"/>
      <c r="V1008" s="106"/>
      <c r="W1008" s="106"/>
      <c r="X1008" s="106"/>
      <c r="Y1008" s="106"/>
      <c r="Z1008" s="106"/>
      <c r="AA1008" s="106"/>
      <c r="AB1008" s="106"/>
      <c r="AC1008" s="106"/>
      <c r="AD1008" s="106"/>
      <c r="AE1008" s="106"/>
      <c r="AF1008" s="106"/>
    </row>
    <row r="1095" spans="2:32" x14ac:dyDescent="0.25">
      <c r="B1095" s="106"/>
      <c r="C1095" s="106"/>
      <c r="D1095" s="106"/>
      <c r="E1095" s="106"/>
      <c r="F1095" s="106"/>
      <c r="G1095" s="106"/>
      <c r="H1095" s="106"/>
      <c r="I1095" s="106"/>
      <c r="J1095" s="106"/>
      <c r="K1095" s="106"/>
      <c r="L1095" s="106"/>
      <c r="M1095" s="106"/>
      <c r="N1095" s="106"/>
      <c r="O1095" s="106"/>
      <c r="P1095" s="106"/>
      <c r="Q1095" s="106"/>
      <c r="R1095" s="106"/>
      <c r="S1095" s="106"/>
      <c r="T1095" s="106"/>
      <c r="U1095" s="106"/>
      <c r="V1095" s="106"/>
      <c r="W1095" s="106"/>
      <c r="X1095" s="106"/>
      <c r="Y1095" s="106"/>
      <c r="Z1095" s="106"/>
      <c r="AA1095" s="106"/>
      <c r="AB1095" s="106"/>
      <c r="AC1095" s="106"/>
      <c r="AD1095" s="106"/>
      <c r="AE1095" s="106"/>
      <c r="AF1095" s="106"/>
    </row>
    <row r="1096" spans="2:32" x14ac:dyDescent="0.25">
      <c r="B1096" s="135"/>
      <c r="C1096" s="135"/>
      <c r="D1096" s="135"/>
      <c r="E1096" s="135"/>
      <c r="F1096" s="135"/>
      <c r="G1096" s="135"/>
      <c r="H1096" s="135"/>
      <c r="I1096" s="135"/>
      <c r="J1096" s="135"/>
      <c r="K1096" s="135"/>
      <c r="L1096" s="135"/>
      <c r="M1096" s="135"/>
      <c r="N1096" s="135"/>
      <c r="O1096" s="135"/>
      <c r="P1096" s="135"/>
      <c r="Q1096" s="135"/>
      <c r="R1096" s="135"/>
      <c r="S1096" s="135"/>
      <c r="T1096" s="135"/>
      <c r="U1096" s="135"/>
      <c r="V1096" s="135"/>
      <c r="W1096" s="135"/>
      <c r="X1096" s="135"/>
      <c r="Y1096" s="135"/>
      <c r="Z1096" s="135"/>
      <c r="AA1096" s="135"/>
      <c r="AB1096" s="135"/>
      <c r="AC1096" s="135"/>
      <c r="AD1096" s="135"/>
      <c r="AE1096" s="135"/>
      <c r="AF1096" s="135"/>
    </row>
    <row r="1103" spans="2:32" x14ac:dyDescent="0.25">
      <c r="B1103" s="106"/>
      <c r="C1103" s="106"/>
      <c r="D1103" s="106"/>
      <c r="E1103" s="106"/>
      <c r="F1103" s="106"/>
      <c r="G1103" s="106"/>
      <c r="H1103" s="106"/>
      <c r="I1103" s="106"/>
      <c r="J1103" s="106"/>
      <c r="K1103" s="106"/>
      <c r="L1103" s="106"/>
      <c r="M1103" s="106"/>
      <c r="N1103" s="106"/>
      <c r="O1103" s="106"/>
      <c r="P1103" s="106"/>
      <c r="Q1103" s="106"/>
      <c r="R1103" s="106"/>
      <c r="S1103" s="106"/>
      <c r="T1103" s="106"/>
      <c r="U1103" s="106"/>
      <c r="V1103" s="106"/>
      <c r="W1103" s="106"/>
      <c r="X1103" s="106"/>
      <c r="Y1103" s="106"/>
      <c r="Z1103" s="106"/>
      <c r="AA1103" s="106"/>
      <c r="AB1103" s="106"/>
      <c r="AC1103" s="106"/>
      <c r="AD1103" s="106"/>
      <c r="AE1103" s="106"/>
      <c r="AF1103" s="106"/>
    </row>
    <row r="1104" spans="2:32" x14ac:dyDescent="0.25">
      <c r="B1104" s="106"/>
      <c r="C1104" s="106"/>
      <c r="D1104" s="106"/>
      <c r="E1104" s="106"/>
      <c r="F1104" s="106"/>
      <c r="G1104" s="106"/>
      <c r="H1104" s="106"/>
      <c r="I1104" s="106"/>
      <c r="J1104" s="106"/>
      <c r="K1104" s="106"/>
      <c r="L1104" s="106"/>
      <c r="M1104" s="106"/>
      <c r="N1104" s="106"/>
      <c r="O1104" s="106"/>
      <c r="P1104" s="106"/>
      <c r="Q1104" s="106"/>
      <c r="R1104" s="106"/>
      <c r="S1104" s="106"/>
      <c r="T1104" s="106"/>
      <c r="U1104" s="106"/>
      <c r="V1104" s="106"/>
      <c r="W1104" s="106"/>
      <c r="X1104" s="106"/>
      <c r="Y1104" s="106"/>
      <c r="Z1104" s="106"/>
      <c r="AA1104" s="106"/>
      <c r="AB1104" s="106"/>
      <c r="AC1104" s="106"/>
      <c r="AD1104" s="106"/>
      <c r="AE1104" s="106"/>
      <c r="AF1104" s="106"/>
    </row>
    <row r="1193" spans="2:32" x14ac:dyDescent="0.25">
      <c r="B1193" s="106"/>
      <c r="C1193" s="106"/>
      <c r="D1193" s="106"/>
      <c r="E1193" s="106"/>
      <c r="F1193" s="106"/>
      <c r="G1193" s="106"/>
      <c r="H1193" s="106"/>
      <c r="I1193" s="106"/>
      <c r="J1193" s="106"/>
      <c r="K1193" s="106"/>
      <c r="L1193" s="106"/>
      <c r="M1193" s="106"/>
      <c r="N1193" s="106"/>
      <c r="O1193" s="106"/>
      <c r="P1193" s="106"/>
      <c r="Q1193" s="106"/>
      <c r="R1193" s="106"/>
      <c r="S1193" s="106"/>
      <c r="T1193" s="106"/>
      <c r="U1193" s="106"/>
      <c r="V1193" s="106"/>
      <c r="W1193" s="106"/>
      <c r="X1193" s="106"/>
      <c r="Y1193" s="106"/>
      <c r="Z1193" s="106"/>
      <c r="AA1193" s="106"/>
      <c r="AB1193" s="106"/>
      <c r="AC1193" s="106"/>
      <c r="AD1193" s="106"/>
      <c r="AE1193" s="106"/>
      <c r="AF1193" s="106"/>
    </row>
    <row r="1194" spans="2:32" x14ac:dyDescent="0.25">
      <c r="B1194" s="135"/>
      <c r="C1194" s="135"/>
      <c r="D1194" s="135"/>
      <c r="E1194" s="135"/>
      <c r="F1194" s="135"/>
      <c r="G1194" s="135"/>
      <c r="H1194" s="135"/>
      <c r="I1194" s="135"/>
      <c r="J1194" s="135"/>
      <c r="K1194" s="135"/>
      <c r="L1194" s="135"/>
      <c r="M1194" s="135"/>
      <c r="N1194" s="135"/>
      <c r="O1194" s="135"/>
      <c r="P1194" s="135"/>
      <c r="Q1194" s="135"/>
      <c r="R1194" s="135"/>
      <c r="S1194" s="135"/>
      <c r="T1194" s="135"/>
      <c r="U1194" s="135"/>
      <c r="V1194" s="135"/>
      <c r="W1194" s="135"/>
      <c r="X1194" s="135"/>
      <c r="Y1194" s="135"/>
      <c r="Z1194" s="135"/>
      <c r="AA1194" s="135"/>
      <c r="AB1194" s="135"/>
      <c r="AC1194" s="135"/>
      <c r="AD1194" s="135"/>
      <c r="AE1194" s="135"/>
      <c r="AF1194" s="135"/>
    </row>
    <row r="1281" spans="2:32" x14ac:dyDescent="0.25">
      <c r="B1281" s="106"/>
      <c r="C1281" s="106"/>
      <c r="D1281" s="106"/>
      <c r="E1281" s="106"/>
      <c r="F1281" s="106"/>
      <c r="G1281" s="106"/>
      <c r="H1281" s="106"/>
      <c r="I1281" s="106"/>
      <c r="J1281" s="106"/>
      <c r="K1281" s="106"/>
      <c r="L1281" s="106"/>
      <c r="M1281" s="106"/>
      <c r="N1281" s="106"/>
      <c r="O1281" s="106"/>
      <c r="P1281" s="106"/>
      <c r="Q1281" s="106"/>
      <c r="R1281" s="106"/>
      <c r="S1281" s="106"/>
      <c r="T1281" s="106"/>
      <c r="U1281" s="106"/>
      <c r="V1281" s="106"/>
      <c r="W1281" s="106"/>
      <c r="X1281" s="106"/>
      <c r="Y1281" s="106"/>
      <c r="Z1281" s="106"/>
      <c r="AA1281" s="106"/>
      <c r="AB1281" s="106"/>
      <c r="AC1281" s="106"/>
      <c r="AD1281" s="106"/>
      <c r="AE1281" s="106"/>
      <c r="AF1281" s="106"/>
    </row>
    <row r="1293" spans="2:32" x14ac:dyDescent="0.25">
      <c r="B1293" s="106"/>
      <c r="C1293" s="106"/>
      <c r="D1293" s="106"/>
      <c r="E1293" s="106"/>
      <c r="F1293" s="106"/>
      <c r="G1293" s="106"/>
      <c r="H1293" s="106"/>
      <c r="I1293" s="106"/>
      <c r="J1293" s="106"/>
      <c r="K1293" s="106"/>
      <c r="L1293" s="106"/>
      <c r="M1293" s="106"/>
      <c r="N1293" s="106"/>
      <c r="O1293" s="106"/>
      <c r="P1293" s="106"/>
      <c r="Q1293" s="106"/>
      <c r="R1293" s="106"/>
      <c r="S1293" s="106"/>
      <c r="T1293" s="106"/>
      <c r="U1293" s="106"/>
      <c r="V1293" s="106"/>
      <c r="W1293" s="106"/>
      <c r="X1293" s="106"/>
      <c r="Y1293" s="106"/>
      <c r="Z1293" s="106"/>
      <c r="AA1293" s="106"/>
      <c r="AB1293" s="106"/>
      <c r="AC1293" s="106"/>
      <c r="AD1293" s="106"/>
      <c r="AE1293" s="106"/>
      <c r="AF1293" s="106"/>
    </row>
    <row r="1294" spans="2:32" x14ac:dyDescent="0.25">
      <c r="B1294" s="135"/>
      <c r="C1294" s="135"/>
      <c r="D1294" s="135"/>
      <c r="E1294" s="135"/>
      <c r="F1294" s="135"/>
      <c r="G1294" s="135"/>
      <c r="H1294" s="135"/>
      <c r="I1294" s="135"/>
      <c r="J1294" s="135"/>
      <c r="K1294" s="135"/>
      <c r="L1294" s="135"/>
      <c r="M1294" s="135"/>
      <c r="N1294" s="135"/>
      <c r="O1294" s="135"/>
      <c r="P1294" s="135"/>
      <c r="Q1294" s="135"/>
      <c r="R1294" s="135"/>
      <c r="S1294" s="135"/>
      <c r="T1294" s="135"/>
      <c r="U1294" s="135"/>
      <c r="V1294" s="135"/>
      <c r="W1294" s="135"/>
      <c r="X1294" s="135"/>
      <c r="Y1294" s="135"/>
      <c r="Z1294" s="135"/>
      <c r="AA1294" s="135"/>
      <c r="AB1294" s="135"/>
      <c r="AC1294" s="135"/>
      <c r="AD1294" s="135"/>
      <c r="AE1294" s="135"/>
      <c r="AF1294" s="135"/>
    </row>
    <row r="1589" spans="2:32" x14ac:dyDescent="0.25">
      <c r="B1589" s="106"/>
      <c r="C1589" s="106"/>
      <c r="D1589" s="106"/>
      <c r="E1589" s="106"/>
      <c r="F1589" s="106"/>
      <c r="G1589" s="106"/>
      <c r="H1589" s="106"/>
      <c r="I1589" s="106"/>
      <c r="J1589" s="106"/>
      <c r="K1589" s="106"/>
      <c r="L1589" s="106"/>
      <c r="M1589" s="106"/>
      <c r="N1589" s="106"/>
      <c r="O1589" s="106"/>
      <c r="P1589" s="106"/>
      <c r="Q1589" s="106"/>
      <c r="R1589" s="106"/>
      <c r="S1589" s="106"/>
      <c r="T1589" s="106"/>
      <c r="U1589" s="106"/>
      <c r="V1589" s="106"/>
      <c r="W1589" s="106"/>
      <c r="X1589" s="106"/>
      <c r="Y1589" s="106"/>
      <c r="Z1589" s="106"/>
      <c r="AA1589" s="106"/>
      <c r="AB1589" s="106"/>
      <c r="AC1589" s="106"/>
      <c r="AD1589" s="106"/>
      <c r="AE1589" s="106"/>
      <c r="AF1589" s="106"/>
    </row>
    <row r="1590" spans="2:32" x14ac:dyDescent="0.25">
      <c r="B1590" s="135"/>
      <c r="C1590" s="135"/>
      <c r="D1590" s="135"/>
      <c r="E1590" s="135"/>
      <c r="F1590" s="135"/>
      <c r="G1590" s="135"/>
      <c r="H1590" s="135"/>
      <c r="I1590" s="135"/>
      <c r="J1590" s="135"/>
      <c r="K1590" s="135"/>
      <c r="L1590" s="135"/>
      <c r="M1590" s="135"/>
      <c r="N1590" s="135"/>
      <c r="O1590" s="135"/>
      <c r="P1590" s="135"/>
      <c r="Q1590" s="135"/>
      <c r="R1590" s="135"/>
      <c r="S1590" s="135"/>
      <c r="T1590" s="135"/>
      <c r="U1590" s="135"/>
      <c r="V1590" s="135"/>
      <c r="W1590" s="135"/>
      <c r="X1590" s="135"/>
      <c r="Y1590" s="135"/>
      <c r="Z1590" s="135"/>
      <c r="AA1590" s="135"/>
      <c r="AB1590" s="135"/>
      <c r="AC1590" s="135"/>
      <c r="AD1590" s="135"/>
      <c r="AE1590" s="135"/>
      <c r="AF1590" s="135"/>
    </row>
    <row r="1599" spans="2:32" x14ac:dyDescent="0.25">
      <c r="B1599" s="106"/>
      <c r="C1599" s="106"/>
      <c r="D1599" s="106"/>
      <c r="E1599" s="106"/>
      <c r="F1599" s="106"/>
      <c r="G1599" s="106"/>
      <c r="H1599" s="106"/>
      <c r="I1599" s="106"/>
      <c r="J1599" s="106"/>
      <c r="K1599" s="106"/>
      <c r="L1599" s="106"/>
      <c r="M1599" s="106"/>
      <c r="N1599" s="106"/>
      <c r="O1599" s="106"/>
      <c r="P1599" s="106"/>
      <c r="Q1599" s="106"/>
      <c r="R1599" s="106"/>
      <c r="S1599" s="106"/>
      <c r="T1599" s="106"/>
      <c r="U1599" s="106"/>
      <c r="V1599" s="106"/>
      <c r="W1599" s="106"/>
      <c r="X1599" s="106"/>
      <c r="Y1599" s="106"/>
      <c r="Z1599" s="106"/>
      <c r="AA1599" s="106"/>
      <c r="AB1599" s="106"/>
      <c r="AC1599" s="106"/>
      <c r="AD1599" s="106"/>
      <c r="AE1599" s="106"/>
      <c r="AF1599" s="106"/>
    </row>
    <row r="1600" spans="2:32" x14ac:dyDescent="0.25">
      <c r="B1600" s="106"/>
      <c r="C1600" s="106"/>
      <c r="D1600" s="106"/>
      <c r="E1600" s="106"/>
      <c r="F1600" s="106"/>
      <c r="G1600" s="106"/>
      <c r="H1600" s="106"/>
      <c r="I1600" s="106"/>
      <c r="J1600" s="106"/>
      <c r="K1600" s="106"/>
      <c r="L1600" s="106"/>
      <c r="M1600" s="106"/>
      <c r="N1600" s="106"/>
      <c r="O1600" s="106"/>
      <c r="P1600" s="106"/>
      <c r="Q1600" s="106"/>
      <c r="R1600" s="106"/>
      <c r="S1600" s="106"/>
      <c r="T1600" s="106"/>
      <c r="U1600" s="106"/>
      <c r="V1600" s="106"/>
      <c r="W1600" s="106"/>
      <c r="X1600" s="106"/>
      <c r="Y1600" s="106"/>
      <c r="Z1600" s="106"/>
      <c r="AA1600" s="106"/>
      <c r="AB1600" s="106"/>
      <c r="AC1600" s="106"/>
      <c r="AD1600" s="106"/>
      <c r="AE1600" s="106"/>
      <c r="AF1600" s="106"/>
    </row>
    <row r="1812" spans="2:32" x14ac:dyDescent="0.25">
      <c r="B1812" s="106"/>
      <c r="C1812" s="106"/>
      <c r="D1812" s="106"/>
      <c r="E1812" s="106"/>
      <c r="F1812" s="106"/>
      <c r="G1812" s="106"/>
      <c r="H1812" s="106"/>
      <c r="I1812" s="106"/>
      <c r="J1812" s="106"/>
      <c r="K1812" s="106"/>
      <c r="L1812" s="106"/>
      <c r="M1812" s="106"/>
      <c r="N1812" s="106"/>
      <c r="O1812" s="106"/>
      <c r="P1812" s="106"/>
      <c r="Q1812" s="106"/>
      <c r="R1812" s="106"/>
      <c r="S1812" s="106"/>
      <c r="T1812" s="106"/>
      <c r="U1812" s="106"/>
      <c r="V1812" s="106"/>
      <c r="W1812" s="106"/>
      <c r="X1812" s="106"/>
      <c r="Y1812" s="106"/>
      <c r="Z1812" s="106"/>
      <c r="AA1812" s="106"/>
      <c r="AB1812" s="106"/>
      <c r="AC1812" s="106"/>
      <c r="AD1812" s="106"/>
      <c r="AE1812" s="106"/>
      <c r="AF1812" s="106"/>
    </row>
    <row r="1813" spans="2:32" x14ac:dyDescent="0.25">
      <c r="B1813" s="135"/>
      <c r="C1813" s="135"/>
      <c r="D1813" s="135"/>
      <c r="E1813" s="135"/>
      <c r="F1813" s="135"/>
      <c r="G1813" s="135"/>
      <c r="H1813" s="135"/>
      <c r="I1813" s="135"/>
      <c r="J1813" s="135"/>
      <c r="K1813" s="135"/>
      <c r="L1813" s="135"/>
      <c r="M1813" s="135"/>
      <c r="N1813" s="135"/>
      <c r="O1813" s="135"/>
      <c r="P1813" s="135"/>
      <c r="Q1813" s="135"/>
      <c r="R1813" s="135"/>
      <c r="S1813" s="135"/>
      <c r="T1813" s="135"/>
      <c r="U1813" s="135"/>
      <c r="V1813" s="135"/>
      <c r="W1813" s="135"/>
      <c r="X1813" s="135"/>
      <c r="Y1813" s="135"/>
      <c r="Z1813" s="135"/>
      <c r="AA1813" s="135"/>
      <c r="AB1813" s="135"/>
      <c r="AC1813" s="135"/>
      <c r="AD1813" s="135"/>
      <c r="AE1813" s="135"/>
      <c r="AF1813" s="135"/>
    </row>
    <row r="1814" spans="2:32" x14ac:dyDescent="0.25">
      <c r="B1814" s="106"/>
      <c r="C1814" s="106"/>
      <c r="D1814" s="106"/>
      <c r="E1814" s="106"/>
      <c r="F1814" s="106"/>
      <c r="G1814" s="106"/>
      <c r="H1814" s="106"/>
      <c r="I1814" s="106"/>
      <c r="J1814" s="106"/>
      <c r="K1814" s="106"/>
      <c r="L1814" s="106"/>
      <c r="M1814" s="106"/>
      <c r="N1814" s="106"/>
      <c r="O1814" s="106"/>
      <c r="P1814" s="106"/>
      <c r="Q1814" s="106"/>
      <c r="R1814" s="106"/>
      <c r="S1814" s="106"/>
      <c r="T1814" s="106"/>
      <c r="U1814" s="106"/>
      <c r="V1814" s="106"/>
      <c r="W1814" s="106"/>
      <c r="X1814" s="106"/>
      <c r="Y1814" s="106"/>
      <c r="Z1814" s="106"/>
      <c r="AA1814" s="106"/>
      <c r="AB1814" s="106"/>
      <c r="AC1814" s="106"/>
      <c r="AD1814" s="106"/>
      <c r="AE1814" s="106"/>
      <c r="AF1814" s="106"/>
    </row>
    <row r="1815" spans="2:32" x14ac:dyDescent="0.25">
      <c r="B1815" s="106"/>
      <c r="C1815" s="106"/>
      <c r="D1815" s="106"/>
      <c r="E1815" s="106"/>
      <c r="F1815" s="106"/>
      <c r="G1815" s="106"/>
      <c r="H1815" s="106"/>
      <c r="I1815" s="106"/>
      <c r="J1815" s="106"/>
      <c r="K1815" s="106"/>
      <c r="L1815" s="106"/>
      <c r="M1815" s="106"/>
      <c r="N1815" s="106"/>
      <c r="O1815" s="106"/>
      <c r="P1815" s="106"/>
      <c r="Q1815" s="106"/>
      <c r="R1815" s="106"/>
      <c r="S1815" s="106"/>
      <c r="T1815" s="106"/>
      <c r="U1815" s="106"/>
      <c r="V1815" s="106"/>
      <c r="W1815" s="106"/>
      <c r="X1815" s="106"/>
      <c r="Y1815" s="106"/>
      <c r="Z1815" s="106"/>
      <c r="AA1815" s="106"/>
      <c r="AB1815" s="106"/>
      <c r="AC1815" s="106"/>
      <c r="AD1815" s="106"/>
      <c r="AE1815" s="106"/>
      <c r="AF1815" s="106"/>
    </row>
    <row r="1816" spans="2:32" x14ac:dyDescent="0.25">
      <c r="B1816" s="106"/>
      <c r="C1816" s="106"/>
      <c r="D1816" s="106"/>
      <c r="E1816" s="106"/>
      <c r="F1816" s="106"/>
      <c r="G1816" s="106"/>
      <c r="H1816" s="106"/>
      <c r="I1816" s="106"/>
      <c r="J1816" s="106"/>
      <c r="K1816" s="106"/>
      <c r="L1816" s="106"/>
      <c r="M1816" s="106"/>
      <c r="N1816" s="106"/>
      <c r="O1816" s="106"/>
      <c r="P1816" s="106"/>
      <c r="Q1816" s="106"/>
      <c r="R1816" s="106"/>
      <c r="S1816" s="106"/>
      <c r="T1816" s="106"/>
      <c r="U1816" s="106"/>
      <c r="V1816" s="106"/>
      <c r="W1816" s="106"/>
      <c r="X1816" s="106"/>
      <c r="Y1816" s="106"/>
      <c r="Z1816" s="106"/>
      <c r="AA1816" s="106"/>
      <c r="AB1816" s="106"/>
      <c r="AC1816" s="106"/>
      <c r="AD1816" s="106"/>
      <c r="AE1816" s="106"/>
      <c r="AF1816" s="106"/>
    </row>
    <row r="1817" spans="2:32" x14ac:dyDescent="0.25">
      <c r="B1817" s="106"/>
      <c r="C1817" s="106"/>
      <c r="D1817" s="106"/>
      <c r="E1817" s="106"/>
      <c r="F1817" s="106"/>
      <c r="G1817" s="106"/>
      <c r="H1817" s="106"/>
      <c r="I1817" s="106"/>
      <c r="J1817" s="106"/>
      <c r="K1817" s="106"/>
      <c r="L1817" s="106"/>
      <c r="M1817" s="106"/>
      <c r="N1817" s="106"/>
      <c r="O1817" s="106"/>
      <c r="P1817" s="106"/>
      <c r="Q1817" s="106"/>
      <c r="R1817" s="106"/>
      <c r="S1817" s="106"/>
      <c r="T1817" s="106"/>
      <c r="U1817" s="106"/>
      <c r="V1817" s="106"/>
      <c r="W1817" s="106"/>
      <c r="X1817" s="106"/>
      <c r="Y1817" s="106"/>
      <c r="Z1817" s="106"/>
      <c r="AA1817" s="106"/>
      <c r="AB1817" s="106"/>
      <c r="AC1817" s="106"/>
      <c r="AD1817" s="106"/>
      <c r="AE1817" s="106"/>
      <c r="AF1817" s="106"/>
    </row>
    <row r="1818" spans="2:32" x14ac:dyDescent="0.25">
      <c r="B1818" s="106"/>
      <c r="C1818" s="106"/>
      <c r="D1818" s="106"/>
      <c r="E1818" s="106"/>
      <c r="F1818" s="106"/>
      <c r="G1818" s="106"/>
      <c r="H1818" s="106"/>
      <c r="I1818" s="106"/>
      <c r="J1818" s="106"/>
      <c r="K1818" s="106"/>
      <c r="L1818" s="106"/>
      <c r="M1818" s="106"/>
      <c r="N1818" s="106"/>
      <c r="O1818" s="106"/>
      <c r="P1818" s="106"/>
      <c r="Q1818" s="106"/>
      <c r="R1818" s="106"/>
      <c r="S1818" s="106"/>
      <c r="T1818" s="106"/>
      <c r="U1818" s="106"/>
      <c r="V1818" s="106"/>
      <c r="W1818" s="106"/>
      <c r="X1818" s="106"/>
      <c r="Y1818" s="106"/>
      <c r="Z1818" s="106"/>
      <c r="AA1818" s="106"/>
      <c r="AB1818" s="106"/>
      <c r="AC1818" s="106"/>
      <c r="AD1818" s="106"/>
      <c r="AE1818" s="106"/>
      <c r="AF1818" s="106"/>
    </row>
    <row r="1819" spans="2:32" x14ac:dyDescent="0.25">
      <c r="B1819" s="106"/>
      <c r="C1819" s="106"/>
      <c r="D1819" s="106"/>
      <c r="E1819" s="106"/>
      <c r="F1819" s="106"/>
      <c r="G1819" s="106"/>
      <c r="H1819" s="106"/>
      <c r="I1819" s="106"/>
      <c r="J1819" s="106"/>
      <c r="K1819" s="106"/>
      <c r="L1819" s="106"/>
      <c r="M1819" s="106"/>
      <c r="N1819" s="106"/>
      <c r="O1819" s="106"/>
      <c r="P1819" s="106"/>
      <c r="Q1819" s="106"/>
      <c r="R1819" s="106"/>
      <c r="S1819" s="106"/>
      <c r="T1819" s="106"/>
      <c r="U1819" s="106"/>
      <c r="V1819" s="106"/>
      <c r="W1819" s="106"/>
      <c r="X1819" s="106"/>
      <c r="Y1819" s="106"/>
      <c r="Z1819" s="106"/>
      <c r="AA1819" s="106"/>
      <c r="AB1819" s="106"/>
      <c r="AC1819" s="106"/>
      <c r="AD1819" s="106"/>
      <c r="AE1819" s="106"/>
      <c r="AF1819" s="106"/>
    </row>
    <row r="1820" spans="2:32" x14ac:dyDescent="0.25">
      <c r="B1820" s="106"/>
      <c r="C1820" s="106"/>
      <c r="D1820" s="106"/>
      <c r="E1820" s="106"/>
      <c r="F1820" s="106"/>
      <c r="G1820" s="106"/>
      <c r="H1820" s="106"/>
      <c r="I1820" s="106"/>
      <c r="J1820" s="106"/>
      <c r="K1820" s="106"/>
      <c r="L1820" s="106"/>
      <c r="M1820" s="106"/>
      <c r="N1820" s="106"/>
      <c r="O1820" s="106"/>
      <c r="P1820" s="106"/>
      <c r="Q1820" s="106"/>
      <c r="R1820" s="106"/>
      <c r="S1820" s="106"/>
      <c r="T1820" s="106"/>
      <c r="U1820" s="106"/>
      <c r="V1820" s="106"/>
      <c r="W1820" s="106"/>
      <c r="X1820" s="106"/>
      <c r="Y1820" s="106"/>
      <c r="Z1820" s="106"/>
      <c r="AA1820" s="106"/>
      <c r="AB1820" s="106"/>
      <c r="AC1820" s="106"/>
      <c r="AD1820" s="106"/>
      <c r="AE1820" s="106"/>
      <c r="AF1820" s="106"/>
    </row>
    <row r="1821" spans="2:32" x14ac:dyDescent="0.25">
      <c r="B1821" s="106"/>
      <c r="C1821" s="106"/>
      <c r="D1821" s="106"/>
      <c r="E1821" s="106"/>
      <c r="F1821" s="106"/>
      <c r="G1821" s="106"/>
      <c r="H1821" s="106"/>
      <c r="I1821" s="106"/>
      <c r="J1821" s="106"/>
      <c r="K1821" s="106"/>
      <c r="L1821" s="106"/>
      <c r="M1821" s="106"/>
      <c r="N1821" s="106"/>
      <c r="O1821" s="106"/>
      <c r="P1821" s="106"/>
      <c r="Q1821" s="106"/>
      <c r="R1821" s="106"/>
      <c r="S1821" s="106"/>
      <c r="T1821" s="106"/>
      <c r="U1821" s="106"/>
      <c r="V1821" s="106"/>
      <c r="W1821" s="106"/>
      <c r="X1821" s="106"/>
      <c r="Y1821" s="106"/>
      <c r="Z1821" s="106"/>
      <c r="AA1821" s="106"/>
      <c r="AB1821" s="106"/>
      <c r="AC1821" s="106"/>
      <c r="AD1821" s="106"/>
      <c r="AE1821" s="106"/>
      <c r="AF1821" s="106"/>
    </row>
    <row r="1822" spans="2:32" x14ac:dyDescent="0.25">
      <c r="B1822" s="106"/>
      <c r="C1822" s="106"/>
      <c r="D1822" s="106"/>
      <c r="E1822" s="106"/>
      <c r="F1822" s="106"/>
      <c r="G1822" s="106"/>
      <c r="H1822" s="106"/>
      <c r="I1822" s="106"/>
      <c r="J1822" s="106"/>
      <c r="K1822" s="106"/>
      <c r="L1822" s="106"/>
      <c r="M1822" s="106"/>
      <c r="N1822" s="106"/>
      <c r="O1822" s="106"/>
      <c r="P1822" s="106"/>
      <c r="Q1822" s="106"/>
      <c r="R1822" s="106"/>
      <c r="S1822" s="106"/>
      <c r="T1822" s="106"/>
      <c r="U1822" s="106"/>
      <c r="V1822" s="106"/>
      <c r="W1822" s="106"/>
      <c r="X1822" s="106"/>
      <c r="Y1822" s="106"/>
      <c r="Z1822" s="106"/>
      <c r="AA1822" s="106"/>
      <c r="AB1822" s="106"/>
      <c r="AC1822" s="106"/>
      <c r="AD1822" s="106"/>
      <c r="AE1822" s="106"/>
      <c r="AF1822" s="106"/>
    </row>
    <row r="1823" spans="2:32" x14ac:dyDescent="0.25">
      <c r="B1823" s="106"/>
      <c r="C1823" s="106"/>
      <c r="D1823" s="106"/>
      <c r="E1823" s="106"/>
      <c r="F1823" s="106"/>
      <c r="G1823" s="106"/>
      <c r="H1823" s="106"/>
      <c r="I1823" s="106"/>
      <c r="J1823" s="106"/>
      <c r="K1823" s="106"/>
      <c r="L1823" s="106"/>
      <c r="M1823" s="106"/>
      <c r="N1823" s="106"/>
      <c r="O1823" s="106"/>
      <c r="P1823" s="106"/>
      <c r="Q1823" s="106"/>
      <c r="R1823" s="106"/>
      <c r="S1823" s="106"/>
      <c r="T1823" s="106"/>
      <c r="U1823" s="106"/>
      <c r="V1823" s="106"/>
      <c r="W1823" s="106"/>
      <c r="X1823" s="106"/>
      <c r="Y1823" s="106"/>
      <c r="Z1823" s="106"/>
      <c r="AA1823" s="106"/>
      <c r="AB1823" s="106"/>
      <c r="AC1823" s="106"/>
      <c r="AD1823" s="106"/>
      <c r="AE1823" s="106"/>
      <c r="AF1823" s="106"/>
    </row>
    <row r="1824" spans="2:32" x14ac:dyDescent="0.25">
      <c r="B1824" s="106"/>
      <c r="C1824" s="106"/>
      <c r="D1824" s="106"/>
      <c r="E1824" s="106"/>
      <c r="F1824" s="106"/>
      <c r="G1824" s="106"/>
      <c r="H1824" s="106"/>
      <c r="I1824" s="106"/>
      <c r="J1824" s="106"/>
      <c r="K1824" s="106"/>
      <c r="L1824" s="106"/>
      <c r="M1824" s="106"/>
      <c r="N1824" s="106"/>
      <c r="O1824" s="106"/>
      <c r="P1824" s="106"/>
      <c r="Q1824" s="106"/>
      <c r="R1824" s="106"/>
      <c r="S1824" s="106"/>
      <c r="T1824" s="106"/>
      <c r="U1824" s="106"/>
      <c r="V1824" s="106"/>
      <c r="W1824" s="106"/>
      <c r="X1824" s="106"/>
      <c r="Y1824" s="106"/>
      <c r="Z1824" s="106"/>
      <c r="AA1824" s="106"/>
      <c r="AB1824" s="106"/>
      <c r="AC1824" s="106"/>
      <c r="AD1824" s="106"/>
      <c r="AE1824" s="106"/>
      <c r="AF1824" s="106"/>
    </row>
    <row r="2089" spans="2:32" x14ac:dyDescent="0.25">
      <c r="B2089" s="106"/>
      <c r="C2089" s="106"/>
      <c r="D2089" s="106"/>
      <c r="E2089" s="106"/>
      <c r="F2089" s="106"/>
      <c r="G2089" s="106"/>
      <c r="H2089" s="106"/>
      <c r="I2089" s="106"/>
      <c r="J2089" s="106"/>
      <c r="K2089" s="106"/>
      <c r="L2089" s="106"/>
      <c r="M2089" s="106"/>
      <c r="N2089" s="106"/>
      <c r="O2089" s="106"/>
      <c r="P2089" s="106"/>
      <c r="Q2089" s="106"/>
      <c r="R2089" s="106"/>
      <c r="S2089" s="106"/>
      <c r="T2089" s="106"/>
      <c r="U2089" s="106"/>
      <c r="V2089" s="106"/>
      <c r="W2089" s="106"/>
      <c r="X2089" s="106"/>
      <c r="Y2089" s="106"/>
      <c r="Z2089" s="106"/>
      <c r="AA2089" s="106"/>
      <c r="AB2089" s="106"/>
      <c r="AC2089" s="106"/>
      <c r="AD2089" s="106"/>
      <c r="AE2089" s="106"/>
      <c r="AF2089" s="106"/>
    </row>
    <row r="2090" spans="2:32" x14ac:dyDescent="0.25">
      <c r="B2090" s="135"/>
      <c r="C2090" s="135"/>
      <c r="D2090" s="135"/>
      <c r="E2090" s="135"/>
      <c r="F2090" s="135"/>
      <c r="G2090" s="135"/>
      <c r="H2090" s="135"/>
      <c r="I2090" s="135"/>
      <c r="J2090" s="135"/>
      <c r="K2090" s="135"/>
      <c r="L2090" s="135"/>
      <c r="M2090" s="135"/>
      <c r="N2090" s="135"/>
      <c r="O2090" s="135"/>
      <c r="P2090" s="135"/>
      <c r="Q2090" s="135"/>
      <c r="R2090" s="135"/>
      <c r="S2090" s="135"/>
      <c r="T2090" s="135"/>
      <c r="U2090" s="135"/>
      <c r="V2090" s="135"/>
      <c r="W2090" s="135"/>
      <c r="X2090" s="135"/>
      <c r="Y2090" s="135"/>
      <c r="Z2090" s="135"/>
      <c r="AA2090" s="135"/>
      <c r="AB2090" s="135"/>
      <c r="AC2090" s="135"/>
      <c r="AD2090" s="135"/>
      <c r="AE2090" s="135"/>
      <c r="AF2090" s="135"/>
    </row>
    <row r="2424" spans="2:32" x14ac:dyDescent="0.25">
      <c r="B2424" s="106"/>
      <c r="C2424" s="106"/>
      <c r="D2424" s="106"/>
      <c r="E2424" s="106"/>
      <c r="F2424" s="106"/>
      <c r="G2424" s="106"/>
      <c r="H2424" s="106"/>
      <c r="I2424" s="106"/>
      <c r="J2424" s="106"/>
      <c r="K2424" s="106"/>
      <c r="L2424" s="106"/>
      <c r="M2424" s="106"/>
      <c r="N2424" s="106"/>
      <c r="O2424" s="106"/>
      <c r="P2424" s="106"/>
      <c r="Q2424" s="106"/>
      <c r="R2424" s="106"/>
      <c r="S2424" s="106"/>
      <c r="T2424" s="106"/>
      <c r="U2424" s="106"/>
      <c r="V2424" s="106"/>
      <c r="W2424" s="106"/>
      <c r="X2424" s="106"/>
      <c r="Y2424" s="106"/>
      <c r="Z2424" s="106"/>
      <c r="AA2424" s="106"/>
      <c r="AB2424" s="106"/>
      <c r="AC2424" s="106"/>
      <c r="AD2424" s="106"/>
      <c r="AE2424" s="106"/>
      <c r="AF2424" s="106"/>
    </row>
    <row r="2425" spans="2:32" x14ac:dyDescent="0.25">
      <c r="B2425" s="135"/>
      <c r="C2425" s="135"/>
      <c r="D2425" s="135"/>
      <c r="E2425" s="135"/>
      <c r="F2425" s="135"/>
      <c r="G2425" s="135"/>
      <c r="H2425" s="135"/>
      <c r="I2425" s="135"/>
      <c r="J2425" s="135"/>
      <c r="K2425" s="135"/>
      <c r="L2425" s="135"/>
      <c r="M2425" s="135"/>
      <c r="N2425" s="135"/>
      <c r="O2425" s="135"/>
      <c r="P2425" s="135"/>
      <c r="Q2425" s="135"/>
      <c r="R2425" s="135"/>
      <c r="S2425" s="135"/>
      <c r="T2425" s="135"/>
      <c r="U2425" s="135"/>
      <c r="V2425" s="135"/>
      <c r="W2425" s="135"/>
      <c r="X2425" s="135"/>
      <c r="Y2425" s="135"/>
      <c r="Z2425" s="135"/>
      <c r="AA2425" s="135"/>
      <c r="AB2425" s="135"/>
      <c r="AC2425" s="135"/>
      <c r="AD2425" s="135"/>
      <c r="AE2425" s="135"/>
      <c r="AF2425" s="135"/>
    </row>
    <row r="2744" spans="2:32" x14ac:dyDescent="0.25">
      <c r="B2744" s="106"/>
      <c r="C2744" s="106"/>
      <c r="D2744" s="106"/>
      <c r="E2744" s="106"/>
      <c r="F2744" s="106"/>
      <c r="G2744" s="106"/>
      <c r="H2744" s="106"/>
      <c r="I2744" s="106"/>
      <c r="J2744" s="106"/>
      <c r="K2744" s="106"/>
      <c r="L2744" s="106"/>
      <c r="M2744" s="106"/>
      <c r="N2744" s="106"/>
      <c r="O2744" s="106"/>
      <c r="P2744" s="106"/>
      <c r="Q2744" s="106"/>
      <c r="R2744" s="106"/>
      <c r="S2744" s="106"/>
      <c r="T2744" s="106"/>
      <c r="U2744" s="106"/>
      <c r="V2744" s="106"/>
      <c r="W2744" s="106"/>
      <c r="X2744" s="106"/>
      <c r="Y2744" s="106"/>
      <c r="Z2744" s="106"/>
      <c r="AA2744" s="106"/>
      <c r="AB2744" s="106"/>
      <c r="AC2744" s="106"/>
      <c r="AD2744" s="106"/>
      <c r="AE2744" s="106"/>
      <c r="AF2744" s="106"/>
    </row>
    <row r="2745" spans="2:32" x14ac:dyDescent="0.25">
      <c r="B2745" s="135"/>
      <c r="C2745" s="135"/>
      <c r="D2745" s="135"/>
      <c r="E2745" s="135"/>
      <c r="F2745" s="135"/>
      <c r="G2745" s="135"/>
      <c r="H2745" s="135"/>
      <c r="I2745" s="135"/>
      <c r="J2745" s="135"/>
      <c r="K2745" s="135"/>
      <c r="L2745" s="135"/>
      <c r="M2745" s="135"/>
      <c r="N2745" s="135"/>
      <c r="O2745" s="135"/>
      <c r="P2745" s="135"/>
      <c r="Q2745" s="135"/>
      <c r="R2745" s="135"/>
      <c r="S2745" s="135"/>
      <c r="T2745" s="135"/>
      <c r="U2745" s="135"/>
      <c r="V2745" s="135"/>
      <c r="W2745" s="135"/>
      <c r="X2745" s="135"/>
      <c r="Y2745" s="135"/>
      <c r="Z2745" s="135"/>
      <c r="AA2745" s="135"/>
      <c r="AB2745" s="135"/>
      <c r="AC2745" s="135"/>
      <c r="AD2745" s="135"/>
      <c r="AE2745" s="135"/>
      <c r="AF2745" s="135"/>
    </row>
    <row r="2747" spans="2:32" x14ac:dyDescent="0.25">
      <c r="B2747" s="106"/>
      <c r="C2747" s="106"/>
      <c r="D2747" s="106"/>
      <c r="E2747" s="106"/>
      <c r="F2747" s="106"/>
      <c r="G2747" s="106"/>
      <c r="H2747" s="106"/>
      <c r="I2747" s="106"/>
      <c r="J2747" s="106"/>
      <c r="K2747" s="106"/>
      <c r="L2747" s="106"/>
      <c r="M2747" s="106"/>
      <c r="N2747" s="106"/>
      <c r="O2747" s="106"/>
      <c r="P2747" s="106"/>
      <c r="Q2747" s="106"/>
      <c r="R2747" s="106"/>
      <c r="S2747" s="106"/>
      <c r="T2747" s="106"/>
      <c r="U2747" s="106"/>
      <c r="V2747" s="106"/>
      <c r="W2747" s="106"/>
      <c r="X2747" s="106"/>
      <c r="Y2747" s="106"/>
      <c r="Z2747" s="106"/>
      <c r="AA2747" s="106"/>
      <c r="AB2747" s="106"/>
      <c r="AC2747" s="106"/>
      <c r="AD2747" s="106"/>
      <c r="AE2747" s="106"/>
      <c r="AF2747" s="106"/>
    </row>
    <row r="2748" spans="2:32" x14ac:dyDescent="0.25">
      <c r="B2748" s="106"/>
      <c r="C2748" s="106"/>
      <c r="D2748" s="106"/>
      <c r="E2748" s="106"/>
      <c r="F2748" s="106"/>
      <c r="G2748" s="106"/>
      <c r="H2748" s="106"/>
      <c r="I2748" s="106"/>
      <c r="J2748" s="106"/>
      <c r="K2748" s="106"/>
      <c r="L2748" s="106"/>
      <c r="M2748" s="106"/>
      <c r="N2748" s="106"/>
      <c r="O2748" s="106"/>
      <c r="P2748" s="106"/>
      <c r="Q2748" s="106"/>
      <c r="R2748" s="106"/>
      <c r="S2748" s="106"/>
      <c r="T2748" s="106"/>
      <c r="U2748" s="106"/>
      <c r="V2748" s="106"/>
      <c r="W2748" s="106"/>
      <c r="X2748" s="106"/>
      <c r="Y2748" s="106"/>
      <c r="Z2748" s="106"/>
      <c r="AA2748" s="106"/>
      <c r="AB2748" s="106"/>
      <c r="AC2748" s="106"/>
      <c r="AD2748" s="106"/>
      <c r="AE2748" s="106"/>
      <c r="AF2748" s="106"/>
    </row>
    <row r="2749" spans="2:32" x14ac:dyDescent="0.25">
      <c r="B2749" s="106"/>
      <c r="C2749" s="106"/>
      <c r="D2749" s="106"/>
      <c r="E2749" s="106"/>
      <c r="F2749" s="106"/>
      <c r="G2749" s="106"/>
      <c r="H2749" s="106"/>
      <c r="I2749" s="106"/>
      <c r="J2749" s="106"/>
      <c r="K2749" s="106"/>
      <c r="L2749" s="106"/>
      <c r="M2749" s="106"/>
      <c r="N2749" s="106"/>
      <c r="O2749" s="106"/>
      <c r="P2749" s="106"/>
      <c r="Q2749" s="106"/>
      <c r="R2749" s="106"/>
      <c r="S2749" s="106"/>
      <c r="T2749" s="106"/>
      <c r="U2749" s="106"/>
      <c r="V2749" s="106"/>
      <c r="W2749" s="106"/>
      <c r="X2749" s="106"/>
      <c r="Y2749" s="106"/>
      <c r="Z2749" s="106"/>
      <c r="AA2749" s="106"/>
      <c r="AB2749" s="106"/>
      <c r="AC2749" s="106"/>
      <c r="AD2749" s="106"/>
      <c r="AE2749" s="106"/>
      <c r="AF2749" s="106"/>
    </row>
    <row r="2750" spans="2:32" x14ac:dyDescent="0.25">
      <c r="B2750" s="106"/>
      <c r="C2750" s="106"/>
      <c r="D2750" s="106"/>
      <c r="E2750" s="106"/>
      <c r="F2750" s="106"/>
      <c r="G2750" s="106"/>
      <c r="H2750" s="106"/>
      <c r="I2750" s="106"/>
      <c r="J2750" s="106"/>
      <c r="K2750" s="106"/>
      <c r="L2750" s="106"/>
      <c r="M2750" s="106"/>
      <c r="N2750" s="106"/>
      <c r="O2750" s="106"/>
      <c r="P2750" s="106"/>
      <c r="Q2750" s="106"/>
      <c r="R2750" s="106"/>
      <c r="S2750" s="106"/>
      <c r="T2750" s="106"/>
      <c r="U2750" s="106"/>
      <c r="V2750" s="106"/>
      <c r="W2750" s="106"/>
      <c r="X2750" s="106"/>
      <c r="Y2750" s="106"/>
      <c r="Z2750" s="106"/>
      <c r="AA2750" s="106"/>
      <c r="AB2750" s="106"/>
      <c r="AC2750" s="106"/>
      <c r="AD2750" s="106"/>
      <c r="AE2750" s="106"/>
      <c r="AF2750" s="106"/>
    </row>
    <row r="2751" spans="2:32" x14ac:dyDescent="0.25">
      <c r="B2751" s="106"/>
      <c r="C2751" s="106"/>
      <c r="D2751" s="106"/>
      <c r="E2751" s="106"/>
      <c r="F2751" s="106"/>
      <c r="G2751" s="106"/>
      <c r="H2751" s="106"/>
      <c r="I2751" s="106"/>
      <c r="J2751" s="106"/>
      <c r="K2751" s="106"/>
      <c r="L2751" s="106"/>
      <c r="M2751" s="106"/>
      <c r="N2751" s="106"/>
      <c r="O2751" s="106"/>
      <c r="P2751" s="106"/>
      <c r="Q2751" s="106"/>
      <c r="R2751" s="106"/>
      <c r="S2751" s="106"/>
      <c r="T2751" s="106"/>
      <c r="U2751" s="106"/>
      <c r="V2751" s="106"/>
      <c r="W2751" s="106"/>
      <c r="X2751" s="106"/>
      <c r="Y2751" s="106"/>
      <c r="Z2751" s="106"/>
      <c r="AA2751" s="106"/>
      <c r="AB2751" s="106"/>
      <c r="AC2751" s="106"/>
      <c r="AD2751" s="106"/>
      <c r="AE2751" s="106"/>
      <c r="AF2751" s="106"/>
    </row>
    <row r="2752" spans="2:32" x14ac:dyDescent="0.25">
      <c r="B2752" s="106"/>
      <c r="C2752" s="106"/>
      <c r="D2752" s="106"/>
      <c r="E2752" s="106"/>
      <c r="F2752" s="106"/>
      <c r="G2752" s="106"/>
      <c r="H2752" s="106"/>
      <c r="I2752" s="106"/>
      <c r="J2752" s="106"/>
      <c r="K2752" s="106"/>
      <c r="L2752" s="106"/>
      <c r="M2752" s="106"/>
      <c r="N2752" s="106"/>
      <c r="O2752" s="106"/>
      <c r="P2752" s="106"/>
      <c r="Q2752" s="106"/>
      <c r="R2752" s="106"/>
      <c r="S2752" s="106"/>
      <c r="T2752" s="106"/>
      <c r="U2752" s="106"/>
      <c r="V2752" s="106"/>
      <c r="W2752" s="106"/>
      <c r="X2752" s="106"/>
      <c r="Y2752" s="106"/>
      <c r="Z2752" s="106"/>
      <c r="AA2752" s="106"/>
      <c r="AB2752" s="106"/>
      <c r="AC2752" s="106"/>
      <c r="AD2752" s="106"/>
      <c r="AE2752" s="106"/>
      <c r="AF2752" s="106"/>
    </row>
    <row r="3075" spans="2:32" x14ac:dyDescent="0.25">
      <c r="B3075" s="106"/>
      <c r="C3075" s="106"/>
      <c r="D3075" s="106"/>
      <c r="E3075" s="106"/>
      <c r="F3075" s="106"/>
      <c r="G3075" s="106"/>
      <c r="H3075" s="106"/>
      <c r="I3075" s="106"/>
      <c r="J3075" s="106"/>
      <c r="K3075" s="106"/>
      <c r="L3075" s="106"/>
      <c r="M3075" s="106"/>
      <c r="N3075" s="106"/>
      <c r="O3075" s="106"/>
      <c r="P3075" s="106"/>
      <c r="Q3075" s="106"/>
      <c r="R3075" s="106"/>
      <c r="S3075" s="106"/>
      <c r="T3075" s="106"/>
      <c r="U3075" s="106"/>
      <c r="V3075" s="106"/>
      <c r="W3075" s="106"/>
      <c r="X3075" s="106"/>
      <c r="Y3075" s="106"/>
      <c r="Z3075" s="106"/>
      <c r="AA3075" s="106"/>
      <c r="AB3075" s="106"/>
      <c r="AC3075" s="106"/>
      <c r="AD3075" s="106"/>
      <c r="AE3075" s="106"/>
      <c r="AF3075" s="106"/>
    </row>
    <row r="3076" spans="2:32" x14ac:dyDescent="0.25">
      <c r="B3076" s="135"/>
      <c r="C3076" s="135"/>
      <c r="D3076" s="135"/>
      <c r="E3076" s="135"/>
      <c r="F3076" s="135"/>
      <c r="G3076" s="135"/>
      <c r="H3076" s="135"/>
      <c r="I3076" s="135"/>
      <c r="J3076" s="135"/>
      <c r="K3076" s="135"/>
      <c r="L3076" s="135"/>
      <c r="M3076" s="135"/>
      <c r="N3076" s="135"/>
      <c r="O3076" s="135"/>
      <c r="P3076" s="135"/>
      <c r="Q3076" s="135"/>
      <c r="R3076" s="135"/>
      <c r="S3076" s="135"/>
      <c r="T3076" s="135"/>
      <c r="U3076" s="135"/>
      <c r="V3076" s="135"/>
      <c r="W3076" s="135"/>
      <c r="X3076" s="135"/>
      <c r="Y3076" s="135"/>
      <c r="Z3076" s="135"/>
      <c r="AA3076" s="135"/>
      <c r="AB3076" s="135"/>
      <c r="AC3076" s="135"/>
      <c r="AD3076" s="135"/>
      <c r="AE3076" s="135"/>
      <c r="AF3076" s="135"/>
    </row>
    <row r="3079" spans="2:32" x14ac:dyDescent="0.25">
      <c r="B3079" s="106"/>
      <c r="C3079" s="106"/>
      <c r="D3079" s="106"/>
      <c r="E3079" s="106"/>
      <c r="F3079" s="106"/>
      <c r="G3079" s="106"/>
      <c r="H3079" s="106"/>
      <c r="I3079" s="106"/>
      <c r="J3079" s="106"/>
      <c r="K3079" s="106"/>
      <c r="L3079" s="106"/>
      <c r="M3079" s="106"/>
      <c r="N3079" s="106"/>
      <c r="O3079" s="106"/>
      <c r="P3079" s="106"/>
      <c r="Q3079" s="106"/>
      <c r="R3079" s="106"/>
      <c r="S3079" s="106"/>
      <c r="T3079" s="106"/>
      <c r="U3079" s="106"/>
      <c r="V3079" s="106"/>
      <c r="W3079" s="106"/>
      <c r="X3079" s="106"/>
      <c r="Y3079" s="106"/>
      <c r="Z3079" s="106"/>
      <c r="AA3079" s="106"/>
      <c r="AB3079" s="106"/>
      <c r="AC3079" s="106"/>
      <c r="AD3079" s="106"/>
      <c r="AE3079" s="106"/>
      <c r="AF3079" s="106"/>
    </row>
    <row r="3080" spans="2:32" x14ac:dyDescent="0.25">
      <c r="B3080" s="106"/>
      <c r="C3080" s="106"/>
      <c r="D3080" s="106"/>
      <c r="E3080" s="106"/>
      <c r="F3080" s="106"/>
      <c r="G3080" s="106"/>
      <c r="H3080" s="106"/>
      <c r="I3080" s="106"/>
      <c r="J3080" s="106"/>
      <c r="K3080" s="106"/>
      <c r="L3080" s="106"/>
      <c r="M3080" s="106"/>
      <c r="N3080" s="106"/>
      <c r="O3080" s="106"/>
      <c r="P3080" s="106"/>
      <c r="Q3080" s="106"/>
      <c r="R3080" s="106"/>
      <c r="S3080" s="106"/>
      <c r="T3080" s="106"/>
      <c r="U3080" s="106"/>
      <c r="V3080" s="106"/>
      <c r="W3080" s="106"/>
      <c r="X3080" s="106"/>
      <c r="Y3080" s="106"/>
      <c r="Z3080" s="106"/>
      <c r="AA3080" s="106"/>
      <c r="AB3080" s="106"/>
      <c r="AC3080" s="106"/>
      <c r="AD3080" s="106"/>
      <c r="AE3080" s="106"/>
      <c r="AF3080" s="106"/>
    </row>
    <row r="3081" spans="2:32" x14ac:dyDescent="0.25">
      <c r="B3081" s="106"/>
      <c r="C3081" s="106"/>
      <c r="D3081" s="106"/>
      <c r="E3081" s="106"/>
      <c r="F3081" s="106"/>
      <c r="G3081" s="106"/>
      <c r="H3081" s="106"/>
      <c r="I3081" s="106"/>
      <c r="J3081" s="106"/>
      <c r="K3081" s="106"/>
      <c r="L3081" s="106"/>
      <c r="M3081" s="106"/>
      <c r="N3081" s="106"/>
      <c r="O3081" s="106"/>
      <c r="P3081" s="106"/>
      <c r="Q3081" s="106"/>
      <c r="R3081" s="106"/>
      <c r="S3081" s="106"/>
      <c r="T3081" s="106"/>
      <c r="U3081" s="106"/>
      <c r="V3081" s="106"/>
      <c r="W3081" s="106"/>
      <c r="X3081" s="106"/>
      <c r="Y3081" s="106"/>
      <c r="Z3081" s="106"/>
      <c r="AA3081" s="106"/>
      <c r="AB3081" s="106"/>
      <c r="AC3081" s="106"/>
      <c r="AD3081" s="106"/>
      <c r="AE3081" s="106"/>
      <c r="AF3081" s="106"/>
    </row>
    <row r="3082" spans="2:32" x14ac:dyDescent="0.25">
      <c r="B3082" s="106"/>
      <c r="C3082" s="106"/>
      <c r="D3082" s="106"/>
      <c r="E3082" s="106"/>
      <c r="F3082" s="106"/>
      <c r="G3082" s="106"/>
      <c r="H3082" s="106"/>
      <c r="I3082" s="106"/>
      <c r="J3082" s="106"/>
      <c r="K3082" s="106"/>
      <c r="L3082" s="106"/>
      <c r="M3082" s="106"/>
      <c r="N3082" s="106"/>
      <c r="O3082" s="106"/>
      <c r="P3082" s="106"/>
      <c r="Q3082" s="106"/>
      <c r="R3082" s="106"/>
      <c r="S3082" s="106"/>
      <c r="T3082" s="106"/>
      <c r="U3082" s="106"/>
      <c r="V3082" s="106"/>
      <c r="W3082" s="106"/>
      <c r="X3082" s="106"/>
      <c r="Y3082" s="106"/>
      <c r="Z3082" s="106"/>
      <c r="AA3082" s="106"/>
      <c r="AB3082" s="106"/>
      <c r="AC3082" s="106"/>
      <c r="AD3082" s="106"/>
      <c r="AE3082" s="106"/>
      <c r="AF3082" s="106"/>
    </row>
    <row r="3083" spans="2:32" x14ac:dyDescent="0.25">
      <c r="B3083" s="106"/>
      <c r="C3083" s="106"/>
      <c r="D3083" s="106"/>
      <c r="E3083" s="106"/>
      <c r="F3083" s="106"/>
      <c r="G3083" s="106"/>
      <c r="H3083" s="106"/>
      <c r="I3083" s="106"/>
      <c r="J3083" s="106"/>
      <c r="K3083" s="106"/>
      <c r="L3083" s="106"/>
      <c r="M3083" s="106"/>
      <c r="N3083" s="106"/>
      <c r="O3083" s="106"/>
      <c r="P3083" s="106"/>
      <c r="Q3083" s="106"/>
      <c r="R3083" s="106"/>
      <c r="S3083" s="106"/>
      <c r="T3083" s="106"/>
      <c r="U3083" s="106"/>
      <c r="V3083" s="106"/>
      <c r="W3083" s="106"/>
      <c r="X3083" s="106"/>
      <c r="Y3083" s="106"/>
      <c r="Z3083" s="106"/>
      <c r="AA3083" s="106"/>
      <c r="AB3083" s="106"/>
      <c r="AC3083" s="106"/>
      <c r="AD3083" s="106"/>
      <c r="AE3083" s="106"/>
      <c r="AF3083" s="106"/>
    </row>
    <row r="3084" spans="2:32" x14ac:dyDescent="0.25">
      <c r="B3084" s="106"/>
      <c r="C3084" s="106"/>
      <c r="D3084" s="106"/>
      <c r="E3084" s="106"/>
      <c r="F3084" s="106"/>
      <c r="G3084" s="106"/>
      <c r="H3084" s="106"/>
      <c r="I3084" s="106"/>
      <c r="J3084" s="106"/>
      <c r="K3084" s="106"/>
      <c r="L3084" s="106"/>
      <c r="M3084" s="106"/>
      <c r="N3084" s="106"/>
      <c r="O3084" s="106"/>
      <c r="P3084" s="106"/>
      <c r="Q3084" s="106"/>
      <c r="R3084" s="106"/>
      <c r="S3084" s="106"/>
      <c r="T3084" s="106"/>
      <c r="U3084" s="106"/>
      <c r="V3084" s="106"/>
      <c r="W3084" s="106"/>
      <c r="X3084" s="106"/>
      <c r="Y3084" s="106"/>
      <c r="Z3084" s="106"/>
      <c r="AA3084" s="106"/>
      <c r="AB3084" s="106"/>
      <c r="AC3084" s="106"/>
      <c r="AD3084" s="106"/>
      <c r="AE3084" s="106"/>
      <c r="AF3084" s="106"/>
    </row>
    <row r="3085" spans="2:32" x14ac:dyDescent="0.25">
      <c r="B3085" s="106"/>
      <c r="C3085" s="106"/>
      <c r="D3085" s="106"/>
      <c r="E3085" s="106"/>
      <c r="F3085" s="106"/>
      <c r="G3085" s="106"/>
      <c r="H3085" s="106"/>
      <c r="I3085" s="106"/>
      <c r="J3085" s="106"/>
      <c r="K3085" s="106"/>
      <c r="L3085" s="106"/>
      <c r="M3085" s="106"/>
      <c r="N3085" s="106"/>
      <c r="O3085" s="106"/>
      <c r="P3085" s="106"/>
      <c r="Q3085" s="106"/>
      <c r="R3085" s="106"/>
      <c r="S3085" s="106"/>
      <c r="T3085" s="106"/>
      <c r="U3085" s="106"/>
      <c r="V3085" s="106"/>
      <c r="W3085" s="106"/>
      <c r="X3085" s="106"/>
      <c r="Y3085" s="106"/>
      <c r="Z3085" s="106"/>
      <c r="AA3085" s="106"/>
      <c r="AB3085" s="106"/>
      <c r="AC3085" s="106"/>
      <c r="AD3085" s="106"/>
      <c r="AE3085" s="106"/>
      <c r="AF3085" s="106"/>
    </row>
    <row r="3086" spans="2:32" x14ac:dyDescent="0.25">
      <c r="B3086" s="106"/>
      <c r="C3086" s="106"/>
      <c r="D3086" s="106"/>
      <c r="E3086" s="106"/>
      <c r="F3086" s="106"/>
      <c r="G3086" s="106"/>
      <c r="H3086" s="106"/>
      <c r="I3086" s="106"/>
      <c r="J3086" s="106"/>
      <c r="K3086" s="106"/>
      <c r="L3086" s="106"/>
      <c r="M3086" s="106"/>
      <c r="N3086" s="106"/>
      <c r="O3086" s="106"/>
      <c r="P3086" s="106"/>
      <c r="Q3086" s="106"/>
      <c r="R3086" s="106"/>
      <c r="S3086" s="106"/>
      <c r="T3086" s="106"/>
      <c r="U3086" s="106"/>
      <c r="V3086" s="106"/>
      <c r="W3086" s="106"/>
      <c r="X3086" s="106"/>
      <c r="Y3086" s="106"/>
      <c r="Z3086" s="106"/>
      <c r="AA3086" s="106"/>
      <c r="AB3086" s="106"/>
      <c r="AC3086" s="106"/>
      <c r="AD3086" s="106"/>
      <c r="AE3086" s="106"/>
      <c r="AF3086" s="106"/>
    </row>
    <row r="3087" spans="2:32" x14ac:dyDescent="0.25">
      <c r="B3087" s="106"/>
      <c r="C3087" s="106"/>
      <c r="D3087" s="106"/>
      <c r="E3087" s="106"/>
      <c r="F3087" s="106"/>
      <c r="G3087" s="106"/>
      <c r="H3087" s="106"/>
      <c r="I3087" s="106"/>
      <c r="J3087" s="106"/>
      <c r="K3087" s="106"/>
      <c r="L3087" s="106"/>
      <c r="M3087" s="106"/>
      <c r="N3087" s="106"/>
      <c r="O3087" s="106"/>
      <c r="P3087" s="106"/>
      <c r="Q3087" s="106"/>
      <c r="R3087" s="106"/>
      <c r="S3087" s="106"/>
      <c r="T3087" s="106"/>
      <c r="U3087" s="106"/>
      <c r="V3087" s="106"/>
      <c r="W3087" s="106"/>
      <c r="X3087" s="106"/>
      <c r="Y3087" s="106"/>
      <c r="Z3087" s="106"/>
      <c r="AA3087" s="106"/>
      <c r="AB3087" s="106"/>
      <c r="AC3087" s="106"/>
      <c r="AD3087" s="106"/>
      <c r="AE3087" s="106"/>
      <c r="AF3087" s="106"/>
    </row>
    <row r="3088" spans="2:32" x14ac:dyDescent="0.25">
      <c r="B3088" s="106"/>
      <c r="C3088" s="106"/>
      <c r="D3088" s="106"/>
      <c r="E3088" s="106"/>
      <c r="F3088" s="106"/>
      <c r="G3088" s="106"/>
      <c r="H3088" s="106"/>
      <c r="I3088" s="106"/>
      <c r="J3088" s="106"/>
      <c r="K3088" s="106"/>
      <c r="L3088" s="106"/>
      <c r="M3088" s="106"/>
      <c r="N3088" s="106"/>
      <c r="O3088" s="106"/>
      <c r="P3088" s="106"/>
      <c r="Q3088" s="106"/>
      <c r="R3088" s="106"/>
      <c r="S3088" s="106"/>
      <c r="T3088" s="106"/>
      <c r="U3088" s="106"/>
      <c r="V3088" s="106"/>
      <c r="W3088" s="106"/>
      <c r="X3088" s="106"/>
      <c r="Y3088" s="106"/>
      <c r="Z3088" s="106"/>
      <c r="AA3088" s="106"/>
      <c r="AB3088" s="106"/>
      <c r="AC3088" s="106"/>
      <c r="AD3088" s="106"/>
      <c r="AE3088" s="106"/>
      <c r="AF3088" s="106"/>
    </row>
    <row r="3393" spans="2:32" x14ac:dyDescent="0.25">
      <c r="B3393" s="135"/>
      <c r="C3393" s="135"/>
      <c r="D3393" s="135"/>
      <c r="E3393" s="135"/>
      <c r="F3393" s="135"/>
      <c r="G3393" s="135"/>
      <c r="H3393" s="135"/>
      <c r="I3393" s="135"/>
      <c r="J3393" s="135"/>
      <c r="K3393" s="135"/>
      <c r="L3393" s="135"/>
      <c r="M3393" s="135"/>
      <c r="N3393" s="135"/>
      <c r="O3393" s="135"/>
      <c r="P3393" s="135"/>
      <c r="Q3393" s="135"/>
      <c r="R3393" s="135"/>
      <c r="S3393" s="135"/>
      <c r="T3393" s="135"/>
      <c r="U3393" s="135"/>
      <c r="V3393" s="135"/>
      <c r="W3393" s="135"/>
      <c r="X3393" s="135"/>
      <c r="Y3393" s="135"/>
      <c r="Z3393" s="135"/>
      <c r="AA3393" s="135"/>
      <c r="AB3393" s="135"/>
      <c r="AC3393" s="135"/>
      <c r="AD3393" s="135"/>
      <c r="AE3393" s="135"/>
      <c r="AF3393" s="135"/>
    </row>
    <row r="3394" spans="2:32" x14ac:dyDescent="0.25">
      <c r="B3394" s="106"/>
      <c r="C3394" s="106"/>
      <c r="D3394" s="106"/>
      <c r="E3394" s="106"/>
      <c r="F3394" s="106"/>
      <c r="G3394" s="106"/>
      <c r="H3394" s="106"/>
      <c r="I3394" s="106"/>
      <c r="J3394" s="106"/>
      <c r="K3394" s="106"/>
      <c r="L3394" s="106"/>
      <c r="M3394" s="106"/>
      <c r="N3394" s="106"/>
      <c r="O3394" s="106"/>
      <c r="P3394" s="106"/>
      <c r="Q3394" s="106"/>
      <c r="R3394" s="106"/>
      <c r="S3394" s="106"/>
      <c r="T3394" s="106"/>
      <c r="U3394" s="106"/>
      <c r="V3394" s="106"/>
      <c r="W3394" s="106"/>
      <c r="X3394" s="106"/>
      <c r="Y3394" s="106"/>
      <c r="Z3394" s="106"/>
      <c r="AA3394" s="106"/>
      <c r="AB3394" s="106"/>
      <c r="AC3394" s="106"/>
      <c r="AD3394" s="106"/>
      <c r="AE3394" s="106"/>
      <c r="AF3394" s="106"/>
    </row>
    <row r="3395" spans="2:32" x14ac:dyDescent="0.25">
      <c r="B3395" s="106"/>
      <c r="C3395" s="106"/>
      <c r="D3395" s="106"/>
      <c r="E3395" s="106"/>
      <c r="F3395" s="106"/>
      <c r="G3395" s="106"/>
      <c r="H3395" s="106"/>
      <c r="I3395" s="106"/>
      <c r="J3395" s="106"/>
      <c r="K3395" s="106"/>
      <c r="L3395" s="106"/>
      <c r="M3395" s="106"/>
      <c r="N3395" s="106"/>
      <c r="O3395" s="106"/>
      <c r="P3395" s="106"/>
      <c r="Q3395" s="106"/>
      <c r="R3395" s="106"/>
      <c r="S3395" s="106"/>
      <c r="T3395" s="106"/>
      <c r="U3395" s="106"/>
      <c r="V3395" s="106"/>
      <c r="W3395" s="106"/>
      <c r="X3395" s="106"/>
      <c r="Y3395" s="106"/>
      <c r="Z3395" s="106"/>
      <c r="AA3395" s="106"/>
      <c r="AB3395" s="106"/>
      <c r="AC3395" s="106"/>
      <c r="AD3395" s="106"/>
      <c r="AE3395" s="106"/>
      <c r="AF3395" s="106"/>
    </row>
    <row r="3396" spans="2:32" x14ac:dyDescent="0.25">
      <c r="B3396" s="106"/>
      <c r="C3396" s="106"/>
      <c r="D3396" s="106"/>
      <c r="E3396" s="106"/>
      <c r="F3396" s="106"/>
      <c r="G3396" s="106"/>
      <c r="H3396" s="106"/>
      <c r="I3396" s="106"/>
      <c r="J3396" s="106"/>
      <c r="K3396" s="106"/>
      <c r="L3396" s="106"/>
      <c r="M3396" s="106"/>
      <c r="N3396" s="106"/>
      <c r="O3396" s="106"/>
      <c r="P3396" s="106"/>
      <c r="Q3396" s="106"/>
      <c r="R3396" s="106"/>
      <c r="S3396" s="106"/>
      <c r="T3396" s="106"/>
      <c r="U3396" s="106"/>
      <c r="V3396" s="106"/>
      <c r="W3396" s="106"/>
      <c r="X3396" s="106"/>
      <c r="Y3396" s="106"/>
      <c r="Z3396" s="106"/>
      <c r="AA3396" s="106"/>
      <c r="AB3396" s="106"/>
      <c r="AC3396" s="106"/>
      <c r="AD3396" s="106"/>
      <c r="AE3396" s="106"/>
      <c r="AF3396" s="106"/>
    </row>
    <row r="3397" spans="2:32" x14ac:dyDescent="0.25">
      <c r="B3397" s="106"/>
      <c r="C3397" s="106"/>
      <c r="D3397" s="106"/>
      <c r="E3397" s="106"/>
      <c r="F3397" s="106"/>
      <c r="G3397" s="106"/>
      <c r="H3397" s="106"/>
      <c r="I3397" s="106"/>
      <c r="J3397" s="106"/>
      <c r="K3397" s="106"/>
      <c r="L3397" s="106"/>
      <c r="M3397" s="106"/>
      <c r="N3397" s="106"/>
      <c r="O3397" s="106"/>
      <c r="P3397" s="106"/>
      <c r="Q3397" s="106"/>
      <c r="R3397" s="106"/>
      <c r="S3397" s="106"/>
      <c r="T3397" s="106"/>
      <c r="U3397" s="106"/>
      <c r="V3397" s="106"/>
      <c r="W3397" s="106"/>
      <c r="X3397" s="106"/>
      <c r="Y3397" s="106"/>
      <c r="Z3397" s="106"/>
      <c r="AA3397" s="106"/>
      <c r="AB3397" s="106"/>
      <c r="AC3397" s="106"/>
      <c r="AD3397" s="106"/>
      <c r="AE3397" s="106"/>
      <c r="AF3397" s="106"/>
    </row>
    <row r="3398" spans="2:32" x14ac:dyDescent="0.25">
      <c r="B3398" s="106"/>
      <c r="C3398" s="106"/>
      <c r="D3398" s="106"/>
      <c r="E3398" s="106"/>
      <c r="F3398" s="106"/>
      <c r="G3398" s="106"/>
      <c r="H3398" s="106"/>
      <c r="I3398" s="106"/>
      <c r="J3398" s="106"/>
      <c r="K3398" s="106"/>
      <c r="L3398" s="106"/>
      <c r="M3398" s="106"/>
      <c r="N3398" s="106"/>
      <c r="O3398" s="106"/>
      <c r="P3398" s="106"/>
      <c r="Q3398" s="106"/>
      <c r="R3398" s="106"/>
      <c r="S3398" s="106"/>
      <c r="T3398" s="106"/>
      <c r="U3398" s="106"/>
      <c r="V3398" s="106"/>
      <c r="W3398" s="106"/>
      <c r="X3398" s="106"/>
      <c r="Y3398" s="106"/>
      <c r="Z3398" s="106"/>
      <c r="AA3398" s="106"/>
      <c r="AB3398" s="106"/>
      <c r="AC3398" s="106"/>
      <c r="AD3398" s="106"/>
      <c r="AE3398" s="106"/>
      <c r="AF3398" s="106"/>
    </row>
    <row r="3399" spans="2:32" x14ac:dyDescent="0.25">
      <c r="B3399" s="106"/>
      <c r="C3399" s="106"/>
      <c r="D3399" s="106"/>
      <c r="E3399" s="106"/>
      <c r="F3399" s="106"/>
      <c r="G3399" s="106"/>
      <c r="H3399" s="106"/>
      <c r="I3399" s="106"/>
      <c r="J3399" s="106"/>
      <c r="K3399" s="106"/>
      <c r="L3399" s="106"/>
      <c r="M3399" s="106"/>
      <c r="N3399" s="106"/>
      <c r="O3399" s="106"/>
      <c r="P3399" s="106"/>
      <c r="Q3399" s="106"/>
      <c r="R3399" s="106"/>
      <c r="S3399" s="106"/>
      <c r="T3399" s="106"/>
      <c r="U3399" s="106"/>
      <c r="V3399" s="106"/>
      <c r="W3399" s="106"/>
      <c r="X3399" s="106"/>
      <c r="Y3399" s="106"/>
      <c r="Z3399" s="106"/>
      <c r="AA3399" s="106"/>
      <c r="AB3399" s="106"/>
      <c r="AC3399" s="106"/>
      <c r="AD3399" s="106"/>
      <c r="AE3399" s="106"/>
      <c r="AF3399" s="106"/>
    </row>
    <row r="3400" spans="2:32" x14ac:dyDescent="0.25">
      <c r="B3400" s="106"/>
      <c r="C3400" s="106"/>
      <c r="D3400" s="106"/>
      <c r="E3400" s="106"/>
      <c r="F3400" s="106"/>
      <c r="G3400" s="106"/>
      <c r="H3400" s="106"/>
      <c r="I3400" s="106"/>
      <c r="J3400" s="106"/>
      <c r="K3400" s="106"/>
      <c r="L3400" s="106"/>
      <c r="M3400" s="106"/>
      <c r="N3400" s="106"/>
      <c r="O3400" s="106"/>
      <c r="P3400" s="106"/>
      <c r="Q3400" s="106"/>
      <c r="R3400" s="106"/>
      <c r="S3400" s="106"/>
      <c r="T3400" s="106"/>
      <c r="U3400" s="106"/>
      <c r="V3400" s="106"/>
      <c r="W3400" s="106"/>
      <c r="X3400" s="106"/>
      <c r="Y3400" s="106"/>
      <c r="Z3400" s="106"/>
      <c r="AA3400" s="106"/>
      <c r="AB3400" s="106"/>
      <c r="AC3400" s="106"/>
      <c r="AD3400" s="106"/>
      <c r="AE3400" s="106"/>
      <c r="AF3400" s="106"/>
    </row>
    <row r="3401" spans="2:32" x14ac:dyDescent="0.25">
      <c r="B3401" s="106"/>
      <c r="C3401" s="106"/>
      <c r="D3401" s="106"/>
      <c r="E3401" s="106"/>
      <c r="F3401" s="106"/>
      <c r="G3401" s="106"/>
      <c r="H3401" s="106"/>
      <c r="I3401" s="106"/>
      <c r="J3401" s="106"/>
      <c r="K3401" s="106"/>
      <c r="L3401" s="106"/>
      <c r="M3401" s="106"/>
      <c r="N3401" s="106"/>
      <c r="O3401" s="106"/>
      <c r="P3401" s="106"/>
      <c r="Q3401" s="106"/>
      <c r="R3401" s="106"/>
      <c r="S3401" s="106"/>
      <c r="T3401" s="106"/>
      <c r="U3401" s="106"/>
      <c r="V3401" s="106"/>
      <c r="W3401" s="106"/>
      <c r="X3401" s="106"/>
      <c r="Y3401" s="106"/>
      <c r="Z3401" s="106"/>
      <c r="AA3401" s="106"/>
      <c r="AB3401" s="106"/>
      <c r="AC3401" s="106"/>
      <c r="AD3401" s="106"/>
      <c r="AE3401" s="106"/>
      <c r="AF3401" s="106"/>
    </row>
    <row r="3402" spans="2:32" x14ac:dyDescent="0.25">
      <c r="B3402" s="106"/>
      <c r="C3402" s="106"/>
      <c r="D3402" s="106"/>
      <c r="E3402" s="106"/>
      <c r="F3402" s="106"/>
      <c r="G3402" s="106"/>
      <c r="H3402" s="106"/>
      <c r="I3402" s="106"/>
      <c r="J3402" s="106"/>
      <c r="K3402" s="106"/>
      <c r="L3402" s="106"/>
      <c r="M3402" s="106"/>
      <c r="N3402" s="106"/>
      <c r="O3402" s="106"/>
      <c r="P3402" s="106"/>
      <c r="Q3402" s="106"/>
      <c r="R3402" s="106"/>
      <c r="S3402" s="106"/>
      <c r="T3402" s="106"/>
      <c r="U3402" s="106"/>
      <c r="V3402" s="106"/>
      <c r="W3402" s="106"/>
      <c r="X3402" s="106"/>
      <c r="Y3402" s="106"/>
      <c r="Z3402" s="106"/>
      <c r="AA3402" s="106"/>
      <c r="AB3402" s="106"/>
      <c r="AC3402" s="106"/>
      <c r="AD3402" s="106"/>
      <c r="AE3402" s="106"/>
      <c r="AF3402" s="106"/>
    </row>
    <row r="3403" spans="2:32" x14ac:dyDescent="0.25">
      <c r="B3403" s="106"/>
      <c r="C3403" s="106"/>
      <c r="D3403" s="106"/>
      <c r="E3403" s="106"/>
      <c r="F3403" s="106"/>
      <c r="G3403" s="106"/>
      <c r="H3403" s="106"/>
      <c r="I3403" s="106"/>
      <c r="J3403" s="106"/>
      <c r="K3403" s="106"/>
      <c r="L3403" s="106"/>
      <c r="M3403" s="106"/>
      <c r="N3403" s="106"/>
      <c r="O3403" s="106"/>
      <c r="P3403" s="106"/>
      <c r="Q3403" s="106"/>
      <c r="R3403" s="106"/>
      <c r="S3403" s="106"/>
      <c r="T3403" s="106"/>
      <c r="U3403" s="106"/>
      <c r="V3403" s="106"/>
      <c r="W3403" s="106"/>
      <c r="X3403" s="106"/>
      <c r="Y3403" s="106"/>
      <c r="Z3403" s="106"/>
      <c r="AA3403" s="106"/>
      <c r="AB3403" s="106"/>
      <c r="AC3403" s="106"/>
      <c r="AD3403" s="106"/>
      <c r="AE3403" s="106"/>
      <c r="AF3403" s="106"/>
    </row>
    <row r="3404" spans="2:32" x14ac:dyDescent="0.25">
      <c r="B3404" s="106"/>
      <c r="C3404" s="106"/>
      <c r="D3404" s="106"/>
      <c r="E3404" s="106"/>
      <c r="F3404" s="106"/>
      <c r="G3404" s="106"/>
      <c r="H3404" s="106"/>
      <c r="I3404" s="106"/>
      <c r="J3404" s="106"/>
      <c r="K3404" s="106"/>
      <c r="L3404" s="106"/>
      <c r="M3404" s="106"/>
      <c r="N3404" s="106"/>
      <c r="O3404" s="106"/>
      <c r="P3404" s="106"/>
      <c r="Q3404" s="106"/>
      <c r="R3404" s="106"/>
      <c r="S3404" s="106"/>
      <c r="T3404" s="106"/>
      <c r="U3404" s="106"/>
      <c r="V3404" s="106"/>
      <c r="W3404" s="106"/>
      <c r="X3404" s="106"/>
      <c r="Y3404" s="106"/>
      <c r="Z3404" s="106"/>
      <c r="AA3404" s="106"/>
      <c r="AB3404" s="106"/>
      <c r="AC3404" s="106"/>
      <c r="AD3404" s="106"/>
      <c r="AE3404" s="106"/>
      <c r="AF3404" s="106"/>
    </row>
    <row r="3405" spans="2:32" x14ac:dyDescent="0.25">
      <c r="B3405" s="106"/>
      <c r="C3405" s="106"/>
      <c r="D3405" s="106"/>
      <c r="E3405" s="106"/>
      <c r="F3405" s="106"/>
      <c r="G3405" s="106"/>
      <c r="H3405" s="106"/>
      <c r="I3405" s="106"/>
      <c r="J3405" s="106"/>
      <c r="K3405" s="106"/>
      <c r="L3405" s="106"/>
      <c r="M3405" s="106"/>
      <c r="N3405" s="106"/>
      <c r="O3405" s="106"/>
      <c r="P3405" s="106"/>
      <c r="Q3405" s="106"/>
      <c r="R3405" s="106"/>
      <c r="S3405" s="106"/>
      <c r="T3405" s="106"/>
      <c r="U3405" s="106"/>
      <c r="V3405" s="106"/>
      <c r="W3405" s="106"/>
      <c r="X3405" s="106"/>
      <c r="Y3405" s="106"/>
      <c r="Z3405" s="106"/>
      <c r="AA3405" s="106"/>
      <c r="AB3405" s="106"/>
      <c r="AC3405" s="106"/>
      <c r="AD3405" s="106"/>
      <c r="AE3405" s="106"/>
      <c r="AF3405" s="106"/>
    </row>
    <row r="3406" spans="2:32" x14ac:dyDescent="0.25">
      <c r="B3406" s="106"/>
      <c r="C3406" s="106"/>
      <c r="D3406" s="106"/>
      <c r="E3406" s="106"/>
      <c r="F3406" s="106"/>
      <c r="G3406" s="106"/>
      <c r="H3406" s="106"/>
      <c r="I3406" s="106"/>
      <c r="J3406" s="106"/>
      <c r="K3406" s="106"/>
      <c r="L3406" s="106"/>
      <c r="M3406" s="106"/>
      <c r="N3406" s="106"/>
      <c r="O3406" s="106"/>
      <c r="P3406" s="106"/>
      <c r="Q3406" s="106"/>
      <c r="R3406" s="106"/>
      <c r="S3406" s="106"/>
      <c r="T3406" s="106"/>
      <c r="U3406" s="106"/>
      <c r="V3406" s="106"/>
      <c r="W3406" s="106"/>
      <c r="X3406" s="106"/>
      <c r="Y3406" s="106"/>
      <c r="Z3406" s="106"/>
      <c r="AA3406" s="106"/>
      <c r="AB3406" s="106"/>
      <c r="AC3406" s="106"/>
      <c r="AD3406" s="106"/>
      <c r="AE3406" s="106"/>
      <c r="AF3406" s="106"/>
    </row>
    <row r="3407" spans="2:32" x14ac:dyDescent="0.25">
      <c r="B3407" s="106"/>
      <c r="C3407" s="106"/>
      <c r="D3407" s="106"/>
      <c r="E3407" s="106"/>
      <c r="F3407" s="106"/>
      <c r="G3407" s="106"/>
      <c r="H3407" s="106"/>
      <c r="I3407" s="106"/>
      <c r="J3407" s="106"/>
      <c r="K3407" s="106"/>
      <c r="L3407" s="106"/>
      <c r="M3407" s="106"/>
      <c r="N3407" s="106"/>
      <c r="O3407" s="106"/>
      <c r="P3407" s="106"/>
      <c r="Q3407" s="106"/>
      <c r="R3407" s="106"/>
      <c r="S3407" s="106"/>
      <c r="T3407" s="106"/>
      <c r="U3407" s="106"/>
      <c r="V3407" s="106"/>
      <c r="W3407" s="106"/>
      <c r="X3407" s="106"/>
      <c r="Y3407" s="106"/>
      <c r="Z3407" s="106"/>
      <c r="AA3407" s="106"/>
      <c r="AB3407" s="106"/>
      <c r="AC3407" s="106"/>
      <c r="AD3407" s="106"/>
      <c r="AE3407" s="106"/>
      <c r="AF3407" s="106"/>
    </row>
    <row r="3408" spans="2:32" x14ac:dyDescent="0.25">
      <c r="B3408" s="106"/>
      <c r="C3408" s="106"/>
      <c r="D3408" s="106"/>
      <c r="E3408" s="106"/>
      <c r="F3408" s="106"/>
      <c r="G3408" s="106"/>
      <c r="H3408" s="106"/>
      <c r="I3408" s="106"/>
      <c r="J3408" s="106"/>
      <c r="K3408" s="106"/>
      <c r="L3408" s="106"/>
      <c r="M3408" s="106"/>
      <c r="N3408" s="106"/>
      <c r="O3408" s="106"/>
      <c r="P3408" s="106"/>
      <c r="Q3408" s="106"/>
      <c r="R3408" s="106"/>
      <c r="S3408" s="106"/>
      <c r="T3408" s="106"/>
      <c r="U3408" s="106"/>
      <c r="V3408" s="106"/>
      <c r="W3408" s="106"/>
      <c r="X3408" s="106"/>
      <c r="Y3408" s="106"/>
      <c r="Z3408" s="106"/>
      <c r="AA3408" s="106"/>
      <c r="AB3408" s="106"/>
      <c r="AC3408" s="106"/>
      <c r="AD3408" s="106"/>
      <c r="AE3408" s="106"/>
      <c r="AF3408" s="106"/>
    </row>
    <row r="3496" spans="2:32" x14ac:dyDescent="0.25">
      <c r="B3496" s="106"/>
      <c r="C3496" s="106"/>
      <c r="D3496" s="106"/>
      <c r="E3496" s="106"/>
      <c r="F3496" s="106"/>
      <c r="G3496" s="106"/>
      <c r="H3496" s="106"/>
      <c r="I3496" s="106"/>
      <c r="J3496" s="106"/>
      <c r="K3496" s="106"/>
      <c r="L3496" s="106"/>
      <c r="M3496" s="106"/>
      <c r="N3496" s="106"/>
      <c r="O3496" s="106"/>
      <c r="P3496" s="106"/>
      <c r="Q3496" s="106"/>
      <c r="R3496" s="106"/>
      <c r="S3496" s="106"/>
      <c r="T3496" s="106"/>
      <c r="U3496" s="106"/>
      <c r="V3496" s="106"/>
      <c r="W3496" s="106"/>
      <c r="X3496" s="106"/>
      <c r="Y3496" s="106"/>
      <c r="Z3496" s="106"/>
      <c r="AA3496" s="106"/>
      <c r="AB3496" s="106"/>
      <c r="AC3496" s="106"/>
      <c r="AD3496" s="106"/>
      <c r="AE3496" s="106"/>
      <c r="AF3496" s="106"/>
    </row>
    <row r="3499" spans="2:32" x14ac:dyDescent="0.25">
      <c r="B3499" s="106"/>
      <c r="C3499" s="106"/>
      <c r="D3499" s="106"/>
      <c r="E3499" s="106"/>
      <c r="F3499" s="106"/>
      <c r="G3499" s="106"/>
      <c r="H3499" s="106"/>
      <c r="I3499" s="106"/>
      <c r="J3499" s="106"/>
      <c r="K3499" s="106"/>
      <c r="L3499" s="106"/>
      <c r="M3499" s="106"/>
      <c r="N3499" s="106"/>
      <c r="O3499" s="106"/>
      <c r="P3499" s="106"/>
      <c r="Q3499" s="106"/>
      <c r="R3499" s="106"/>
      <c r="S3499" s="106"/>
      <c r="T3499" s="106"/>
      <c r="U3499" s="106"/>
      <c r="V3499" s="106"/>
      <c r="W3499" s="106"/>
      <c r="X3499" s="106"/>
      <c r="Y3499" s="106"/>
      <c r="Z3499" s="106"/>
      <c r="AA3499" s="106"/>
      <c r="AB3499" s="106"/>
      <c r="AC3499" s="106"/>
      <c r="AD3499" s="106"/>
      <c r="AE3499" s="106"/>
      <c r="AF3499" s="106"/>
    </row>
    <row r="3501" spans="2:32" x14ac:dyDescent="0.25">
      <c r="B3501" s="106"/>
      <c r="C3501" s="106"/>
      <c r="D3501" s="106"/>
      <c r="E3501" s="106"/>
      <c r="F3501" s="106"/>
      <c r="G3501" s="106"/>
      <c r="H3501" s="106"/>
      <c r="I3501" s="106"/>
      <c r="J3501" s="106"/>
      <c r="K3501" s="106"/>
      <c r="L3501" s="106"/>
      <c r="M3501" s="106"/>
      <c r="N3501" s="106"/>
      <c r="O3501" s="106"/>
      <c r="P3501" s="106"/>
      <c r="Q3501" s="106"/>
      <c r="R3501" s="106"/>
      <c r="S3501" s="106"/>
      <c r="T3501" s="106"/>
      <c r="U3501" s="106"/>
      <c r="V3501" s="106"/>
      <c r="W3501" s="106"/>
      <c r="X3501" s="106"/>
      <c r="Y3501" s="106"/>
      <c r="Z3501" s="106"/>
      <c r="AA3501" s="106"/>
      <c r="AB3501" s="106"/>
      <c r="AC3501" s="106"/>
      <c r="AD3501" s="106"/>
      <c r="AE3501" s="106"/>
      <c r="AF3501" s="106"/>
    </row>
    <row r="3502" spans="2:32" x14ac:dyDescent="0.25">
      <c r="B3502" s="135"/>
      <c r="C3502" s="135"/>
      <c r="D3502" s="135"/>
      <c r="E3502" s="135"/>
      <c r="F3502" s="135"/>
      <c r="G3502" s="135"/>
      <c r="H3502" s="135"/>
      <c r="I3502" s="135"/>
      <c r="J3502" s="135"/>
      <c r="K3502" s="135"/>
      <c r="L3502" s="135"/>
      <c r="M3502" s="135"/>
      <c r="N3502" s="135"/>
      <c r="O3502" s="135"/>
      <c r="P3502" s="135"/>
      <c r="Q3502" s="135"/>
      <c r="R3502" s="135"/>
      <c r="S3502" s="135"/>
      <c r="T3502" s="135"/>
      <c r="U3502" s="135"/>
      <c r="V3502" s="135"/>
      <c r="W3502" s="135"/>
      <c r="X3502" s="135"/>
      <c r="Y3502" s="135"/>
      <c r="Z3502" s="135"/>
      <c r="AA3502" s="135"/>
      <c r="AB3502" s="135"/>
      <c r="AC3502" s="135"/>
      <c r="AD3502" s="135"/>
      <c r="AE3502" s="135"/>
      <c r="AF3502" s="135"/>
    </row>
    <row r="3621" spans="2:32" x14ac:dyDescent="0.25">
      <c r="B3621" s="106"/>
      <c r="C3621" s="106"/>
      <c r="D3621" s="106"/>
      <c r="E3621" s="106"/>
      <c r="F3621" s="106"/>
      <c r="G3621" s="106"/>
      <c r="H3621" s="106"/>
      <c r="I3621" s="106"/>
      <c r="J3621" s="106"/>
      <c r="K3621" s="106"/>
      <c r="L3621" s="106"/>
      <c r="M3621" s="106"/>
      <c r="N3621" s="106"/>
      <c r="O3621" s="106"/>
      <c r="P3621" s="106"/>
      <c r="Q3621" s="106"/>
      <c r="R3621" s="106"/>
      <c r="S3621" s="106"/>
      <c r="T3621" s="106"/>
      <c r="U3621" s="106"/>
      <c r="V3621" s="106"/>
      <c r="W3621" s="106"/>
      <c r="X3621" s="106"/>
      <c r="Y3621" s="106"/>
      <c r="Z3621" s="106"/>
      <c r="AA3621" s="106"/>
      <c r="AB3621" s="106"/>
      <c r="AC3621" s="106"/>
      <c r="AD3621" s="106"/>
      <c r="AE3621" s="106"/>
      <c r="AF3621" s="106"/>
    </row>
    <row r="3624" spans="2:32" x14ac:dyDescent="0.25">
      <c r="B3624" s="106"/>
      <c r="C3624" s="106"/>
      <c r="D3624" s="106"/>
      <c r="E3624" s="106"/>
      <c r="F3624" s="106"/>
      <c r="G3624" s="106"/>
      <c r="H3624" s="106"/>
      <c r="I3624" s="106"/>
      <c r="J3624" s="106"/>
      <c r="K3624" s="106"/>
      <c r="L3624" s="106"/>
      <c r="M3624" s="106"/>
      <c r="N3624" s="106"/>
      <c r="O3624" s="106"/>
      <c r="P3624" s="106"/>
      <c r="Q3624" s="106"/>
      <c r="R3624" s="106"/>
      <c r="S3624" s="106"/>
      <c r="T3624" s="106"/>
      <c r="U3624" s="106"/>
      <c r="V3624" s="106"/>
      <c r="W3624" s="106"/>
      <c r="X3624" s="106"/>
      <c r="Y3624" s="106"/>
      <c r="Z3624" s="106"/>
      <c r="AA3624" s="106"/>
      <c r="AB3624" s="106"/>
      <c r="AC3624" s="106"/>
      <c r="AD3624" s="106"/>
      <c r="AE3624" s="106"/>
      <c r="AF3624" s="106"/>
    </row>
    <row r="3626" spans="2:32" x14ac:dyDescent="0.25">
      <c r="B3626" s="106"/>
      <c r="C3626" s="106"/>
      <c r="D3626" s="106"/>
      <c r="E3626" s="106"/>
      <c r="F3626" s="106"/>
      <c r="G3626" s="106"/>
      <c r="H3626" s="106"/>
      <c r="I3626" s="106"/>
      <c r="J3626" s="106"/>
      <c r="K3626" s="106"/>
      <c r="L3626" s="106"/>
      <c r="M3626" s="106"/>
      <c r="N3626" s="106"/>
      <c r="O3626" s="106"/>
      <c r="P3626" s="106"/>
      <c r="Q3626" s="106"/>
      <c r="R3626" s="106"/>
      <c r="S3626" s="106"/>
      <c r="T3626" s="106"/>
      <c r="U3626" s="106"/>
      <c r="V3626" s="106"/>
      <c r="W3626" s="106"/>
      <c r="X3626" s="106"/>
      <c r="Y3626" s="106"/>
      <c r="Z3626" s="106"/>
      <c r="AA3626" s="106"/>
      <c r="AB3626" s="106"/>
      <c r="AC3626" s="106"/>
      <c r="AD3626" s="106"/>
      <c r="AE3626" s="106"/>
      <c r="AF3626" s="106"/>
    </row>
    <row r="3627" spans="2:32" x14ac:dyDescent="0.25">
      <c r="B3627" s="135"/>
      <c r="C3627" s="135"/>
      <c r="D3627" s="135"/>
      <c r="E3627" s="135"/>
      <c r="F3627" s="135"/>
      <c r="G3627" s="135"/>
      <c r="H3627" s="135"/>
      <c r="I3627" s="135"/>
      <c r="J3627" s="135"/>
      <c r="K3627" s="135"/>
      <c r="L3627" s="135"/>
      <c r="M3627" s="135"/>
      <c r="N3627" s="135"/>
      <c r="O3627" s="135"/>
      <c r="P3627" s="135"/>
      <c r="Q3627" s="135"/>
      <c r="R3627" s="135"/>
      <c r="S3627" s="135"/>
      <c r="T3627" s="135"/>
      <c r="U3627" s="135"/>
      <c r="V3627" s="135"/>
      <c r="W3627" s="135"/>
      <c r="X3627" s="135"/>
      <c r="Y3627" s="135"/>
      <c r="Z3627" s="135"/>
      <c r="AA3627" s="135"/>
      <c r="AB3627" s="135"/>
      <c r="AC3627" s="135"/>
      <c r="AD3627" s="135"/>
      <c r="AE3627" s="135"/>
      <c r="AF3627" s="135"/>
    </row>
    <row r="3746" spans="2:32" x14ac:dyDescent="0.25">
      <c r="B3746" s="106"/>
      <c r="C3746" s="106"/>
      <c r="D3746" s="106"/>
      <c r="E3746" s="106"/>
      <c r="F3746" s="106"/>
      <c r="G3746" s="106"/>
      <c r="H3746" s="106"/>
      <c r="I3746" s="106"/>
      <c r="J3746" s="106"/>
      <c r="K3746" s="106"/>
      <c r="L3746" s="106"/>
      <c r="M3746" s="106"/>
      <c r="N3746" s="106"/>
      <c r="O3746" s="106"/>
      <c r="P3746" s="106"/>
      <c r="Q3746" s="106"/>
      <c r="R3746" s="106"/>
      <c r="S3746" s="106"/>
      <c r="T3746" s="106"/>
      <c r="U3746" s="106"/>
      <c r="V3746" s="106"/>
      <c r="W3746" s="106"/>
      <c r="X3746" s="106"/>
      <c r="Y3746" s="106"/>
      <c r="Z3746" s="106"/>
      <c r="AA3746" s="106"/>
      <c r="AB3746" s="106"/>
      <c r="AC3746" s="106"/>
      <c r="AD3746" s="106"/>
      <c r="AE3746" s="106"/>
      <c r="AF3746" s="106"/>
    </row>
    <row r="3749" spans="2:32" x14ac:dyDescent="0.25">
      <c r="B3749" s="106"/>
      <c r="C3749" s="106"/>
      <c r="D3749" s="106"/>
      <c r="E3749" s="106"/>
      <c r="F3749" s="106"/>
      <c r="G3749" s="106"/>
      <c r="H3749" s="106"/>
      <c r="I3749" s="106"/>
      <c r="J3749" s="106"/>
      <c r="K3749" s="106"/>
      <c r="L3749" s="106"/>
      <c r="M3749" s="106"/>
      <c r="N3749" s="106"/>
      <c r="O3749" s="106"/>
      <c r="P3749" s="106"/>
      <c r="Q3749" s="106"/>
      <c r="R3749" s="106"/>
      <c r="S3749" s="106"/>
      <c r="T3749" s="106"/>
      <c r="U3749" s="106"/>
      <c r="V3749" s="106"/>
      <c r="W3749" s="106"/>
      <c r="X3749" s="106"/>
      <c r="Y3749" s="106"/>
      <c r="Z3749" s="106"/>
      <c r="AA3749" s="106"/>
      <c r="AB3749" s="106"/>
      <c r="AC3749" s="106"/>
      <c r="AD3749" s="106"/>
      <c r="AE3749" s="106"/>
      <c r="AF3749" s="106"/>
    </row>
    <row r="3751" spans="2:32" x14ac:dyDescent="0.25">
      <c r="B3751" s="106"/>
      <c r="C3751" s="106"/>
      <c r="D3751" s="106"/>
      <c r="E3751" s="106"/>
      <c r="F3751" s="106"/>
      <c r="G3751" s="106"/>
      <c r="H3751" s="106"/>
      <c r="I3751" s="106"/>
      <c r="J3751" s="106"/>
      <c r="K3751" s="106"/>
      <c r="L3751" s="106"/>
      <c r="M3751" s="106"/>
      <c r="N3751" s="106"/>
      <c r="O3751" s="106"/>
      <c r="P3751" s="106"/>
      <c r="Q3751" s="106"/>
      <c r="R3751" s="106"/>
      <c r="S3751" s="106"/>
      <c r="T3751" s="106"/>
      <c r="U3751" s="106"/>
      <c r="V3751" s="106"/>
      <c r="W3751" s="106"/>
      <c r="X3751" s="106"/>
      <c r="Y3751" s="106"/>
      <c r="Z3751" s="106"/>
      <c r="AA3751" s="106"/>
      <c r="AB3751" s="106"/>
      <c r="AC3751" s="106"/>
      <c r="AD3751" s="106"/>
      <c r="AE3751" s="106"/>
      <c r="AF3751" s="106"/>
    </row>
    <row r="3752" spans="2:32" x14ac:dyDescent="0.25">
      <c r="B3752" s="135"/>
      <c r="C3752" s="135"/>
      <c r="D3752" s="135"/>
      <c r="E3752" s="135"/>
      <c r="F3752" s="135"/>
      <c r="G3752" s="135"/>
      <c r="H3752" s="135"/>
      <c r="I3752" s="135"/>
      <c r="J3752" s="135"/>
      <c r="K3752" s="135"/>
      <c r="L3752" s="135"/>
      <c r="M3752" s="135"/>
      <c r="N3752" s="135"/>
      <c r="O3752" s="135"/>
      <c r="P3752" s="135"/>
      <c r="Q3752" s="135"/>
      <c r="R3752" s="135"/>
      <c r="S3752" s="135"/>
      <c r="T3752" s="135"/>
      <c r="U3752" s="135"/>
      <c r="V3752" s="135"/>
      <c r="W3752" s="135"/>
      <c r="X3752" s="135"/>
      <c r="Y3752" s="135"/>
      <c r="Z3752" s="135"/>
      <c r="AA3752" s="135"/>
      <c r="AB3752" s="135"/>
      <c r="AC3752" s="135"/>
      <c r="AD3752" s="135"/>
      <c r="AE3752" s="135"/>
      <c r="AF3752" s="135"/>
    </row>
    <row r="3874" spans="2:32" x14ac:dyDescent="0.25">
      <c r="B3874" s="106"/>
      <c r="C3874" s="106"/>
      <c r="D3874" s="106"/>
      <c r="E3874" s="106"/>
      <c r="F3874" s="106"/>
      <c r="G3874" s="106"/>
      <c r="H3874" s="106"/>
      <c r="I3874" s="106"/>
      <c r="J3874" s="106"/>
      <c r="K3874" s="106"/>
      <c r="L3874" s="106"/>
      <c r="M3874" s="106"/>
      <c r="N3874" s="106"/>
      <c r="O3874" s="106"/>
      <c r="P3874" s="106"/>
      <c r="Q3874" s="106"/>
      <c r="R3874" s="106"/>
      <c r="S3874" s="106"/>
      <c r="T3874" s="106"/>
      <c r="U3874" s="106"/>
      <c r="V3874" s="106"/>
      <c r="W3874" s="106"/>
      <c r="X3874" s="106"/>
      <c r="Y3874" s="106"/>
      <c r="Z3874" s="106"/>
      <c r="AA3874" s="106"/>
      <c r="AB3874" s="106"/>
      <c r="AC3874" s="106"/>
      <c r="AD3874" s="106"/>
      <c r="AE3874" s="106"/>
      <c r="AF3874" s="106"/>
    </row>
    <row r="3876" spans="2:32" x14ac:dyDescent="0.25">
      <c r="B3876" s="106"/>
      <c r="C3876" s="106"/>
      <c r="D3876" s="106"/>
      <c r="E3876" s="106"/>
      <c r="F3876" s="106"/>
      <c r="G3876" s="106"/>
      <c r="H3876" s="106"/>
      <c r="I3876" s="106"/>
      <c r="J3876" s="106"/>
      <c r="K3876" s="106"/>
      <c r="L3876" s="106"/>
      <c r="M3876" s="106"/>
      <c r="N3876" s="106"/>
      <c r="O3876" s="106"/>
      <c r="P3876" s="106"/>
      <c r="Q3876" s="106"/>
      <c r="R3876" s="106"/>
      <c r="S3876" s="106"/>
      <c r="T3876" s="106"/>
      <c r="U3876" s="106"/>
      <c r="V3876" s="106"/>
      <c r="W3876" s="106"/>
      <c r="X3876" s="106"/>
      <c r="Y3876" s="106"/>
      <c r="Z3876" s="106"/>
      <c r="AA3876" s="106"/>
      <c r="AB3876" s="106"/>
      <c r="AC3876" s="106"/>
      <c r="AD3876" s="106"/>
      <c r="AE3876" s="106"/>
      <c r="AF3876" s="106"/>
    </row>
    <row r="3877" spans="2:32" x14ac:dyDescent="0.25">
      <c r="B3877" s="135"/>
      <c r="C3877" s="135"/>
      <c r="D3877" s="135"/>
      <c r="E3877" s="135"/>
      <c r="F3877" s="135"/>
      <c r="G3877" s="135"/>
      <c r="H3877" s="135"/>
      <c r="I3877" s="135"/>
      <c r="J3877" s="135"/>
      <c r="K3877" s="135"/>
      <c r="L3877" s="135"/>
      <c r="M3877" s="135"/>
      <c r="N3877" s="135"/>
      <c r="O3877" s="135"/>
      <c r="P3877" s="135"/>
      <c r="Q3877" s="135"/>
      <c r="R3877" s="135"/>
      <c r="S3877" s="135"/>
      <c r="T3877" s="135"/>
      <c r="U3877" s="135"/>
      <c r="V3877" s="135"/>
      <c r="W3877" s="135"/>
      <c r="X3877" s="135"/>
      <c r="Y3877" s="135"/>
      <c r="Z3877" s="135"/>
      <c r="AA3877" s="135"/>
      <c r="AB3877" s="135"/>
      <c r="AC3877" s="135"/>
      <c r="AD3877" s="135"/>
      <c r="AE3877" s="135"/>
      <c r="AF3877" s="135"/>
    </row>
    <row r="3886" spans="2:32" x14ac:dyDescent="0.25">
      <c r="B3886" s="106"/>
      <c r="C3886" s="106"/>
      <c r="D3886" s="106"/>
      <c r="E3886" s="106"/>
      <c r="F3886" s="106"/>
      <c r="G3886" s="106"/>
      <c r="H3886" s="106"/>
      <c r="I3886" s="106"/>
      <c r="J3886" s="106"/>
      <c r="K3886" s="106"/>
      <c r="L3886" s="106"/>
      <c r="M3886" s="106"/>
      <c r="N3886" s="106"/>
      <c r="O3886" s="106"/>
      <c r="P3886" s="106"/>
      <c r="Q3886" s="106"/>
      <c r="R3886" s="106"/>
      <c r="S3886" s="106"/>
      <c r="T3886" s="106"/>
      <c r="U3886" s="106"/>
      <c r="V3886" s="106"/>
      <c r="W3886" s="106"/>
      <c r="X3886" s="106"/>
      <c r="Y3886" s="106"/>
      <c r="Z3886" s="106"/>
      <c r="AA3886" s="106"/>
      <c r="AB3886" s="106"/>
      <c r="AC3886" s="106"/>
      <c r="AD3886" s="106"/>
      <c r="AE3886" s="106"/>
      <c r="AF3886" s="106"/>
    </row>
    <row r="3887" spans="2:32" x14ac:dyDescent="0.25">
      <c r="B3887" s="106"/>
      <c r="C3887" s="106"/>
      <c r="D3887" s="106"/>
      <c r="E3887" s="106"/>
      <c r="F3887" s="106"/>
      <c r="G3887" s="106"/>
      <c r="H3887" s="106"/>
      <c r="I3887" s="106"/>
      <c r="J3887" s="106"/>
      <c r="K3887" s="106"/>
      <c r="L3887" s="106"/>
      <c r="M3887" s="106"/>
      <c r="N3887" s="106"/>
      <c r="O3887" s="106"/>
      <c r="P3887" s="106"/>
      <c r="Q3887" s="106"/>
      <c r="R3887" s="106"/>
      <c r="S3887" s="106"/>
      <c r="T3887" s="106"/>
      <c r="U3887" s="106"/>
      <c r="V3887" s="106"/>
      <c r="W3887" s="106"/>
      <c r="X3887" s="106"/>
      <c r="Y3887" s="106"/>
      <c r="Z3887" s="106"/>
      <c r="AA3887" s="106"/>
      <c r="AB3887" s="106"/>
      <c r="AC3887" s="106"/>
      <c r="AD3887" s="106"/>
      <c r="AE3887" s="106"/>
      <c r="AF3887" s="106"/>
    </row>
    <row r="3888" spans="2:32" x14ac:dyDescent="0.25">
      <c r="B3888" s="106"/>
      <c r="C3888" s="106"/>
      <c r="D3888" s="106"/>
      <c r="E3888" s="106"/>
      <c r="F3888" s="106"/>
      <c r="G3888" s="106"/>
      <c r="H3888" s="106"/>
      <c r="I3888" s="106"/>
      <c r="J3888" s="106"/>
      <c r="K3888" s="106"/>
      <c r="L3888" s="106"/>
      <c r="M3888" s="106"/>
      <c r="N3888" s="106"/>
      <c r="O3888" s="106"/>
      <c r="P3888" s="106"/>
      <c r="Q3888" s="106"/>
      <c r="R3888" s="106"/>
      <c r="S3888" s="106"/>
      <c r="T3888" s="106"/>
      <c r="U3888" s="106"/>
      <c r="V3888" s="106"/>
      <c r="W3888" s="106"/>
      <c r="X3888" s="106"/>
      <c r="Y3888" s="106"/>
      <c r="Z3888" s="106"/>
      <c r="AA3888" s="106"/>
      <c r="AB3888" s="106"/>
      <c r="AC3888" s="106"/>
      <c r="AD3888" s="106"/>
      <c r="AE3888" s="106"/>
      <c r="AF3888" s="106"/>
    </row>
    <row r="4001" spans="2:32" x14ac:dyDescent="0.25">
      <c r="B4001" s="106"/>
      <c r="C4001" s="106"/>
      <c r="D4001" s="106"/>
      <c r="E4001" s="106"/>
      <c r="F4001" s="106"/>
      <c r="G4001" s="106"/>
      <c r="H4001" s="106"/>
      <c r="I4001" s="106"/>
      <c r="J4001" s="106"/>
      <c r="K4001" s="106"/>
      <c r="L4001" s="106"/>
      <c r="M4001" s="106"/>
      <c r="N4001" s="106"/>
      <c r="O4001" s="106"/>
      <c r="P4001" s="106"/>
      <c r="Q4001" s="106"/>
      <c r="R4001" s="106"/>
      <c r="S4001" s="106"/>
      <c r="T4001" s="106"/>
      <c r="U4001" s="106"/>
      <c r="V4001" s="106"/>
      <c r="W4001" s="106"/>
      <c r="X4001" s="106"/>
      <c r="Y4001" s="106"/>
      <c r="Z4001" s="106"/>
      <c r="AA4001" s="106"/>
      <c r="AB4001" s="106"/>
      <c r="AC4001" s="106"/>
      <c r="AD4001" s="106"/>
      <c r="AE4001" s="106"/>
      <c r="AF4001" s="106"/>
    </row>
    <row r="4002" spans="2:32" x14ac:dyDescent="0.25">
      <c r="B4002" s="135"/>
      <c r="C4002" s="135"/>
      <c r="D4002" s="135"/>
      <c r="E4002" s="135"/>
      <c r="F4002" s="135"/>
      <c r="G4002" s="135"/>
      <c r="H4002" s="135"/>
      <c r="I4002" s="135"/>
      <c r="J4002" s="135"/>
      <c r="K4002" s="135"/>
      <c r="L4002" s="135"/>
      <c r="M4002" s="135"/>
      <c r="N4002" s="135"/>
      <c r="O4002" s="135"/>
      <c r="P4002" s="135"/>
      <c r="Q4002" s="135"/>
      <c r="R4002" s="135"/>
      <c r="S4002" s="135"/>
      <c r="T4002" s="135"/>
      <c r="U4002" s="135"/>
      <c r="V4002" s="135"/>
      <c r="W4002" s="135"/>
      <c r="X4002" s="135"/>
      <c r="Y4002" s="135"/>
      <c r="Z4002" s="135"/>
      <c r="AA4002" s="135"/>
      <c r="AB4002" s="135"/>
      <c r="AC4002" s="135"/>
      <c r="AD4002" s="135"/>
      <c r="AE4002" s="135"/>
      <c r="AF4002" s="135"/>
    </row>
    <row r="4011" spans="2:32" x14ac:dyDescent="0.25">
      <c r="B4011" s="106"/>
      <c r="C4011" s="106"/>
      <c r="D4011" s="106"/>
      <c r="E4011" s="106"/>
      <c r="F4011" s="106"/>
      <c r="G4011" s="106"/>
      <c r="H4011" s="106"/>
      <c r="I4011" s="106"/>
      <c r="J4011" s="106"/>
      <c r="K4011" s="106"/>
      <c r="L4011" s="106"/>
      <c r="M4011" s="106"/>
      <c r="N4011" s="106"/>
      <c r="O4011" s="106"/>
      <c r="P4011" s="106"/>
      <c r="Q4011" s="106"/>
      <c r="R4011" s="106"/>
      <c r="S4011" s="106"/>
      <c r="T4011" s="106"/>
      <c r="U4011" s="106"/>
      <c r="V4011" s="106"/>
      <c r="W4011" s="106"/>
      <c r="X4011" s="106"/>
      <c r="Y4011" s="106"/>
      <c r="Z4011" s="106"/>
      <c r="AA4011" s="106"/>
      <c r="AB4011" s="106"/>
      <c r="AC4011" s="106"/>
      <c r="AD4011" s="106"/>
      <c r="AE4011" s="106"/>
      <c r="AF4011" s="106"/>
    </row>
    <row r="4012" spans="2:32" x14ac:dyDescent="0.25">
      <c r="B4012" s="106"/>
      <c r="C4012" s="106"/>
      <c r="D4012" s="106"/>
      <c r="E4012" s="106"/>
      <c r="F4012" s="106"/>
      <c r="G4012" s="106"/>
      <c r="H4012" s="106"/>
      <c r="I4012" s="106"/>
      <c r="J4012" s="106"/>
      <c r="K4012" s="106"/>
      <c r="L4012" s="106"/>
      <c r="M4012" s="106"/>
      <c r="N4012" s="106"/>
      <c r="O4012" s="106"/>
      <c r="P4012" s="106"/>
      <c r="Q4012" s="106"/>
      <c r="R4012" s="106"/>
      <c r="S4012" s="106"/>
      <c r="T4012" s="106"/>
      <c r="U4012" s="106"/>
      <c r="V4012" s="106"/>
      <c r="W4012" s="106"/>
      <c r="X4012" s="106"/>
      <c r="Y4012" s="106"/>
      <c r="Z4012" s="106"/>
      <c r="AA4012" s="106"/>
      <c r="AB4012" s="106"/>
      <c r="AC4012" s="106"/>
      <c r="AD4012" s="106"/>
      <c r="AE4012" s="106"/>
      <c r="AF4012" s="106"/>
    </row>
    <row r="4013" spans="2:32" x14ac:dyDescent="0.25">
      <c r="B4013" s="106"/>
      <c r="C4013" s="106"/>
      <c r="D4013" s="106"/>
      <c r="E4013" s="106"/>
      <c r="F4013" s="106"/>
      <c r="G4013" s="106"/>
      <c r="H4013" s="106"/>
      <c r="I4013" s="106"/>
      <c r="J4013" s="106"/>
      <c r="K4013" s="106"/>
      <c r="L4013" s="106"/>
      <c r="M4013" s="106"/>
      <c r="N4013" s="106"/>
      <c r="O4013" s="106"/>
      <c r="P4013" s="106"/>
      <c r="Q4013" s="106"/>
      <c r="R4013" s="106"/>
      <c r="S4013" s="106"/>
      <c r="T4013" s="106"/>
      <c r="U4013" s="106"/>
      <c r="V4013" s="106"/>
      <c r="W4013" s="106"/>
      <c r="X4013" s="106"/>
      <c r="Y4013" s="106"/>
      <c r="Z4013" s="106"/>
      <c r="AA4013" s="106"/>
      <c r="AB4013" s="106"/>
      <c r="AC4013" s="106"/>
      <c r="AD4013" s="106"/>
      <c r="AE4013" s="106"/>
      <c r="AF4013" s="106"/>
    </row>
    <row r="4014" spans="2:32" x14ac:dyDescent="0.25">
      <c r="B4014" s="106"/>
      <c r="C4014" s="106"/>
      <c r="D4014" s="106"/>
      <c r="E4014" s="106"/>
      <c r="F4014" s="106"/>
      <c r="G4014" s="106"/>
      <c r="H4014" s="106"/>
      <c r="I4014" s="106"/>
      <c r="J4014" s="106"/>
      <c r="K4014" s="106"/>
      <c r="L4014" s="106"/>
      <c r="M4014" s="106"/>
      <c r="N4014" s="106"/>
      <c r="O4014" s="106"/>
      <c r="P4014" s="106"/>
      <c r="Q4014" s="106"/>
      <c r="R4014" s="106"/>
      <c r="S4014" s="106"/>
      <c r="T4014" s="106"/>
      <c r="U4014" s="106"/>
      <c r="V4014" s="106"/>
      <c r="W4014" s="106"/>
      <c r="X4014" s="106"/>
      <c r="Y4014" s="106"/>
      <c r="Z4014" s="106"/>
      <c r="AA4014" s="106"/>
      <c r="AB4014" s="106"/>
      <c r="AC4014" s="106"/>
      <c r="AD4014" s="106"/>
      <c r="AE4014" s="106"/>
      <c r="AF4014" s="106"/>
    </row>
    <row r="4015" spans="2:32" x14ac:dyDescent="0.25">
      <c r="B4015" s="106"/>
      <c r="C4015" s="106"/>
      <c r="D4015" s="106"/>
      <c r="E4015" s="106"/>
      <c r="F4015" s="106"/>
      <c r="G4015" s="106"/>
      <c r="H4015" s="106"/>
      <c r="I4015" s="106"/>
      <c r="J4015" s="106"/>
      <c r="K4015" s="106"/>
      <c r="L4015" s="106"/>
      <c r="M4015" s="106"/>
      <c r="N4015" s="106"/>
      <c r="O4015" s="106"/>
      <c r="P4015" s="106"/>
      <c r="Q4015" s="106"/>
      <c r="R4015" s="106"/>
      <c r="S4015" s="106"/>
      <c r="T4015" s="106"/>
      <c r="U4015" s="106"/>
      <c r="V4015" s="106"/>
      <c r="W4015" s="106"/>
      <c r="X4015" s="106"/>
      <c r="Y4015" s="106"/>
      <c r="Z4015" s="106"/>
      <c r="AA4015" s="106"/>
      <c r="AB4015" s="106"/>
      <c r="AC4015" s="106"/>
      <c r="AD4015" s="106"/>
      <c r="AE4015" s="106"/>
      <c r="AF4015" s="106"/>
    </row>
    <row r="4016" spans="2:32" x14ac:dyDescent="0.25">
      <c r="B4016" s="106"/>
      <c r="C4016" s="106"/>
      <c r="D4016" s="106"/>
      <c r="E4016" s="106"/>
      <c r="F4016" s="106"/>
      <c r="G4016" s="106"/>
      <c r="H4016" s="106"/>
      <c r="I4016" s="106"/>
      <c r="J4016" s="106"/>
      <c r="K4016" s="106"/>
      <c r="L4016" s="106"/>
      <c r="M4016" s="106"/>
      <c r="N4016" s="106"/>
      <c r="O4016" s="106"/>
      <c r="P4016" s="106"/>
      <c r="Q4016" s="106"/>
      <c r="R4016" s="106"/>
      <c r="S4016" s="106"/>
      <c r="T4016" s="106"/>
      <c r="U4016" s="106"/>
      <c r="V4016" s="106"/>
      <c r="W4016" s="106"/>
      <c r="X4016" s="106"/>
      <c r="Y4016" s="106"/>
      <c r="Z4016" s="106"/>
      <c r="AA4016" s="106"/>
      <c r="AB4016" s="106"/>
      <c r="AC4016" s="106"/>
      <c r="AD4016" s="106"/>
      <c r="AE4016" s="106"/>
      <c r="AF4016" s="106"/>
    </row>
    <row r="4121" spans="2:32" x14ac:dyDescent="0.25">
      <c r="B4121" s="106"/>
      <c r="C4121" s="106"/>
      <c r="D4121" s="106"/>
      <c r="E4121" s="106"/>
      <c r="F4121" s="106"/>
      <c r="G4121" s="106"/>
      <c r="H4121" s="106"/>
      <c r="I4121" s="106"/>
      <c r="J4121" s="106"/>
      <c r="K4121" s="106"/>
      <c r="L4121" s="106"/>
      <c r="M4121" s="106"/>
      <c r="N4121" s="106"/>
      <c r="O4121" s="106"/>
      <c r="P4121" s="106"/>
      <c r="Q4121" s="106"/>
      <c r="R4121" s="106"/>
      <c r="S4121" s="106"/>
      <c r="T4121" s="106"/>
      <c r="U4121" s="106"/>
      <c r="V4121" s="106"/>
      <c r="W4121" s="106"/>
      <c r="X4121" s="106"/>
      <c r="Y4121" s="106"/>
      <c r="Z4121" s="106"/>
      <c r="AA4121" s="106"/>
      <c r="AB4121" s="106"/>
      <c r="AC4121" s="106"/>
      <c r="AD4121" s="106"/>
      <c r="AE4121" s="106"/>
      <c r="AF4121" s="106"/>
    </row>
    <row r="4124" spans="2:32" x14ac:dyDescent="0.25">
      <c r="B4124" s="106"/>
      <c r="C4124" s="106"/>
      <c r="D4124" s="106"/>
      <c r="E4124" s="106"/>
      <c r="F4124" s="106"/>
      <c r="G4124" s="106"/>
      <c r="H4124" s="106"/>
      <c r="I4124" s="106"/>
      <c r="J4124" s="106"/>
      <c r="K4124" s="106"/>
      <c r="L4124" s="106"/>
      <c r="M4124" s="106"/>
      <c r="N4124" s="106"/>
      <c r="O4124" s="106"/>
      <c r="P4124" s="106"/>
      <c r="Q4124" s="106"/>
      <c r="R4124" s="106"/>
      <c r="S4124" s="106"/>
      <c r="T4124" s="106"/>
      <c r="U4124" s="106"/>
      <c r="V4124" s="106"/>
      <c r="W4124" s="106"/>
      <c r="X4124" s="106"/>
      <c r="Y4124" s="106"/>
      <c r="Z4124" s="106"/>
      <c r="AA4124" s="106"/>
      <c r="AB4124" s="106"/>
      <c r="AC4124" s="106"/>
      <c r="AD4124" s="106"/>
      <c r="AE4124" s="106"/>
      <c r="AF4124" s="106"/>
    </row>
    <row r="4126" spans="2:32" x14ac:dyDescent="0.25">
      <c r="B4126" s="106"/>
      <c r="C4126" s="106"/>
      <c r="D4126" s="106"/>
      <c r="E4126" s="106"/>
      <c r="F4126" s="106"/>
      <c r="G4126" s="106"/>
      <c r="H4126" s="106"/>
      <c r="I4126" s="106"/>
      <c r="J4126" s="106"/>
      <c r="K4126" s="106"/>
      <c r="L4126" s="106"/>
      <c r="M4126" s="106"/>
      <c r="N4126" s="106"/>
      <c r="O4126" s="106"/>
      <c r="P4126" s="106"/>
      <c r="Q4126" s="106"/>
      <c r="R4126" s="106"/>
      <c r="S4126" s="106"/>
      <c r="T4126" s="106"/>
      <c r="U4126" s="106"/>
      <c r="V4126" s="106"/>
      <c r="W4126" s="106"/>
      <c r="X4126" s="106"/>
      <c r="Y4126" s="106"/>
      <c r="Z4126" s="106"/>
      <c r="AA4126" s="106"/>
      <c r="AB4126" s="106"/>
      <c r="AC4126" s="106"/>
      <c r="AD4126" s="106"/>
      <c r="AE4126" s="106"/>
      <c r="AF4126" s="106"/>
    </row>
    <row r="4127" spans="2:32" x14ac:dyDescent="0.25">
      <c r="B4127" s="135"/>
      <c r="C4127" s="135"/>
      <c r="D4127" s="135"/>
      <c r="E4127" s="135"/>
      <c r="F4127" s="135"/>
      <c r="G4127" s="135"/>
      <c r="H4127" s="135"/>
      <c r="I4127" s="135"/>
      <c r="J4127" s="135"/>
      <c r="K4127" s="135"/>
      <c r="L4127" s="135"/>
      <c r="M4127" s="135"/>
      <c r="N4127" s="135"/>
      <c r="O4127" s="135"/>
      <c r="P4127" s="135"/>
      <c r="Q4127" s="135"/>
      <c r="R4127" s="135"/>
      <c r="S4127" s="135"/>
      <c r="T4127" s="135"/>
      <c r="U4127" s="135"/>
      <c r="V4127" s="135"/>
      <c r="W4127" s="135"/>
      <c r="X4127" s="135"/>
      <c r="Y4127" s="135"/>
      <c r="Z4127" s="135"/>
      <c r="AA4127" s="135"/>
      <c r="AB4127" s="135"/>
      <c r="AC4127" s="135"/>
      <c r="AD4127" s="135"/>
      <c r="AE4127" s="135"/>
      <c r="AF4127" s="135"/>
    </row>
    <row r="4246" spans="2:32" x14ac:dyDescent="0.25">
      <c r="B4246" s="106"/>
      <c r="C4246" s="106"/>
      <c r="D4246" s="106"/>
      <c r="E4246" s="106"/>
      <c r="F4246" s="106"/>
      <c r="G4246" s="106"/>
      <c r="H4246" s="106"/>
      <c r="I4246" s="106"/>
      <c r="J4246" s="106"/>
      <c r="K4246" s="106"/>
      <c r="L4246" s="106"/>
      <c r="M4246" s="106"/>
      <c r="N4246" s="106"/>
      <c r="O4246" s="106"/>
      <c r="P4246" s="106"/>
      <c r="Q4246" s="106"/>
      <c r="R4246" s="106"/>
      <c r="S4246" s="106"/>
      <c r="T4246" s="106"/>
      <c r="U4246" s="106"/>
      <c r="V4246" s="106"/>
      <c r="W4246" s="106"/>
      <c r="X4246" s="106"/>
      <c r="Y4246" s="106"/>
      <c r="Z4246" s="106"/>
      <c r="AA4246" s="106"/>
      <c r="AB4246" s="106"/>
      <c r="AC4246" s="106"/>
      <c r="AD4246" s="106"/>
      <c r="AE4246" s="106"/>
      <c r="AF4246" s="106"/>
    </row>
    <row r="4249" spans="2:32" x14ac:dyDescent="0.25">
      <c r="B4249" s="106"/>
      <c r="C4249" s="106"/>
      <c r="D4249" s="106"/>
      <c r="E4249" s="106"/>
      <c r="F4249" s="106"/>
      <c r="G4249" s="106"/>
      <c r="H4249" s="106"/>
      <c r="I4249" s="106"/>
      <c r="J4249" s="106"/>
      <c r="K4249" s="106"/>
      <c r="L4249" s="106"/>
      <c r="M4249" s="106"/>
      <c r="N4249" s="106"/>
      <c r="O4249" s="106"/>
      <c r="P4249" s="106"/>
      <c r="Q4249" s="106"/>
      <c r="R4249" s="106"/>
      <c r="S4249" s="106"/>
      <c r="T4249" s="106"/>
      <c r="U4249" s="106"/>
      <c r="V4249" s="106"/>
      <c r="W4249" s="106"/>
      <c r="X4249" s="106"/>
      <c r="Y4249" s="106"/>
      <c r="Z4249" s="106"/>
      <c r="AA4249" s="106"/>
      <c r="AB4249" s="106"/>
      <c r="AC4249" s="106"/>
      <c r="AD4249" s="106"/>
      <c r="AE4249" s="106"/>
      <c r="AF4249" s="106"/>
    </row>
    <row r="4251" spans="2:32" x14ac:dyDescent="0.25">
      <c r="B4251" s="106"/>
      <c r="C4251" s="106"/>
      <c r="D4251" s="106"/>
      <c r="E4251" s="106"/>
      <c r="F4251" s="106"/>
      <c r="G4251" s="106"/>
      <c r="H4251" s="106"/>
      <c r="I4251" s="106"/>
      <c r="J4251" s="106"/>
      <c r="K4251" s="106"/>
      <c r="L4251" s="106"/>
      <c r="M4251" s="106"/>
      <c r="N4251" s="106"/>
      <c r="O4251" s="106"/>
      <c r="P4251" s="106"/>
      <c r="Q4251" s="106"/>
      <c r="R4251" s="106"/>
      <c r="S4251" s="106"/>
      <c r="T4251" s="106"/>
      <c r="U4251" s="106"/>
      <c r="V4251" s="106"/>
      <c r="W4251" s="106"/>
      <c r="X4251" s="106"/>
      <c r="Y4251" s="106"/>
      <c r="Z4251" s="106"/>
      <c r="AA4251" s="106"/>
      <c r="AB4251" s="106"/>
      <c r="AC4251" s="106"/>
      <c r="AD4251" s="106"/>
      <c r="AE4251" s="106"/>
      <c r="AF4251" s="106"/>
    </row>
    <row r="4252" spans="2:32" x14ac:dyDescent="0.25">
      <c r="B4252" s="135"/>
      <c r="C4252" s="135"/>
      <c r="D4252" s="135"/>
      <c r="E4252" s="135"/>
      <c r="F4252" s="135"/>
      <c r="G4252" s="135"/>
      <c r="H4252" s="135"/>
      <c r="I4252" s="135"/>
      <c r="J4252" s="135"/>
      <c r="K4252" s="135"/>
      <c r="L4252" s="135"/>
      <c r="M4252" s="135"/>
      <c r="N4252" s="135"/>
      <c r="O4252" s="135"/>
      <c r="P4252" s="135"/>
      <c r="Q4252" s="135"/>
      <c r="R4252" s="135"/>
      <c r="S4252" s="135"/>
      <c r="T4252" s="135"/>
      <c r="U4252" s="135"/>
      <c r="V4252" s="135"/>
      <c r="W4252" s="135"/>
      <c r="X4252" s="135"/>
      <c r="Y4252" s="135"/>
      <c r="Z4252" s="135"/>
      <c r="AA4252" s="135"/>
      <c r="AB4252" s="135"/>
      <c r="AC4252" s="135"/>
      <c r="AD4252" s="135"/>
      <c r="AE4252" s="135"/>
      <c r="AF4252" s="135"/>
    </row>
    <row r="4371" spans="2:32" x14ac:dyDescent="0.25">
      <c r="B4371" s="106"/>
      <c r="C4371" s="106"/>
      <c r="D4371" s="106"/>
      <c r="E4371" s="106"/>
      <c r="F4371" s="106"/>
      <c r="G4371" s="106"/>
      <c r="H4371" s="106"/>
      <c r="I4371" s="106"/>
      <c r="J4371" s="106"/>
      <c r="K4371" s="106"/>
      <c r="L4371" s="106"/>
      <c r="M4371" s="106"/>
      <c r="N4371" s="106"/>
      <c r="O4371" s="106"/>
      <c r="P4371" s="106"/>
      <c r="Q4371" s="106"/>
      <c r="R4371" s="106"/>
      <c r="S4371" s="106"/>
      <c r="T4371" s="106"/>
      <c r="U4371" s="106"/>
      <c r="V4371" s="106"/>
      <c r="W4371" s="106"/>
      <c r="X4371" s="106"/>
      <c r="Y4371" s="106"/>
      <c r="Z4371" s="106"/>
      <c r="AA4371" s="106"/>
      <c r="AB4371" s="106"/>
      <c r="AC4371" s="106"/>
      <c r="AD4371" s="106"/>
      <c r="AE4371" s="106"/>
      <c r="AF4371" s="106"/>
    </row>
    <row r="4374" spans="2:32" x14ac:dyDescent="0.25">
      <c r="B4374" s="106"/>
      <c r="C4374" s="106"/>
      <c r="D4374" s="106"/>
      <c r="E4374" s="106"/>
      <c r="F4374" s="106"/>
      <c r="G4374" s="106"/>
      <c r="H4374" s="106"/>
      <c r="I4374" s="106"/>
      <c r="J4374" s="106"/>
      <c r="K4374" s="106"/>
      <c r="L4374" s="106"/>
      <c r="M4374" s="106"/>
      <c r="N4374" s="106"/>
      <c r="O4374" s="106"/>
      <c r="P4374" s="106"/>
      <c r="Q4374" s="106"/>
      <c r="R4374" s="106"/>
      <c r="S4374" s="106"/>
      <c r="T4374" s="106"/>
      <c r="U4374" s="106"/>
      <c r="V4374" s="106"/>
      <c r="W4374" s="106"/>
      <c r="X4374" s="106"/>
      <c r="Y4374" s="106"/>
      <c r="Z4374" s="106"/>
      <c r="AA4374" s="106"/>
      <c r="AB4374" s="106"/>
      <c r="AC4374" s="106"/>
      <c r="AD4374" s="106"/>
      <c r="AE4374" s="106"/>
      <c r="AF4374" s="106"/>
    </row>
    <row r="4376" spans="2:32" x14ac:dyDescent="0.25">
      <c r="B4376" s="106"/>
      <c r="C4376" s="106"/>
      <c r="D4376" s="106"/>
      <c r="E4376" s="106"/>
      <c r="F4376" s="106"/>
      <c r="G4376" s="106"/>
      <c r="H4376" s="106"/>
      <c r="I4376" s="106"/>
      <c r="J4376" s="106"/>
      <c r="K4376" s="106"/>
      <c r="L4376" s="106"/>
      <c r="M4376" s="106"/>
      <c r="N4376" s="106"/>
      <c r="O4376" s="106"/>
      <c r="P4376" s="106"/>
      <c r="Q4376" s="106"/>
      <c r="R4376" s="106"/>
      <c r="S4376" s="106"/>
      <c r="T4376" s="106"/>
      <c r="U4376" s="106"/>
      <c r="V4376" s="106"/>
      <c r="W4376" s="106"/>
      <c r="X4376" s="106"/>
      <c r="Y4376" s="106"/>
      <c r="Z4376" s="106"/>
      <c r="AA4376" s="106"/>
      <c r="AB4376" s="106"/>
      <c r="AC4376" s="106"/>
      <c r="AD4376" s="106"/>
      <c r="AE4376" s="106"/>
      <c r="AF4376" s="106"/>
    </row>
    <row r="4377" spans="2:32" x14ac:dyDescent="0.25">
      <c r="B4377" s="135"/>
      <c r="C4377" s="135"/>
      <c r="D4377" s="135"/>
      <c r="E4377" s="135"/>
      <c r="F4377" s="135"/>
      <c r="G4377" s="135"/>
      <c r="H4377" s="135"/>
      <c r="I4377" s="135"/>
      <c r="J4377" s="135"/>
      <c r="K4377" s="135"/>
      <c r="L4377" s="135"/>
      <c r="M4377" s="135"/>
      <c r="N4377" s="135"/>
      <c r="O4377" s="135"/>
      <c r="P4377" s="135"/>
      <c r="Q4377" s="135"/>
      <c r="R4377" s="135"/>
      <c r="S4377" s="135"/>
      <c r="T4377" s="135"/>
      <c r="U4377" s="135"/>
      <c r="V4377" s="135"/>
      <c r="W4377" s="135"/>
      <c r="X4377" s="135"/>
      <c r="Y4377" s="135"/>
      <c r="Z4377" s="135"/>
      <c r="AA4377" s="135"/>
      <c r="AB4377" s="135"/>
      <c r="AC4377" s="135"/>
      <c r="AD4377" s="135"/>
      <c r="AE4377" s="135"/>
      <c r="AF4377" s="135"/>
    </row>
    <row r="4499" spans="2:32" x14ac:dyDescent="0.25">
      <c r="B4499" s="106"/>
      <c r="C4499" s="106"/>
      <c r="D4499" s="106"/>
      <c r="E4499" s="106"/>
      <c r="F4499" s="106"/>
      <c r="G4499" s="106"/>
      <c r="H4499" s="106"/>
      <c r="I4499" s="106"/>
      <c r="J4499" s="106"/>
      <c r="K4499" s="106"/>
      <c r="L4499" s="106"/>
      <c r="M4499" s="106"/>
      <c r="N4499" s="106"/>
      <c r="O4499" s="106"/>
      <c r="P4499" s="106"/>
      <c r="Q4499" s="106"/>
      <c r="R4499" s="106"/>
      <c r="S4499" s="106"/>
      <c r="T4499" s="106"/>
      <c r="U4499" s="106"/>
      <c r="V4499" s="106"/>
      <c r="W4499" s="106"/>
      <c r="X4499" s="106"/>
      <c r="Y4499" s="106"/>
      <c r="Z4499" s="106"/>
      <c r="AA4499" s="106"/>
      <c r="AB4499" s="106"/>
      <c r="AC4499" s="106"/>
      <c r="AD4499" s="106"/>
      <c r="AE4499" s="106"/>
      <c r="AF4499" s="106"/>
    </row>
    <row r="4501" spans="2:32" x14ac:dyDescent="0.25">
      <c r="B4501" s="106"/>
      <c r="C4501" s="106"/>
      <c r="D4501" s="106"/>
      <c r="E4501" s="106"/>
      <c r="F4501" s="106"/>
      <c r="G4501" s="106"/>
      <c r="H4501" s="106"/>
      <c r="I4501" s="106"/>
      <c r="J4501" s="106"/>
      <c r="K4501" s="106"/>
      <c r="L4501" s="106"/>
      <c r="M4501" s="106"/>
      <c r="N4501" s="106"/>
      <c r="O4501" s="106"/>
      <c r="P4501" s="106"/>
      <c r="Q4501" s="106"/>
      <c r="R4501" s="106"/>
      <c r="S4501" s="106"/>
      <c r="T4501" s="106"/>
      <c r="U4501" s="106"/>
      <c r="V4501" s="106"/>
      <c r="W4501" s="106"/>
      <c r="X4501" s="106"/>
      <c r="Y4501" s="106"/>
      <c r="Z4501" s="106"/>
      <c r="AA4501" s="106"/>
      <c r="AB4501" s="106"/>
      <c r="AC4501" s="106"/>
      <c r="AD4501" s="106"/>
      <c r="AE4501" s="106"/>
      <c r="AF4501" s="106"/>
    </row>
    <row r="4502" spans="2:32" x14ac:dyDescent="0.25">
      <c r="B4502" s="135"/>
      <c r="C4502" s="135"/>
      <c r="D4502" s="135"/>
      <c r="E4502" s="135"/>
      <c r="F4502" s="135"/>
      <c r="G4502" s="135"/>
      <c r="H4502" s="135"/>
      <c r="I4502" s="135"/>
      <c r="J4502" s="135"/>
      <c r="K4502" s="135"/>
      <c r="L4502" s="135"/>
      <c r="M4502" s="135"/>
      <c r="N4502" s="135"/>
      <c r="O4502" s="135"/>
      <c r="P4502" s="135"/>
      <c r="Q4502" s="135"/>
      <c r="R4502" s="135"/>
      <c r="S4502" s="135"/>
      <c r="T4502" s="135"/>
      <c r="U4502" s="135"/>
      <c r="V4502" s="135"/>
      <c r="W4502" s="135"/>
      <c r="X4502" s="135"/>
      <c r="Y4502" s="135"/>
      <c r="Z4502" s="135"/>
      <c r="AA4502" s="135"/>
      <c r="AB4502" s="135"/>
      <c r="AC4502" s="135"/>
      <c r="AD4502" s="135"/>
      <c r="AE4502" s="135"/>
      <c r="AF4502" s="135"/>
    </row>
  </sheetData>
  <mergeCells count="29"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4" t="s">
        <v>288</v>
      </c>
      <c r="C1" s="75">
        <v>2022</v>
      </c>
      <c r="D1" s="75">
        <v>2023</v>
      </c>
      <c r="E1" s="75">
        <v>2024</v>
      </c>
      <c r="F1" s="75">
        <v>2025</v>
      </c>
      <c r="G1" s="75">
        <v>2026</v>
      </c>
      <c r="H1" s="75">
        <v>2027</v>
      </c>
      <c r="I1" s="75">
        <v>2028</v>
      </c>
      <c r="J1" s="75">
        <v>2029</v>
      </c>
      <c r="K1" s="75">
        <v>2030</v>
      </c>
      <c r="L1" s="75">
        <v>2031</v>
      </c>
      <c r="M1" s="75">
        <v>2032</v>
      </c>
      <c r="N1" s="75">
        <v>2033</v>
      </c>
      <c r="O1" s="75">
        <v>2034</v>
      </c>
      <c r="P1" s="75">
        <v>2035</v>
      </c>
      <c r="Q1" s="75">
        <v>2036</v>
      </c>
      <c r="R1" s="75">
        <v>2037</v>
      </c>
      <c r="S1" s="75">
        <v>2038</v>
      </c>
      <c r="T1" s="75">
        <v>2039</v>
      </c>
      <c r="U1" s="75">
        <v>2040</v>
      </c>
      <c r="V1" s="75">
        <v>2041</v>
      </c>
      <c r="W1" s="75">
        <v>2042</v>
      </c>
      <c r="X1" s="75">
        <v>2043</v>
      </c>
      <c r="Y1" s="75">
        <v>2044</v>
      </c>
      <c r="Z1" s="75">
        <v>2045</v>
      </c>
      <c r="AA1" s="75">
        <v>2046</v>
      </c>
      <c r="AB1" s="75">
        <v>2047</v>
      </c>
      <c r="AC1" s="75">
        <v>2048</v>
      </c>
      <c r="AD1" s="75">
        <v>2049</v>
      </c>
      <c r="AE1" s="75">
        <v>2050</v>
      </c>
    </row>
    <row r="2" spans="1:33" ht="15" customHeight="1" thickTop="1" x14ac:dyDescent="0.25"/>
    <row r="3" spans="1:33" ht="15" customHeight="1" x14ac:dyDescent="0.25">
      <c r="C3" s="76" t="s">
        <v>289</v>
      </c>
      <c r="D3" s="76" t="s">
        <v>290</v>
      </c>
      <c r="E3" s="77"/>
      <c r="F3" s="77"/>
      <c r="G3" s="77"/>
    </row>
    <row r="4" spans="1:33" ht="15" customHeight="1" x14ac:dyDescent="0.25">
      <c r="C4" s="76" t="s">
        <v>291</v>
      </c>
      <c r="D4" s="76" t="s">
        <v>292</v>
      </c>
      <c r="E4" s="77"/>
      <c r="F4" s="77"/>
      <c r="G4" s="76" t="s">
        <v>293</v>
      </c>
    </row>
    <row r="5" spans="1:33" ht="15" customHeight="1" x14ac:dyDescent="0.25">
      <c r="C5" s="76" t="s">
        <v>294</v>
      </c>
      <c r="D5" s="76" t="s">
        <v>295</v>
      </c>
      <c r="E5" s="77"/>
      <c r="F5" s="77"/>
      <c r="G5" s="77"/>
    </row>
    <row r="6" spans="1:33" ht="15" customHeight="1" x14ac:dyDescent="0.25">
      <c r="C6" s="76" t="s">
        <v>296</v>
      </c>
      <c r="D6" s="77"/>
      <c r="E6" s="76" t="s">
        <v>297</v>
      </c>
      <c r="F6" s="77"/>
      <c r="G6" s="77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78" t="s">
        <v>298</v>
      </c>
      <c r="B10" s="79" t="s">
        <v>299</v>
      </c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1" t="s">
        <v>300</v>
      </c>
      <c r="AG10" s="80"/>
    </row>
    <row r="11" spans="1:33" ht="15" customHeight="1" x14ac:dyDescent="0.25">
      <c r="B11" s="82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1" t="s">
        <v>301</v>
      </c>
      <c r="AG11" s="80"/>
    </row>
    <row r="12" spans="1:33" ht="15" customHeight="1" x14ac:dyDescent="0.25">
      <c r="B12" s="82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1" t="s">
        <v>302</v>
      </c>
      <c r="AG12" s="80"/>
    </row>
    <row r="13" spans="1:33" ht="15" customHeight="1" thickBot="1" x14ac:dyDescent="0.3">
      <c r="B13" s="84" t="s">
        <v>303</v>
      </c>
      <c r="C13" s="84">
        <v>2022</v>
      </c>
      <c r="D13" s="84">
        <v>2023</v>
      </c>
      <c r="E13" s="84">
        <v>2024</v>
      </c>
      <c r="F13" s="84">
        <v>2025</v>
      </c>
      <c r="G13" s="84">
        <v>2026</v>
      </c>
      <c r="H13" s="84">
        <v>2027</v>
      </c>
      <c r="I13" s="84">
        <v>2028</v>
      </c>
      <c r="J13" s="84">
        <v>2029</v>
      </c>
      <c r="K13" s="84">
        <v>2030</v>
      </c>
      <c r="L13" s="84">
        <v>2031</v>
      </c>
      <c r="M13" s="84">
        <v>2032</v>
      </c>
      <c r="N13" s="84">
        <v>2033</v>
      </c>
      <c r="O13" s="84">
        <v>2034</v>
      </c>
      <c r="P13" s="84">
        <v>2035</v>
      </c>
      <c r="Q13" s="84">
        <v>2036</v>
      </c>
      <c r="R13" s="84">
        <v>2037</v>
      </c>
      <c r="S13" s="84">
        <v>2038</v>
      </c>
      <c r="T13" s="84">
        <v>2039</v>
      </c>
      <c r="U13" s="84">
        <v>2040</v>
      </c>
      <c r="V13" s="84">
        <v>2041</v>
      </c>
      <c r="W13" s="84">
        <v>2042</v>
      </c>
      <c r="X13" s="84">
        <v>2043</v>
      </c>
      <c r="Y13" s="84">
        <v>2044</v>
      </c>
      <c r="Z13" s="84">
        <v>2045</v>
      </c>
      <c r="AA13" s="84">
        <v>2046</v>
      </c>
      <c r="AB13" s="84">
        <v>2047</v>
      </c>
      <c r="AC13" s="84">
        <v>2048</v>
      </c>
      <c r="AD13" s="84">
        <v>2049</v>
      </c>
      <c r="AE13" s="84">
        <v>2050</v>
      </c>
      <c r="AF13" s="85">
        <v>2050</v>
      </c>
      <c r="AG13" s="80"/>
    </row>
    <row r="14" spans="1:33" ht="15" customHeight="1" thickTop="1" x14ac:dyDescent="0.25"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</row>
    <row r="15" spans="1:33" ht="15" customHeight="1" x14ac:dyDescent="0.25">
      <c r="B15" s="86" t="s">
        <v>304</v>
      </c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</row>
    <row r="16" spans="1:33" ht="15" customHeight="1" x14ac:dyDescent="0.25"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</row>
    <row r="17" spans="1:33" ht="15" customHeight="1" x14ac:dyDescent="0.25">
      <c r="B17" s="86" t="s">
        <v>305</v>
      </c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</row>
    <row r="18" spans="1:33" ht="15" customHeight="1" x14ac:dyDescent="0.25">
      <c r="B18" s="86" t="s">
        <v>306</v>
      </c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</row>
    <row r="19" spans="1:33" ht="15" customHeight="1" x14ac:dyDescent="0.25">
      <c r="A19" s="78" t="s">
        <v>307</v>
      </c>
      <c r="B19" s="87" t="s">
        <v>308</v>
      </c>
      <c r="C19" s="88">
        <v>54.392623999999998</v>
      </c>
      <c r="D19" s="88">
        <v>53.187412000000002</v>
      </c>
      <c r="E19" s="88">
        <v>52.529724000000002</v>
      </c>
      <c r="F19" s="88">
        <v>52.479733000000003</v>
      </c>
      <c r="G19" s="88">
        <v>52.720959000000001</v>
      </c>
      <c r="H19" s="88">
        <v>52.851050999999998</v>
      </c>
      <c r="I19" s="88">
        <v>52.993167999999997</v>
      </c>
      <c r="J19" s="88">
        <v>53.175175000000003</v>
      </c>
      <c r="K19" s="88">
        <v>53.566817999999998</v>
      </c>
      <c r="L19" s="88">
        <v>54.220244999999998</v>
      </c>
      <c r="M19" s="88">
        <v>55.079853</v>
      </c>
      <c r="N19" s="88">
        <v>55.840674999999997</v>
      </c>
      <c r="O19" s="88">
        <v>56.638934999999996</v>
      </c>
      <c r="P19" s="88">
        <v>57.504395000000002</v>
      </c>
      <c r="Q19" s="88">
        <v>58.304447000000003</v>
      </c>
      <c r="R19" s="88">
        <v>59.176174000000003</v>
      </c>
      <c r="S19" s="88">
        <v>60.063701999999999</v>
      </c>
      <c r="T19" s="88">
        <v>61.000945999999999</v>
      </c>
      <c r="U19" s="88">
        <v>62.044392000000002</v>
      </c>
      <c r="V19" s="88">
        <v>63.120776999999997</v>
      </c>
      <c r="W19" s="88">
        <v>64.186768000000001</v>
      </c>
      <c r="X19" s="88">
        <v>65.249404999999996</v>
      </c>
      <c r="Y19" s="88">
        <v>66.318534999999997</v>
      </c>
      <c r="Z19" s="88">
        <v>67.468947999999997</v>
      </c>
      <c r="AA19" s="88">
        <v>68.816581999999997</v>
      </c>
      <c r="AB19" s="88">
        <v>70.243613999999994</v>
      </c>
      <c r="AC19" s="88">
        <v>71.603301999999999</v>
      </c>
      <c r="AD19" s="88">
        <v>73.056640999999999</v>
      </c>
      <c r="AE19" s="88">
        <v>74.779610000000005</v>
      </c>
      <c r="AF19" s="89">
        <v>1.1433E-2</v>
      </c>
      <c r="AG19" s="80"/>
    </row>
    <row r="20" spans="1:33" ht="15" customHeight="1" x14ac:dyDescent="0.25">
      <c r="A20" s="78" t="s">
        <v>309</v>
      </c>
      <c r="B20" s="87" t="s">
        <v>310</v>
      </c>
      <c r="C20" s="88">
        <v>16.846205000000001</v>
      </c>
      <c r="D20" s="88">
        <v>17.761892</v>
      </c>
      <c r="E20" s="88">
        <v>18.763459999999998</v>
      </c>
      <c r="F20" s="88">
        <v>19.899121999999998</v>
      </c>
      <c r="G20" s="88">
        <v>21.083855</v>
      </c>
      <c r="H20" s="88">
        <v>22.151053999999998</v>
      </c>
      <c r="I20" s="88">
        <v>23.138805000000001</v>
      </c>
      <c r="J20" s="88">
        <v>24.075592</v>
      </c>
      <c r="K20" s="88">
        <v>25.031351000000001</v>
      </c>
      <c r="L20" s="88">
        <v>26.026824999999999</v>
      </c>
      <c r="M20" s="88">
        <v>27.096857</v>
      </c>
      <c r="N20" s="88">
        <v>28.109197999999999</v>
      </c>
      <c r="O20" s="88">
        <v>29.092110000000002</v>
      </c>
      <c r="P20" s="88">
        <v>30.063576000000001</v>
      </c>
      <c r="Q20" s="88">
        <v>30.988947</v>
      </c>
      <c r="R20" s="88">
        <v>31.943773</v>
      </c>
      <c r="S20" s="88">
        <v>32.878410000000002</v>
      </c>
      <c r="T20" s="88">
        <v>33.782879000000001</v>
      </c>
      <c r="U20" s="88">
        <v>34.707160999999999</v>
      </c>
      <c r="V20" s="88">
        <v>35.655670000000001</v>
      </c>
      <c r="W20" s="88">
        <v>36.558773000000002</v>
      </c>
      <c r="X20" s="88">
        <v>37.368586999999998</v>
      </c>
      <c r="Y20" s="88">
        <v>38.121651</v>
      </c>
      <c r="Z20" s="88">
        <v>38.871417999999998</v>
      </c>
      <c r="AA20" s="88">
        <v>39.695540999999999</v>
      </c>
      <c r="AB20" s="88">
        <v>40.532322000000001</v>
      </c>
      <c r="AC20" s="88">
        <v>41.299179000000002</v>
      </c>
      <c r="AD20" s="88">
        <v>42.100203999999998</v>
      </c>
      <c r="AE20" s="88">
        <v>43.049956999999999</v>
      </c>
      <c r="AF20" s="89">
        <v>3.4076000000000002E-2</v>
      </c>
      <c r="AG20" s="80"/>
    </row>
    <row r="21" spans="1:33" ht="15" customHeight="1" x14ac:dyDescent="0.25">
      <c r="A21" s="78" t="s">
        <v>311</v>
      </c>
      <c r="B21" s="87" t="s">
        <v>312</v>
      </c>
      <c r="C21" s="88">
        <v>5.8500000000000002E-4</v>
      </c>
      <c r="D21" s="88">
        <v>7.6309999999999998E-3</v>
      </c>
      <c r="E21" s="88">
        <v>1.4685E-2</v>
      </c>
      <c r="F21" s="88">
        <v>2.1224E-2</v>
      </c>
      <c r="G21" s="88">
        <v>2.7498000000000002E-2</v>
      </c>
      <c r="H21" s="88">
        <v>3.3387E-2</v>
      </c>
      <c r="I21" s="88">
        <v>3.8968000000000003E-2</v>
      </c>
      <c r="J21" s="88">
        <v>4.4345000000000002E-2</v>
      </c>
      <c r="K21" s="88">
        <v>4.9703999999999998E-2</v>
      </c>
      <c r="L21" s="88">
        <v>5.5247999999999998E-2</v>
      </c>
      <c r="M21" s="88">
        <v>6.1055999999999999E-2</v>
      </c>
      <c r="N21" s="88">
        <v>6.6844000000000001E-2</v>
      </c>
      <c r="O21" s="88">
        <v>7.2696999999999998E-2</v>
      </c>
      <c r="P21" s="88">
        <v>7.8773999999999997E-2</v>
      </c>
      <c r="Q21" s="88">
        <v>8.5073999999999997E-2</v>
      </c>
      <c r="R21" s="88">
        <v>9.1911000000000007E-2</v>
      </c>
      <c r="S21" s="88">
        <v>9.9267999999999995E-2</v>
      </c>
      <c r="T21" s="88">
        <v>0.10728699999999999</v>
      </c>
      <c r="U21" s="88">
        <v>0.116186</v>
      </c>
      <c r="V21" s="88">
        <v>0.125999</v>
      </c>
      <c r="W21" s="88">
        <v>0.13661799999999999</v>
      </c>
      <c r="X21" s="88">
        <v>0.14805499999999999</v>
      </c>
      <c r="Y21" s="88">
        <v>0.160189</v>
      </c>
      <c r="Z21" s="88">
        <v>0.173373</v>
      </c>
      <c r="AA21" s="88">
        <v>0.18800800000000001</v>
      </c>
      <c r="AB21" s="88">
        <v>0.203789</v>
      </c>
      <c r="AC21" s="88">
        <v>0.22024199999999999</v>
      </c>
      <c r="AD21" s="88">
        <v>0.237737</v>
      </c>
      <c r="AE21" s="88">
        <v>0.256857</v>
      </c>
      <c r="AF21" s="89">
        <v>0.242756</v>
      </c>
      <c r="AG21" s="80"/>
    </row>
    <row r="22" spans="1:33" ht="15" customHeight="1" x14ac:dyDescent="0.25">
      <c r="A22" s="78" t="s">
        <v>313</v>
      </c>
      <c r="B22" s="87" t="s">
        <v>314</v>
      </c>
      <c r="C22" s="88">
        <v>1.5417999999999999E-2</v>
      </c>
      <c r="D22" s="88">
        <v>1.3986E-2</v>
      </c>
      <c r="E22" s="88">
        <v>1.2747E-2</v>
      </c>
      <c r="F22" s="88">
        <v>1.1705E-2</v>
      </c>
      <c r="G22" s="88">
        <v>1.0794E-2</v>
      </c>
      <c r="H22" s="88">
        <v>9.9299999999999996E-3</v>
      </c>
      <c r="I22" s="88">
        <v>9.1299999999999992E-3</v>
      </c>
      <c r="J22" s="88">
        <v>8.3929999999999994E-3</v>
      </c>
      <c r="K22" s="88">
        <v>7.7320000000000002E-3</v>
      </c>
      <c r="L22" s="88">
        <v>7.1459999999999996E-3</v>
      </c>
      <c r="M22" s="88">
        <v>6.6239999999999997E-3</v>
      </c>
      <c r="N22" s="88">
        <v>6.0930000000000003E-3</v>
      </c>
      <c r="O22" s="88">
        <v>5.5430000000000002E-3</v>
      </c>
      <c r="P22" s="88">
        <v>4.9630000000000004E-3</v>
      </c>
      <c r="Q22" s="88">
        <v>4.3689999999999996E-3</v>
      </c>
      <c r="R22" s="88">
        <v>3.7439999999999999E-3</v>
      </c>
      <c r="S22" s="88">
        <v>3.1649999999999998E-3</v>
      </c>
      <c r="T22" s="88">
        <v>2.637E-3</v>
      </c>
      <c r="U22" s="88">
        <v>2.1050000000000001E-3</v>
      </c>
      <c r="V22" s="88">
        <v>1.683E-3</v>
      </c>
      <c r="W22" s="88">
        <v>1.3730000000000001E-3</v>
      </c>
      <c r="X22" s="88">
        <v>1.147E-3</v>
      </c>
      <c r="Y22" s="88">
        <v>1E-3</v>
      </c>
      <c r="Z22" s="88">
        <v>8.9899999999999995E-4</v>
      </c>
      <c r="AA22" s="88">
        <v>8.1999999999999998E-4</v>
      </c>
      <c r="AB22" s="88">
        <v>7.6900000000000004E-4</v>
      </c>
      <c r="AC22" s="88">
        <v>7.0299999999999996E-4</v>
      </c>
      <c r="AD22" s="88">
        <v>6.2500000000000001E-4</v>
      </c>
      <c r="AE22" s="88">
        <v>5.2899999999999996E-4</v>
      </c>
      <c r="AF22" s="89">
        <v>-0.11348800000000001</v>
      </c>
      <c r="AG22" s="80"/>
    </row>
    <row r="23" spans="1:33" ht="15" customHeight="1" x14ac:dyDescent="0.25">
      <c r="A23" s="78" t="s">
        <v>315</v>
      </c>
      <c r="B23" s="87" t="s">
        <v>316</v>
      </c>
      <c r="C23" s="88">
        <v>3.793104</v>
      </c>
      <c r="D23" s="88">
        <v>3.7339889999999998</v>
      </c>
      <c r="E23" s="88">
        <v>3.7011970000000001</v>
      </c>
      <c r="F23" s="88">
        <v>3.6948340000000002</v>
      </c>
      <c r="G23" s="88">
        <v>3.7055539999999998</v>
      </c>
      <c r="H23" s="88">
        <v>3.7133219999999998</v>
      </c>
      <c r="I23" s="88">
        <v>3.7223549999999999</v>
      </c>
      <c r="J23" s="88">
        <v>3.7376019999999999</v>
      </c>
      <c r="K23" s="88">
        <v>3.7636449999999999</v>
      </c>
      <c r="L23" s="88">
        <v>3.8070430000000002</v>
      </c>
      <c r="M23" s="88">
        <v>3.8642319999999999</v>
      </c>
      <c r="N23" s="88">
        <v>3.9146670000000001</v>
      </c>
      <c r="O23" s="88">
        <v>3.9473159999999998</v>
      </c>
      <c r="P23" s="88">
        <v>3.9684680000000001</v>
      </c>
      <c r="Q23" s="88">
        <v>3.9718550000000001</v>
      </c>
      <c r="R23" s="88">
        <v>3.975454</v>
      </c>
      <c r="S23" s="88">
        <v>3.964083</v>
      </c>
      <c r="T23" s="88">
        <v>3.9534349999999998</v>
      </c>
      <c r="U23" s="88">
        <v>3.955495</v>
      </c>
      <c r="V23" s="88">
        <v>3.9734389999999999</v>
      </c>
      <c r="W23" s="88">
        <v>4.000788</v>
      </c>
      <c r="X23" s="88">
        <v>4.0414599999999998</v>
      </c>
      <c r="Y23" s="88">
        <v>4.0953679999999997</v>
      </c>
      <c r="Z23" s="88">
        <v>4.15557</v>
      </c>
      <c r="AA23" s="88">
        <v>4.2257569999999998</v>
      </c>
      <c r="AB23" s="88">
        <v>4.2996879999999997</v>
      </c>
      <c r="AC23" s="88">
        <v>4.3678400000000002</v>
      </c>
      <c r="AD23" s="88">
        <v>4.4369680000000002</v>
      </c>
      <c r="AE23" s="88">
        <v>4.5171900000000003</v>
      </c>
      <c r="AF23" s="89">
        <v>6.2589999999999998E-3</v>
      </c>
      <c r="AG23" s="80"/>
    </row>
    <row r="24" spans="1:33" ht="15" customHeight="1" x14ac:dyDescent="0.25">
      <c r="A24" s="78" t="s">
        <v>317</v>
      </c>
      <c r="B24" s="87" t="s">
        <v>318</v>
      </c>
      <c r="C24" s="88">
        <v>8.03E-4</v>
      </c>
      <c r="D24" s="88">
        <v>7.2599999999999997E-4</v>
      </c>
      <c r="E24" s="88">
        <v>6.6500000000000001E-4</v>
      </c>
      <c r="F24" s="88">
        <v>6.1799999999999995E-4</v>
      </c>
      <c r="G24" s="88">
        <v>5.8399999999999999E-4</v>
      </c>
      <c r="H24" s="88">
        <v>5.5699999999999999E-4</v>
      </c>
      <c r="I24" s="88">
        <v>5.3600000000000002E-4</v>
      </c>
      <c r="J24" s="88">
        <v>5.04E-4</v>
      </c>
      <c r="K24" s="88">
        <v>4.6299999999999998E-4</v>
      </c>
      <c r="L24" s="88">
        <v>4.2499999999999998E-4</v>
      </c>
      <c r="M24" s="88">
        <v>3.9199999999999999E-4</v>
      </c>
      <c r="N24" s="88">
        <v>3.3E-4</v>
      </c>
      <c r="O24" s="88">
        <v>2.5999999999999998E-4</v>
      </c>
      <c r="P24" s="88">
        <v>2.05E-4</v>
      </c>
      <c r="Q24" s="88">
        <v>1.6100000000000001E-4</v>
      </c>
      <c r="R24" s="88">
        <v>1.26E-4</v>
      </c>
      <c r="S24" s="88">
        <v>9.8999999999999994E-5</v>
      </c>
      <c r="T24" s="88">
        <v>7.7000000000000001E-5</v>
      </c>
      <c r="U24" s="88">
        <v>6.8999999999999997E-5</v>
      </c>
      <c r="V24" s="88">
        <v>6.7000000000000002E-5</v>
      </c>
      <c r="W24" s="88">
        <v>6.6000000000000005E-5</v>
      </c>
      <c r="X24" s="88">
        <v>6.3999999999999997E-5</v>
      </c>
      <c r="Y24" s="88">
        <v>5.1999999999999997E-5</v>
      </c>
      <c r="Z24" s="88">
        <v>3.6000000000000001E-5</v>
      </c>
      <c r="AA24" s="88">
        <v>2.5999999999999998E-5</v>
      </c>
      <c r="AB24" s="88">
        <v>1.8E-5</v>
      </c>
      <c r="AC24" s="88">
        <v>1.2999999999999999E-5</v>
      </c>
      <c r="AD24" s="88">
        <v>9.0000000000000002E-6</v>
      </c>
      <c r="AE24" s="88">
        <v>6.0000000000000002E-6</v>
      </c>
      <c r="AF24" s="89">
        <v>-0.15909799999999999</v>
      </c>
      <c r="AG24" s="80"/>
    </row>
    <row r="25" spans="1:33" ht="15" customHeight="1" x14ac:dyDescent="0.25">
      <c r="A25" s="78" t="s">
        <v>319</v>
      </c>
      <c r="B25" s="87" t="s">
        <v>320</v>
      </c>
      <c r="C25" s="88">
        <v>0</v>
      </c>
      <c r="D25" s="88">
        <v>5.7910000000000001E-3</v>
      </c>
      <c r="E25" s="88">
        <v>1.1641E-2</v>
      </c>
      <c r="F25" s="88">
        <v>1.7745E-2</v>
      </c>
      <c r="G25" s="88">
        <v>2.4024E-2</v>
      </c>
      <c r="H25" s="88">
        <v>3.0276999999999998E-2</v>
      </c>
      <c r="I25" s="88">
        <v>3.6507999999999999E-2</v>
      </c>
      <c r="J25" s="88">
        <v>4.2764999999999997E-2</v>
      </c>
      <c r="K25" s="88">
        <v>4.9185E-2</v>
      </c>
      <c r="L25" s="88">
        <v>5.5924000000000001E-2</v>
      </c>
      <c r="M25" s="88">
        <v>6.3112000000000001E-2</v>
      </c>
      <c r="N25" s="88">
        <v>7.0484000000000005E-2</v>
      </c>
      <c r="O25" s="88">
        <v>7.8226000000000004E-2</v>
      </c>
      <c r="P25" s="88">
        <v>8.6534E-2</v>
      </c>
      <c r="Q25" s="88">
        <v>9.5422000000000007E-2</v>
      </c>
      <c r="R25" s="88">
        <v>0.10527400000000001</v>
      </c>
      <c r="S25" s="88">
        <v>0.11618100000000001</v>
      </c>
      <c r="T25" s="88">
        <v>0.128332</v>
      </c>
      <c r="U25" s="88">
        <v>0.14206299999999999</v>
      </c>
      <c r="V25" s="88">
        <v>0.157389</v>
      </c>
      <c r="W25" s="88">
        <v>0.17405100000000001</v>
      </c>
      <c r="X25" s="88">
        <v>0.19183600000000001</v>
      </c>
      <c r="Y25" s="88">
        <v>0.21071500000000001</v>
      </c>
      <c r="Z25" s="88">
        <v>0.23088900000000001</v>
      </c>
      <c r="AA25" s="88">
        <v>0.25246600000000002</v>
      </c>
      <c r="AB25" s="88">
        <v>0.27496199999999998</v>
      </c>
      <c r="AC25" s="88">
        <v>0.29769299999999999</v>
      </c>
      <c r="AD25" s="88">
        <v>0.32119900000000001</v>
      </c>
      <c r="AE25" s="88">
        <v>0.34622399999999998</v>
      </c>
      <c r="AF25" s="89" t="s">
        <v>321</v>
      </c>
      <c r="AG25" s="80"/>
    </row>
    <row r="26" spans="1:33" ht="15" customHeight="1" x14ac:dyDescent="0.25">
      <c r="A26" s="78" t="s">
        <v>322</v>
      </c>
      <c r="B26" s="87" t="s">
        <v>323</v>
      </c>
      <c r="C26" s="88">
        <v>0</v>
      </c>
      <c r="D26" s="88">
        <v>6.025E-3</v>
      </c>
      <c r="E26" s="88">
        <v>1.2128999999999999E-2</v>
      </c>
      <c r="F26" s="88">
        <v>1.8395000000000002E-2</v>
      </c>
      <c r="G26" s="88">
        <v>2.4749E-2</v>
      </c>
      <c r="H26" s="88">
        <v>3.0966E-2</v>
      </c>
      <c r="I26" s="88">
        <v>3.7011000000000002E-2</v>
      </c>
      <c r="J26" s="88">
        <v>4.2945999999999998E-2</v>
      </c>
      <c r="K26" s="88">
        <v>4.8956E-2</v>
      </c>
      <c r="L26" s="88">
        <v>5.5273999999999997E-2</v>
      </c>
      <c r="M26" s="88">
        <v>6.2050000000000001E-2</v>
      </c>
      <c r="N26" s="88">
        <v>6.9098000000000007E-2</v>
      </c>
      <c r="O26" s="88">
        <v>7.6633999999999994E-2</v>
      </c>
      <c r="P26" s="88">
        <v>8.4903000000000006E-2</v>
      </c>
      <c r="Q26" s="88">
        <v>9.3932000000000002E-2</v>
      </c>
      <c r="R26" s="88">
        <v>0.104143</v>
      </c>
      <c r="S26" s="88">
        <v>0.115635</v>
      </c>
      <c r="T26" s="88">
        <v>0.12864999999999999</v>
      </c>
      <c r="U26" s="88">
        <v>0.14353199999999999</v>
      </c>
      <c r="V26" s="88">
        <v>0.160333</v>
      </c>
      <c r="W26" s="88">
        <v>0.17879300000000001</v>
      </c>
      <c r="X26" s="88">
        <v>0.198736</v>
      </c>
      <c r="Y26" s="88">
        <v>0.21998000000000001</v>
      </c>
      <c r="Z26" s="88">
        <v>0.24280499999999999</v>
      </c>
      <c r="AA26" s="88">
        <v>0.26719799999999999</v>
      </c>
      <c r="AB26" s="88">
        <v>0.29270299999999999</v>
      </c>
      <c r="AC26" s="88">
        <v>0.318521</v>
      </c>
      <c r="AD26" s="88">
        <v>0.34528500000000001</v>
      </c>
      <c r="AE26" s="88">
        <v>0.37370199999999998</v>
      </c>
      <c r="AF26" s="89" t="s">
        <v>321</v>
      </c>
      <c r="AG26" s="80"/>
    </row>
    <row r="27" spans="1:33" ht="15" customHeight="1" x14ac:dyDescent="0.25">
      <c r="A27" s="78" t="s">
        <v>324</v>
      </c>
      <c r="B27" s="87" t="s">
        <v>325</v>
      </c>
      <c r="C27" s="88">
        <v>0</v>
      </c>
      <c r="D27" s="88">
        <v>0</v>
      </c>
      <c r="E27" s="88">
        <v>1.9999999999999999E-6</v>
      </c>
      <c r="F27" s="88">
        <v>3.9999999999999998E-6</v>
      </c>
      <c r="G27" s="88">
        <v>6.0000000000000002E-6</v>
      </c>
      <c r="H27" s="88">
        <v>7.9999999999999996E-6</v>
      </c>
      <c r="I27" s="88">
        <v>1.0000000000000001E-5</v>
      </c>
      <c r="J27" s="88">
        <v>1.1E-5</v>
      </c>
      <c r="K27" s="88">
        <v>1.2999999999999999E-5</v>
      </c>
      <c r="L27" s="88">
        <v>1.5E-5</v>
      </c>
      <c r="M27" s="88">
        <v>1.7E-5</v>
      </c>
      <c r="N27" s="88">
        <v>1.8E-5</v>
      </c>
      <c r="O27" s="88">
        <v>2.0000000000000002E-5</v>
      </c>
      <c r="P27" s="88">
        <v>2.0999999999999999E-5</v>
      </c>
      <c r="Q27" s="88">
        <v>2.1999999999999999E-5</v>
      </c>
      <c r="R27" s="88">
        <v>2.3E-5</v>
      </c>
      <c r="S27" s="88">
        <v>2.4000000000000001E-5</v>
      </c>
      <c r="T27" s="88">
        <v>2.5000000000000001E-5</v>
      </c>
      <c r="U27" s="88">
        <v>2.5999999999999998E-5</v>
      </c>
      <c r="V27" s="88">
        <v>2.6999999999999999E-5</v>
      </c>
      <c r="W27" s="88">
        <v>2.8E-5</v>
      </c>
      <c r="X27" s="88">
        <v>2.8E-5</v>
      </c>
      <c r="Y27" s="88">
        <v>2.8E-5</v>
      </c>
      <c r="Z27" s="88">
        <v>2.9E-5</v>
      </c>
      <c r="AA27" s="88">
        <v>2.9E-5</v>
      </c>
      <c r="AB27" s="88">
        <v>2.8E-5</v>
      </c>
      <c r="AC27" s="88">
        <v>2.8E-5</v>
      </c>
      <c r="AD27" s="88">
        <v>2.6999999999999999E-5</v>
      </c>
      <c r="AE27" s="88">
        <v>2.6999999999999999E-5</v>
      </c>
      <c r="AF27" s="89" t="s">
        <v>321</v>
      </c>
      <c r="AG27" s="80"/>
    </row>
    <row r="28" spans="1:33" ht="15" customHeight="1" x14ac:dyDescent="0.25">
      <c r="A28" s="78" t="s">
        <v>326</v>
      </c>
      <c r="B28" s="87" t="s">
        <v>327</v>
      </c>
      <c r="C28" s="88">
        <v>75.048714000000004</v>
      </c>
      <c r="D28" s="88">
        <v>74.717513999999994</v>
      </c>
      <c r="E28" s="88">
        <v>75.046081999999998</v>
      </c>
      <c r="F28" s="88">
        <v>76.143508999999995</v>
      </c>
      <c r="G28" s="88">
        <v>77.597999999999999</v>
      </c>
      <c r="H28" s="88">
        <v>78.820419000000001</v>
      </c>
      <c r="I28" s="88">
        <v>79.976401999999993</v>
      </c>
      <c r="J28" s="88">
        <v>81.127167</v>
      </c>
      <c r="K28" s="88">
        <v>82.517714999999995</v>
      </c>
      <c r="L28" s="88">
        <v>84.228110999999998</v>
      </c>
      <c r="M28" s="88">
        <v>86.234122999999997</v>
      </c>
      <c r="N28" s="88">
        <v>88.077529999999996</v>
      </c>
      <c r="O28" s="88">
        <v>89.911659</v>
      </c>
      <c r="P28" s="88">
        <v>91.791747999999998</v>
      </c>
      <c r="Q28" s="88">
        <v>93.544196999999997</v>
      </c>
      <c r="R28" s="88">
        <v>95.400565999999998</v>
      </c>
      <c r="S28" s="88">
        <v>97.240463000000005</v>
      </c>
      <c r="T28" s="88">
        <v>99.104270999999997</v>
      </c>
      <c r="U28" s="88">
        <v>101.111</v>
      </c>
      <c r="V28" s="88">
        <v>103.19528200000001</v>
      </c>
      <c r="W28" s="88">
        <v>105.237099</v>
      </c>
      <c r="X28" s="88">
        <v>107.199234</v>
      </c>
      <c r="Y28" s="88">
        <v>109.127678</v>
      </c>
      <c r="Z28" s="88">
        <v>111.1437</v>
      </c>
      <c r="AA28" s="88">
        <v>113.446144</v>
      </c>
      <c r="AB28" s="88">
        <v>115.847984</v>
      </c>
      <c r="AC28" s="88">
        <v>118.10760500000001</v>
      </c>
      <c r="AD28" s="88">
        <v>120.49865</v>
      </c>
      <c r="AE28" s="88">
        <v>123.323883</v>
      </c>
      <c r="AF28" s="89">
        <v>1.7897E-2</v>
      </c>
      <c r="AG28" s="80"/>
    </row>
    <row r="29" spans="1:33" ht="15" customHeight="1" x14ac:dyDescent="0.25">
      <c r="B29" s="86" t="s">
        <v>328</v>
      </c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</row>
    <row r="30" spans="1:33" ht="15" customHeight="1" x14ac:dyDescent="0.25">
      <c r="A30" s="78" t="s">
        <v>329</v>
      </c>
      <c r="B30" s="87" t="s">
        <v>308</v>
      </c>
      <c r="C30" s="88">
        <v>39.558543999999998</v>
      </c>
      <c r="D30" s="88">
        <v>39.337626999999998</v>
      </c>
      <c r="E30" s="88">
        <v>39.299655999999999</v>
      </c>
      <c r="F30" s="88">
        <v>39.581608000000003</v>
      </c>
      <c r="G30" s="88">
        <v>40.110664</v>
      </c>
      <c r="H30" s="88">
        <v>40.671706999999998</v>
      </c>
      <c r="I30" s="88">
        <v>41.263809000000002</v>
      </c>
      <c r="J30" s="88">
        <v>41.765324</v>
      </c>
      <c r="K30" s="88">
        <v>42.233722999999998</v>
      </c>
      <c r="L30" s="88">
        <v>42.755890000000001</v>
      </c>
      <c r="M30" s="88">
        <v>43.429985000000002</v>
      </c>
      <c r="N30" s="88">
        <v>44.019016000000001</v>
      </c>
      <c r="O30" s="88">
        <v>44.583286000000001</v>
      </c>
      <c r="P30" s="88">
        <v>45.18047</v>
      </c>
      <c r="Q30" s="88">
        <v>45.736732000000003</v>
      </c>
      <c r="R30" s="88">
        <v>46.355182999999997</v>
      </c>
      <c r="S30" s="88">
        <v>46.957836</v>
      </c>
      <c r="T30" s="88">
        <v>47.563808000000002</v>
      </c>
      <c r="U30" s="88">
        <v>48.222565000000003</v>
      </c>
      <c r="V30" s="88">
        <v>48.907677</v>
      </c>
      <c r="W30" s="88">
        <v>49.573700000000002</v>
      </c>
      <c r="X30" s="88">
        <v>50.240974000000001</v>
      </c>
      <c r="Y30" s="88">
        <v>50.887698999999998</v>
      </c>
      <c r="Z30" s="88">
        <v>51.487983999999997</v>
      </c>
      <c r="AA30" s="88">
        <v>52.142113000000002</v>
      </c>
      <c r="AB30" s="88">
        <v>52.823295999999999</v>
      </c>
      <c r="AC30" s="88">
        <v>53.454895</v>
      </c>
      <c r="AD30" s="88">
        <v>54.11842</v>
      </c>
      <c r="AE30" s="88">
        <v>54.955475</v>
      </c>
      <c r="AF30" s="89">
        <v>1.1809999999999999E-2</v>
      </c>
      <c r="AG30" s="80"/>
    </row>
    <row r="31" spans="1:33" ht="15" customHeight="1" x14ac:dyDescent="0.25">
      <c r="A31" s="78" t="s">
        <v>330</v>
      </c>
      <c r="B31" s="87" t="s">
        <v>310</v>
      </c>
      <c r="C31" s="88">
        <v>19.487116</v>
      </c>
      <c r="D31" s="88">
        <v>19.215472999999999</v>
      </c>
      <c r="E31" s="88">
        <v>19.072890999999998</v>
      </c>
      <c r="F31" s="88">
        <v>19.059853</v>
      </c>
      <c r="G31" s="88">
        <v>19.182478</v>
      </c>
      <c r="H31" s="88">
        <v>19.313580999999999</v>
      </c>
      <c r="I31" s="88">
        <v>19.478919999999999</v>
      </c>
      <c r="J31" s="88">
        <v>19.629051</v>
      </c>
      <c r="K31" s="88">
        <v>19.775127000000001</v>
      </c>
      <c r="L31" s="88">
        <v>19.949099</v>
      </c>
      <c r="M31" s="88">
        <v>20.215589999999999</v>
      </c>
      <c r="N31" s="88">
        <v>20.442692000000001</v>
      </c>
      <c r="O31" s="88">
        <v>20.670752</v>
      </c>
      <c r="P31" s="88">
        <v>20.911200000000001</v>
      </c>
      <c r="Q31" s="88">
        <v>21.112674999999999</v>
      </c>
      <c r="R31" s="88">
        <v>21.367301999999999</v>
      </c>
      <c r="S31" s="88">
        <v>21.576695999999998</v>
      </c>
      <c r="T31" s="88">
        <v>21.845286999999999</v>
      </c>
      <c r="U31" s="88">
        <v>22.114789999999999</v>
      </c>
      <c r="V31" s="88">
        <v>22.415617000000001</v>
      </c>
      <c r="W31" s="88">
        <v>22.714939000000001</v>
      </c>
      <c r="X31" s="88">
        <v>23.016795999999999</v>
      </c>
      <c r="Y31" s="88">
        <v>23.311952999999999</v>
      </c>
      <c r="Z31" s="88">
        <v>23.583117999999999</v>
      </c>
      <c r="AA31" s="88">
        <v>23.878855000000001</v>
      </c>
      <c r="AB31" s="88">
        <v>24.179131999999999</v>
      </c>
      <c r="AC31" s="88">
        <v>24.450662999999999</v>
      </c>
      <c r="AD31" s="88">
        <v>24.739687</v>
      </c>
      <c r="AE31" s="88">
        <v>25.097049999999999</v>
      </c>
      <c r="AF31" s="89">
        <v>9.077E-3</v>
      </c>
      <c r="AG31" s="80"/>
    </row>
    <row r="32" spans="1:33" ht="15" customHeight="1" x14ac:dyDescent="0.25">
      <c r="A32" s="78" t="s">
        <v>331</v>
      </c>
      <c r="B32" s="87" t="s">
        <v>312</v>
      </c>
      <c r="C32" s="88">
        <v>3.5519000000000002E-2</v>
      </c>
      <c r="D32" s="88">
        <v>3.6849E-2</v>
      </c>
      <c r="E32" s="88">
        <v>3.8300000000000001E-2</v>
      </c>
      <c r="F32" s="88">
        <v>3.9927999999999998E-2</v>
      </c>
      <c r="G32" s="88">
        <v>4.1890999999999998E-2</v>
      </c>
      <c r="H32" s="88">
        <v>4.3984000000000002E-2</v>
      </c>
      <c r="I32" s="88">
        <v>4.6241999999999998E-2</v>
      </c>
      <c r="J32" s="88">
        <v>4.8501000000000002E-2</v>
      </c>
      <c r="K32" s="88">
        <v>5.0944999999999997E-2</v>
      </c>
      <c r="L32" s="88">
        <v>5.3742999999999999E-2</v>
      </c>
      <c r="M32" s="88">
        <v>5.7158E-2</v>
      </c>
      <c r="N32" s="88">
        <v>6.1107000000000002E-2</v>
      </c>
      <c r="O32" s="88">
        <v>6.5478999999999996E-2</v>
      </c>
      <c r="P32" s="88">
        <v>6.9911000000000001E-2</v>
      </c>
      <c r="Q32" s="88">
        <v>7.4637999999999996E-2</v>
      </c>
      <c r="R32" s="88">
        <v>7.9952999999999996E-2</v>
      </c>
      <c r="S32" s="88">
        <v>8.5781999999999997E-2</v>
      </c>
      <c r="T32" s="88">
        <v>9.2218999999999995E-2</v>
      </c>
      <c r="U32" s="88">
        <v>9.9416000000000004E-2</v>
      </c>
      <c r="V32" s="88">
        <v>0.10742400000000001</v>
      </c>
      <c r="W32" s="88">
        <v>0.115934</v>
      </c>
      <c r="X32" s="88">
        <v>0.124888</v>
      </c>
      <c r="Y32" s="88">
        <v>0.13411600000000001</v>
      </c>
      <c r="Z32" s="88">
        <v>0.143486</v>
      </c>
      <c r="AA32" s="88">
        <v>0.153252</v>
      </c>
      <c r="AB32" s="88">
        <v>0.16322400000000001</v>
      </c>
      <c r="AC32" s="88">
        <v>0.17308100000000001</v>
      </c>
      <c r="AD32" s="88">
        <v>0.18249199999999999</v>
      </c>
      <c r="AE32" s="88">
        <v>0.19253300000000001</v>
      </c>
      <c r="AF32" s="89">
        <v>6.2223000000000001E-2</v>
      </c>
      <c r="AG32" s="80"/>
    </row>
    <row r="33" spans="1:33" ht="15" customHeight="1" x14ac:dyDescent="0.25">
      <c r="A33" s="78" t="s">
        <v>332</v>
      </c>
      <c r="B33" s="87" t="s">
        <v>314</v>
      </c>
      <c r="C33" s="88">
        <v>4.0710999999999997E-2</v>
      </c>
      <c r="D33" s="88">
        <v>3.8744000000000001E-2</v>
      </c>
      <c r="E33" s="88">
        <v>3.6801E-2</v>
      </c>
      <c r="F33" s="88">
        <v>3.5048999999999997E-2</v>
      </c>
      <c r="G33" s="88">
        <v>3.3437000000000001E-2</v>
      </c>
      <c r="H33" s="88">
        <v>3.1725999999999997E-2</v>
      </c>
      <c r="I33" s="88">
        <v>3.0068000000000001E-2</v>
      </c>
      <c r="J33" s="88">
        <v>2.8327000000000001E-2</v>
      </c>
      <c r="K33" s="88">
        <v>2.6554000000000001E-2</v>
      </c>
      <c r="L33" s="88">
        <v>2.4896000000000001E-2</v>
      </c>
      <c r="M33" s="88">
        <v>2.3394999999999999E-2</v>
      </c>
      <c r="N33" s="88">
        <v>2.1885999999999999E-2</v>
      </c>
      <c r="O33" s="88">
        <v>2.0383999999999999E-2</v>
      </c>
      <c r="P33" s="88">
        <v>1.8924E-2</v>
      </c>
      <c r="Q33" s="88">
        <v>1.7500999999999999E-2</v>
      </c>
      <c r="R33" s="88">
        <v>1.6240000000000001E-2</v>
      </c>
      <c r="S33" s="88">
        <v>1.5091E-2</v>
      </c>
      <c r="T33" s="88">
        <v>1.4094000000000001E-2</v>
      </c>
      <c r="U33" s="88">
        <v>1.316E-2</v>
      </c>
      <c r="V33" s="88">
        <v>1.2222E-2</v>
      </c>
      <c r="W33" s="88">
        <v>1.1379999999999999E-2</v>
      </c>
      <c r="X33" s="88">
        <v>1.0423999999999999E-2</v>
      </c>
      <c r="Y33" s="88">
        <v>9.4500000000000001E-3</v>
      </c>
      <c r="Z33" s="88">
        <v>8.6359999999999996E-3</v>
      </c>
      <c r="AA33" s="88">
        <v>7.9539999999999993E-3</v>
      </c>
      <c r="AB33" s="88">
        <v>7.2659999999999999E-3</v>
      </c>
      <c r="AC33" s="88">
        <v>6.5680000000000001E-3</v>
      </c>
      <c r="AD33" s="88">
        <v>5.9379999999999997E-3</v>
      </c>
      <c r="AE33" s="88">
        <v>5.4149999999999997E-3</v>
      </c>
      <c r="AF33" s="89">
        <v>-6.9514000000000006E-2</v>
      </c>
      <c r="AG33" s="80"/>
    </row>
    <row r="34" spans="1:33" ht="15" customHeight="1" x14ac:dyDescent="0.25">
      <c r="A34" s="78" t="s">
        <v>333</v>
      </c>
      <c r="B34" s="87" t="s">
        <v>316</v>
      </c>
      <c r="C34" s="88">
        <v>0.56798599999999999</v>
      </c>
      <c r="D34" s="88">
        <v>0.59782800000000003</v>
      </c>
      <c r="E34" s="88">
        <v>0.637764</v>
      </c>
      <c r="F34" s="88">
        <v>0.68537099999999995</v>
      </c>
      <c r="G34" s="88">
        <v>0.74296300000000004</v>
      </c>
      <c r="H34" s="88">
        <v>0.80857800000000002</v>
      </c>
      <c r="I34" s="88">
        <v>0.87989099999999998</v>
      </c>
      <c r="J34" s="88">
        <v>0.95517399999999997</v>
      </c>
      <c r="K34" s="88">
        <v>1.0367869999999999</v>
      </c>
      <c r="L34" s="88">
        <v>1.129257</v>
      </c>
      <c r="M34" s="88">
        <v>1.2372430000000001</v>
      </c>
      <c r="N34" s="88">
        <v>1.3557220000000001</v>
      </c>
      <c r="O34" s="88">
        <v>1.486297</v>
      </c>
      <c r="P34" s="88">
        <v>1.6277839999999999</v>
      </c>
      <c r="Q34" s="88">
        <v>1.7695620000000001</v>
      </c>
      <c r="R34" s="88">
        <v>1.9196610000000001</v>
      </c>
      <c r="S34" s="88">
        <v>2.070964</v>
      </c>
      <c r="T34" s="88">
        <v>2.2238769999999999</v>
      </c>
      <c r="U34" s="88">
        <v>2.3845040000000002</v>
      </c>
      <c r="V34" s="88">
        <v>2.5457839999999998</v>
      </c>
      <c r="W34" s="88">
        <v>2.7054459999999998</v>
      </c>
      <c r="X34" s="88">
        <v>2.8628369999999999</v>
      </c>
      <c r="Y34" s="88">
        <v>3.0127489999999999</v>
      </c>
      <c r="Z34" s="88">
        <v>3.1550750000000001</v>
      </c>
      <c r="AA34" s="88">
        <v>3.292932</v>
      </c>
      <c r="AB34" s="88">
        <v>3.4261879999999998</v>
      </c>
      <c r="AC34" s="88">
        <v>3.547679</v>
      </c>
      <c r="AD34" s="88">
        <v>3.667386</v>
      </c>
      <c r="AE34" s="88">
        <v>3.7930950000000001</v>
      </c>
      <c r="AF34" s="89">
        <v>7.0167999999999994E-2</v>
      </c>
      <c r="AG34" s="80"/>
    </row>
    <row r="35" spans="1:33" ht="15" customHeight="1" x14ac:dyDescent="0.25">
      <c r="A35" s="78" t="s">
        <v>334</v>
      </c>
      <c r="B35" s="87" t="s">
        <v>318</v>
      </c>
      <c r="C35" s="88">
        <v>4.7990000000000003E-3</v>
      </c>
      <c r="D35" s="88">
        <v>5.7080000000000004E-3</v>
      </c>
      <c r="E35" s="88">
        <v>6.4009999999999996E-3</v>
      </c>
      <c r="F35" s="88">
        <v>6.9449999999999998E-3</v>
      </c>
      <c r="G35" s="88">
        <v>7.3709999999999999E-3</v>
      </c>
      <c r="H35" s="88">
        <v>7.6620000000000004E-3</v>
      </c>
      <c r="I35" s="88">
        <v>7.8370000000000002E-3</v>
      </c>
      <c r="J35" s="88">
        <v>7.9019999999999993E-3</v>
      </c>
      <c r="K35" s="88">
        <v>7.8869999999999999E-3</v>
      </c>
      <c r="L35" s="88">
        <v>7.8220000000000008E-3</v>
      </c>
      <c r="M35" s="88">
        <v>7.7270000000000004E-3</v>
      </c>
      <c r="N35" s="88">
        <v>7.5750000000000001E-3</v>
      </c>
      <c r="O35" s="88">
        <v>7.3740000000000003E-3</v>
      </c>
      <c r="P35" s="88">
        <v>7.1599999999999997E-3</v>
      </c>
      <c r="Q35" s="88">
        <v>6.8789999999999997E-3</v>
      </c>
      <c r="R35" s="88">
        <v>6.5760000000000002E-3</v>
      </c>
      <c r="S35" s="88">
        <v>6.319E-3</v>
      </c>
      <c r="T35" s="88">
        <v>6.0559999999999998E-3</v>
      </c>
      <c r="U35" s="88">
        <v>5.7580000000000001E-3</v>
      </c>
      <c r="V35" s="88">
        <v>5.4679999999999998E-3</v>
      </c>
      <c r="W35" s="88">
        <v>5.1850000000000004E-3</v>
      </c>
      <c r="X35" s="88">
        <v>4.9100000000000003E-3</v>
      </c>
      <c r="Y35" s="88">
        <v>4.6449999999999998E-3</v>
      </c>
      <c r="Z35" s="88">
        <v>4.3909999999999999E-3</v>
      </c>
      <c r="AA35" s="88">
        <v>4.1580000000000002E-3</v>
      </c>
      <c r="AB35" s="88">
        <v>3.9370000000000004E-3</v>
      </c>
      <c r="AC35" s="88">
        <v>3.7230000000000002E-3</v>
      </c>
      <c r="AD35" s="88">
        <v>3.516E-3</v>
      </c>
      <c r="AE35" s="88">
        <v>3.3319999999999999E-3</v>
      </c>
      <c r="AF35" s="89">
        <v>-1.2949E-2</v>
      </c>
      <c r="AG35" s="80"/>
    </row>
    <row r="36" spans="1:33" ht="15" customHeight="1" x14ac:dyDescent="0.25">
      <c r="A36" s="78" t="s">
        <v>335</v>
      </c>
      <c r="B36" s="87" t="s">
        <v>320</v>
      </c>
      <c r="C36" s="88">
        <v>0</v>
      </c>
      <c r="D36" s="88">
        <v>0</v>
      </c>
      <c r="E36" s="88">
        <v>4.8300000000000001E-3</v>
      </c>
      <c r="F36" s="88">
        <v>9.332E-3</v>
      </c>
      <c r="G36" s="88">
        <v>1.3625E-2</v>
      </c>
      <c r="H36" s="88">
        <v>1.7784000000000001E-2</v>
      </c>
      <c r="I36" s="88">
        <v>2.1821E-2</v>
      </c>
      <c r="J36" s="88">
        <v>2.5634000000000001E-2</v>
      </c>
      <c r="K36" s="88">
        <v>2.9242000000000001E-2</v>
      </c>
      <c r="L36" s="88">
        <v>3.2780999999999998E-2</v>
      </c>
      <c r="M36" s="88">
        <v>3.644E-2</v>
      </c>
      <c r="N36" s="88">
        <v>4.0143999999999999E-2</v>
      </c>
      <c r="O36" s="88">
        <v>4.3930999999999998E-2</v>
      </c>
      <c r="P36" s="88">
        <v>4.7813000000000001E-2</v>
      </c>
      <c r="Q36" s="88">
        <v>5.1763000000000003E-2</v>
      </c>
      <c r="R36" s="88">
        <v>5.5931000000000002E-2</v>
      </c>
      <c r="S36" s="88">
        <v>6.0281000000000001E-2</v>
      </c>
      <c r="T36" s="88">
        <v>6.4887E-2</v>
      </c>
      <c r="U36" s="88">
        <v>6.9919999999999996E-2</v>
      </c>
      <c r="V36" s="88">
        <v>7.5448000000000001E-2</v>
      </c>
      <c r="W36" s="88">
        <v>8.1417000000000003E-2</v>
      </c>
      <c r="X36" s="88">
        <v>8.7566000000000005E-2</v>
      </c>
      <c r="Y36" s="88">
        <v>9.4056000000000001E-2</v>
      </c>
      <c r="Z36" s="88">
        <v>0.10083300000000001</v>
      </c>
      <c r="AA36" s="88">
        <v>0.108103</v>
      </c>
      <c r="AB36" s="88">
        <v>0.11576599999999999</v>
      </c>
      <c r="AC36" s="88">
        <v>0.123626</v>
      </c>
      <c r="AD36" s="88">
        <v>0.131829</v>
      </c>
      <c r="AE36" s="88">
        <v>0.140711</v>
      </c>
      <c r="AF36" s="89" t="s">
        <v>321</v>
      </c>
      <c r="AG36" s="80"/>
    </row>
    <row r="37" spans="1:33" ht="15" customHeight="1" x14ac:dyDescent="0.25">
      <c r="A37" s="78" t="s">
        <v>336</v>
      </c>
      <c r="B37" s="87" t="s">
        <v>323</v>
      </c>
      <c r="C37" s="88">
        <v>0</v>
      </c>
      <c r="D37" s="88">
        <v>0</v>
      </c>
      <c r="E37" s="88">
        <v>4.6990000000000001E-3</v>
      </c>
      <c r="F37" s="88">
        <v>8.9820000000000004E-3</v>
      </c>
      <c r="G37" s="88">
        <v>1.3004E-2</v>
      </c>
      <c r="H37" s="88">
        <v>1.6833000000000001E-2</v>
      </c>
      <c r="I37" s="88">
        <v>2.0468E-2</v>
      </c>
      <c r="J37" s="88">
        <v>2.3865000000000001E-2</v>
      </c>
      <c r="K37" s="88">
        <v>2.7097E-2</v>
      </c>
      <c r="L37" s="88">
        <v>3.0356999999999999E-2</v>
      </c>
      <c r="M37" s="88">
        <v>3.3845E-2</v>
      </c>
      <c r="N37" s="88">
        <v>3.7533999999999998E-2</v>
      </c>
      <c r="O37" s="88">
        <v>4.1471000000000001E-2</v>
      </c>
      <c r="P37" s="88">
        <v>4.5675E-2</v>
      </c>
      <c r="Q37" s="88">
        <v>5.0146000000000003E-2</v>
      </c>
      <c r="R37" s="88">
        <v>5.5066999999999998E-2</v>
      </c>
      <c r="S37" s="88">
        <v>6.0408000000000003E-2</v>
      </c>
      <c r="T37" s="88">
        <v>6.6288E-2</v>
      </c>
      <c r="U37" s="88">
        <v>7.2910000000000003E-2</v>
      </c>
      <c r="V37" s="88">
        <v>8.0391000000000004E-2</v>
      </c>
      <c r="W37" s="88">
        <v>8.8689000000000004E-2</v>
      </c>
      <c r="X37" s="88">
        <v>9.7592999999999999E-2</v>
      </c>
      <c r="Y37" s="88">
        <v>0.107179</v>
      </c>
      <c r="Z37" s="88">
        <v>0.11736099999999999</v>
      </c>
      <c r="AA37" s="88">
        <v>0.12828400000000001</v>
      </c>
      <c r="AB37" s="88">
        <v>0.139872</v>
      </c>
      <c r="AC37" s="88">
        <v>0.15181700000000001</v>
      </c>
      <c r="AD37" s="88">
        <v>0.16430400000000001</v>
      </c>
      <c r="AE37" s="88">
        <v>0.177619</v>
      </c>
      <c r="AF37" s="89" t="s">
        <v>321</v>
      </c>
      <c r="AG37" s="80"/>
    </row>
    <row r="38" spans="1:33" ht="15" customHeight="1" x14ac:dyDescent="0.25">
      <c r="A38" s="78" t="s">
        <v>337</v>
      </c>
      <c r="B38" s="87" t="s">
        <v>325</v>
      </c>
      <c r="C38" s="88">
        <v>0</v>
      </c>
      <c r="D38" s="88">
        <v>0</v>
      </c>
      <c r="E38" s="88">
        <v>8.0780000000000001E-3</v>
      </c>
      <c r="F38" s="88">
        <v>1.5644999999999999E-2</v>
      </c>
      <c r="G38" s="88">
        <v>2.2988999999999999E-2</v>
      </c>
      <c r="H38" s="88">
        <v>3.0179000000000001E-2</v>
      </c>
      <c r="I38" s="88">
        <v>3.7161E-2</v>
      </c>
      <c r="J38" s="88">
        <v>4.3795000000000001E-2</v>
      </c>
      <c r="K38" s="88">
        <v>5.0102000000000001E-2</v>
      </c>
      <c r="L38" s="88">
        <v>5.6294999999999998E-2</v>
      </c>
      <c r="M38" s="88">
        <v>6.2640000000000001E-2</v>
      </c>
      <c r="N38" s="88">
        <v>6.8956000000000003E-2</v>
      </c>
      <c r="O38" s="88">
        <v>7.5354000000000004E-2</v>
      </c>
      <c r="P38" s="88">
        <v>8.1948999999999994E-2</v>
      </c>
      <c r="Q38" s="88">
        <v>8.8664000000000007E-2</v>
      </c>
      <c r="R38" s="88">
        <v>9.5808000000000004E-2</v>
      </c>
      <c r="S38" s="88">
        <v>0.103379</v>
      </c>
      <c r="T38" s="88">
        <v>0.11151700000000001</v>
      </c>
      <c r="U38" s="88">
        <v>0.12053700000000001</v>
      </c>
      <c r="V38" s="88">
        <v>0.13056699999999999</v>
      </c>
      <c r="W38" s="88">
        <v>0.14152300000000001</v>
      </c>
      <c r="X38" s="88">
        <v>0.152972</v>
      </c>
      <c r="Y38" s="88">
        <v>0.16517100000000001</v>
      </c>
      <c r="Z38" s="88">
        <v>0.178007</v>
      </c>
      <c r="AA38" s="88">
        <v>0.191833</v>
      </c>
      <c r="AB38" s="88">
        <v>0.20646700000000001</v>
      </c>
      <c r="AC38" s="88">
        <v>0.22154599999999999</v>
      </c>
      <c r="AD38" s="88">
        <v>0.23730999999999999</v>
      </c>
      <c r="AE38" s="88">
        <v>0.25435600000000003</v>
      </c>
      <c r="AF38" s="89" t="s">
        <v>321</v>
      </c>
      <c r="AG38" s="80"/>
    </row>
    <row r="39" spans="1:33" ht="12" customHeight="1" x14ac:dyDescent="0.25">
      <c r="A39" s="78" t="s">
        <v>338</v>
      </c>
      <c r="B39" s="87" t="s">
        <v>339</v>
      </c>
      <c r="C39" s="88">
        <v>59.694575999999998</v>
      </c>
      <c r="D39" s="88">
        <v>59.232098000000001</v>
      </c>
      <c r="E39" s="88">
        <v>59.109397999999999</v>
      </c>
      <c r="F39" s="88">
        <v>59.442653999999997</v>
      </c>
      <c r="G39" s="88">
        <v>60.168362000000002</v>
      </c>
      <c r="H39" s="88">
        <v>60.942036000000002</v>
      </c>
      <c r="I39" s="88">
        <v>61.786160000000002</v>
      </c>
      <c r="J39" s="88">
        <v>62.527434999999997</v>
      </c>
      <c r="K39" s="88">
        <v>63.237366000000002</v>
      </c>
      <c r="L39" s="88">
        <v>64.040108000000004</v>
      </c>
      <c r="M39" s="88">
        <v>65.104018999999994</v>
      </c>
      <c r="N39" s="88">
        <v>66.054314000000005</v>
      </c>
      <c r="O39" s="88">
        <v>66.994217000000006</v>
      </c>
      <c r="P39" s="88">
        <v>67.990768000000003</v>
      </c>
      <c r="Q39" s="88">
        <v>68.908278999999993</v>
      </c>
      <c r="R39" s="88">
        <v>69.951363000000001</v>
      </c>
      <c r="S39" s="88">
        <v>70.936751999999998</v>
      </c>
      <c r="T39" s="88">
        <v>71.987885000000006</v>
      </c>
      <c r="U39" s="88">
        <v>73.103226000000006</v>
      </c>
      <c r="V39" s="88">
        <v>74.280495000000002</v>
      </c>
      <c r="W39" s="88">
        <v>75.437995999999998</v>
      </c>
      <c r="X39" s="88">
        <v>76.598990999999998</v>
      </c>
      <c r="Y39" s="88">
        <v>77.726692</v>
      </c>
      <c r="Z39" s="88">
        <v>78.778594999999996</v>
      </c>
      <c r="AA39" s="88">
        <v>79.907218999999998</v>
      </c>
      <c r="AB39" s="88">
        <v>81.064887999999996</v>
      </c>
      <c r="AC39" s="88">
        <v>82.133056999999994</v>
      </c>
      <c r="AD39" s="88">
        <v>83.250366</v>
      </c>
      <c r="AE39" s="88">
        <v>84.619040999999996</v>
      </c>
      <c r="AF39" s="89">
        <v>1.2539E-2</v>
      </c>
      <c r="AG39" s="80"/>
    </row>
    <row r="40" spans="1:33" ht="12" customHeight="1" x14ac:dyDescent="0.25">
      <c r="B40" s="86" t="s">
        <v>340</v>
      </c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</row>
    <row r="41" spans="1:33" ht="12" customHeight="1" x14ac:dyDescent="0.25">
      <c r="A41" s="78" t="s">
        <v>341</v>
      </c>
      <c r="B41" s="87" t="s">
        <v>308</v>
      </c>
      <c r="C41" s="88">
        <v>184.85647599999999</v>
      </c>
      <c r="D41" s="88">
        <v>184.36309800000001</v>
      </c>
      <c r="E41" s="88">
        <v>184.53233299999999</v>
      </c>
      <c r="F41" s="88">
        <v>185.92311100000001</v>
      </c>
      <c r="G41" s="88">
        <v>188.09622200000001</v>
      </c>
      <c r="H41" s="88">
        <v>189.92868000000001</v>
      </c>
      <c r="I41" s="88">
        <v>191.46675099999999</v>
      </c>
      <c r="J41" s="88">
        <v>192.31585699999999</v>
      </c>
      <c r="K41" s="88">
        <v>192.75872799999999</v>
      </c>
      <c r="L41" s="88">
        <v>193.261459</v>
      </c>
      <c r="M41" s="88">
        <v>194.18498199999999</v>
      </c>
      <c r="N41" s="88">
        <v>194.74160800000001</v>
      </c>
      <c r="O41" s="88">
        <v>195.212692</v>
      </c>
      <c r="P41" s="88">
        <v>195.789413</v>
      </c>
      <c r="Q41" s="88">
        <v>196.09771699999999</v>
      </c>
      <c r="R41" s="88">
        <v>196.645309</v>
      </c>
      <c r="S41" s="88">
        <v>197.177887</v>
      </c>
      <c r="T41" s="88">
        <v>197.587006</v>
      </c>
      <c r="U41" s="88">
        <v>198.118088</v>
      </c>
      <c r="V41" s="88">
        <v>198.717422</v>
      </c>
      <c r="W41" s="88">
        <v>199.29679899999999</v>
      </c>
      <c r="X41" s="88">
        <v>199.71180699999999</v>
      </c>
      <c r="Y41" s="88">
        <v>199.916168</v>
      </c>
      <c r="Z41" s="88">
        <v>199.88377399999999</v>
      </c>
      <c r="AA41" s="88">
        <v>199.97645600000001</v>
      </c>
      <c r="AB41" s="88">
        <v>200.03840600000001</v>
      </c>
      <c r="AC41" s="88">
        <v>199.82255599999999</v>
      </c>
      <c r="AD41" s="88">
        <v>199.676208</v>
      </c>
      <c r="AE41" s="88">
        <v>200.11251799999999</v>
      </c>
      <c r="AF41" s="89">
        <v>2.836E-3</v>
      </c>
      <c r="AG41" s="80"/>
    </row>
    <row r="42" spans="1:33" ht="12" customHeight="1" x14ac:dyDescent="0.25">
      <c r="A42" s="78" t="s">
        <v>342</v>
      </c>
      <c r="B42" s="87" t="s">
        <v>310</v>
      </c>
      <c r="C42" s="88">
        <v>0.177811</v>
      </c>
      <c r="D42" s="88">
        <v>0.177786</v>
      </c>
      <c r="E42" s="88">
        <v>0.18096300000000001</v>
      </c>
      <c r="F42" s="88">
        <v>0.18684300000000001</v>
      </c>
      <c r="G42" s="88">
        <v>0.19617399999999999</v>
      </c>
      <c r="H42" s="88">
        <v>0.207373</v>
      </c>
      <c r="I42" s="88">
        <v>0.21936700000000001</v>
      </c>
      <c r="J42" s="88">
        <v>0.23114199999999999</v>
      </c>
      <c r="K42" s="88">
        <v>0.243587</v>
      </c>
      <c r="L42" s="88">
        <v>0.25589200000000001</v>
      </c>
      <c r="M42" s="88">
        <v>0.26813500000000001</v>
      </c>
      <c r="N42" s="88">
        <v>0.27929500000000002</v>
      </c>
      <c r="O42" s="88">
        <v>0.28943799999999997</v>
      </c>
      <c r="P42" s="88">
        <v>0.29867300000000002</v>
      </c>
      <c r="Q42" s="88">
        <v>0.30595</v>
      </c>
      <c r="R42" s="88">
        <v>0.31252000000000002</v>
      </c>
      <c r="S42" s="88">
        <v>0.317911</v>
      </c>
      <c r="T42" s="88">
        <v>0.32267299999999999</v>
      </c>
      <c r="U42" s="88">
        <v>0.32754699999999998</v>
      </c>
      <c r="V42" s="88">
        <v>0.33221099999999998</v>
      </c>
      <c r="W42" s="88">
        <v>0.33520299999999997</v>
      </c>
      <c r="X42" s="88">
        <v>0.33737800000000001</v>
      </c>
      <c r="Y42" s="88">
        <v>0.33995199999999998</v>
      </c>
      <c r="Z42" s="88">
        <v>0.34246199999999999</v>
      </c>
      <c r="AA42" s="88">
        <v>0.34548699999999999</v>
      </c>
      <c r="AB42" s="88">
        <v>0.34853699999999999</v>
      </c>
      <c r="AC42" s="88">
        <v>0.351078</v>
      </c>
      <c r="AD42" s="88">
        <v>0.35373399999999999</v>
      </c>
      <c r="AE42" s="88">
        <v>0.35739300000000002</v>
      </c>
      <c r="AF42" s="89">
        <v>2.5246000000000001E-2</v>
      </c>
      <c r="AG42" s="80"/>
    </row>
    <row r="43" spans="1:33" ht="12" customHeight="1" x14ac:dyDescent="0.25">
      <c r="A43" s="78" t="s">
        <v>343</v>
      </c>
      <c r="B43" s="87" t="s">
        <v>312</v>
      </c>
      <c r="C43" s="88">
        <v>2.7640999999999999E-2</v>
      </c>
      <c r="D43" s="88">
        <v>3.0197000000000002E-2</v>
      </c>
      <c r="E43" s="88">
        <v>3.2635999999999998E-2</v>
      </c>
      <c r="F43" s="88">
        <v>3.4937000000000003E-2</v>
      </c>
      <c r="G43" s="88">
        <v>3.7206000000000003E-2</v>
      </c>
      <c r="H43" s="88">
        <v>3.9183000000000003E-2</v>
      </c>
      <c r="I43" s="88">
        <v>4.0808999999999998E-2</v>
      </c>
      <c r="J43" s="88">
        <v>4.1921E-2</v>
      </c>
      <c r="K43" s="88">
        <v>4.2710999999999999E-2</v>
      </c>
      <c r="L43" s="88">
        <v>4.3318000000000002E-2</v>
      </c>
      <c r="M43" s="88">
        <v>4.3885E-2</v>
      </c>
      <c r="N43" s="88">
        <v>4.4438999999999999E-2</v>
      </c>
      <c r="O43" s="88">
        <v>4.5072000000000001E-2</v>
      </c>
      <c r="P43" s="88">
        <v>4.5765E-2</v>
      </c>
      <c r="Q43" s="88">
        <v>4.6310999999999998E-2</v>
      </c>
      <c r="R43" s="88">
        <v>4.6865999999999998E-2</v>
      </c>
      <c r="S43" s="88">
        <v>4.7247999999999998E-2</v>
      </c>
      <c r="T43" s="88">
        <v>4.7566999999999998E-2</v>
      </c>
      <c r="U43" s="88">
        <v>4.7884999999999997E-2</v>
      </c>
      <c r="V43" s="88">
        <v>4.8297E-2</v>
      </c>
      <c r="W43" s="88">
        <v>4.8665E-2</v>
      </c>
      <c r="X43" s="88">
        <v>4.8979000000000002E-2</v>
      </c>
      <c r="Y43" s="88">
        <v>4.9224999999999998E-2</v>
      </c>
      <c r="Z43" s="88">
        <v>4.9414E-2</v>
      </c>
      <c r="AA43" s="88">
        <v>4.9660999999999997E-2</v>
      </c>
      <c r="AB43" s="88">
        <v>4.9919999999999999E-2</v>
      </c>
      <c r="AC43" s="88">
        <v>5.0112999999999998E-2</v>
      </c>
      <c r="AD43" s="88">
        <v>5.0276000000000001E-2</v>
      </c>
      <c r="AE43" s="88">
        <v>5.0529999999999999E-2</v>
      </c>
      <c r="AF43" s="89">
        <v>2.1777999999999999E-2</v>
      </c>
      <c r="AG43" s="80"/>
    </row>
    <row r="44" spans="1:33" ht="12" customHeight="1" x14ac:dyDescent="0.25">
      <c r="A44" s="78" t="s">
        <v>344</v>
      </c>
      <c r="B44" s="87" t="s">
        <v>314</v>
      </c>
      <c r="C44" s="88">
        <v>2.1454529999999998</v>
      </c>
      <c r="D44" s="88">
        <v>2.1948080000000001</v>
      </c>
      <c r="E44" s="88">
        <v>2.238753</v>
      </c>
      <c r="F44" s="88">
        <v>2.2810100000000002</v>
      </c>
      <c r="G44" s="88">
        <v>2.3176160000000001</v>
      </c>
      <c r="H44" s="88">
        <v>2.333008</v>
      </c>
      <c r="I44" s="88">
        <v>2.3302770000000002</v>
      </c>
      <c r="J44" s="88">
        <v>2.3079909999999999</v>
      </c>
      <c r="K44" s="88">
        <v>2.2735799999999999</v>
      </c>
      <c r="L44" s="88">
        <v>2.2439960000000001</v>
      </c>
      <c r="M44" s="88">
        <v>2.2315640000000001</v>
      </c>
      <c r="N44" s="88">
        <v>2.2348680000000001</v>
      </c>
      <c r="O44" s="88">
        <v>2.258435</v>
      </c>
      <c r="P44" s="88">
        <v>2.300837</v>
      </c>
      <c r="Q44" s="88">
        <v>2.3548930000000001</v>
      </c>
      <c r="R44" s="88">
        <v>2.4257279999999999</v>
      </c>
      <c r="S44" s="88">
        <v>2.5085950000000001</v>
      </c>
      <c r="T44" s="88">
        <v>2.603091</v>
      </c>
      <c r="U44" s="88">
        <v>2.7135720000000001</v>
      </c>
      <c r="V44" s="88">
        <v>2.839585</v>
      </c>
      <c r="W44" s="88">
        <v>2.9759509999999998</v>
      </c>
      <c r="X44" s="88">
        <v>3.1213359999999999</v>
      </c>
      <c r="Y44" s="88">
        <v>3.2739780000000001</v>
      </c>
      <c r="Z44" s="88">
        <v>3.4313400000000001</v>
      </c>
      <c r="AA44" s="88">
        <v>3.5991050000000002</v>
      </c>
      <c r="AB44" s="88">
        <v>3.7760549999999999</v>
      </c>
      <c r="AC44" s="88">
        <v>3.9549439999999998</v>
      </c>
      <c r="AD44" s="88">
        <v>4.1425939999999999</v>
      </c>
      <c r="AE44" s="88">
        <v>4.3523269999999998</v>
      </c>
      <c r="AF44" s="89">
        <v>2.5585E-2</v>
      </c>
      <c r="AG44" s="80"/>
    </row>
    <row r="45" spans="1:33" ht="12" customHeight="1" x14ac:dyDescent="0.25">
      <c r="A45" s="78" t="s">
        <v>345</v>
      </c>
      <c r="B45" s="87" t="s">
        <v>316</v>
      </c>
      <c r="C45" s="88">
        <v>0</v>
      </c>
      <c r="D45" s="88">
        <v>0</v>
      </c>
      <c r="E45" s="88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  <c r="X45" s="88">
        <v>0</v>
      </c>
      <c r="Y45" s="88">
        <v>0</v>
      </c>
      <c r="Z45" s="88">
        <v>0</v>
      </c>
      <c r="AA45" s="88">
        <v>0</v>
      </c>
      <c r="AB45" s="88">
        <v>0</v>
      </c>
      <c r="AC45" s="88">
        <v>0</v>
      </c>
      <c r="AD45" s="88">
        <v>0</v>
      </c>
      <c r="AE45" s="88">
        <v>0</v>
      </c>
      <c r="AF45" s="89" t="s">
        <v>321</v>
      </c>
      <c r="AG45" s="80"/>
    </row>
    <row r="46" spans="1:33" ht="12" customHeight="1" x14ac:dyDescent="0.25">
      <c r="A46" s="78" t="s">
        <v>346</v>
      </c>
      <c r="B46" s="87" t="s">
        <v>318</v>
      </c>
      <c r="C46" s="88">
        <v>4.2640000000000004E-3</v>
      </c>
      <c r="D46" s="88">
        <v>4.9620000000000003E-3</v>
      </c>
      <c r="E46" s="88">
        <v>5.5589999999999997E-3</v>
      </c>
      <c r="F46" s="88">
        <v>6.0879999999999997E-3</v>
      </c>
      <c r="G46" s="88">
        <v>6.5510000000000004E-3</v>
      </c>
      <c r="H46" s="88">
        <v>6.9119999999999997E-3</v>
      </c>
      <c r="I46" s="88">
        <v>7.1720000000000004E-3</v>
      </c>
      <c r="J46" s="88">
        <v>7.3239999999999998E-3</v>
      </c>
      <c r="K46" s="88">
        <v>7.3829999999999998E-3</v>
      </c>
      <c r="L46" s="88">
        <v>7.3670000000000003E-3</v>
      </c>
      <c r="M46" s="88">
        <v>7.2839999999999997E-3</v>
      </c>
      <c r="N46" s="88">
        <v>7.1079999999999997E-3</v>
      </c>
      <c r="O46" s="88">
        <v>6.8630000000000002E-3</v>
      </c>
      <c r="P46" s="88">
        <v>6.574E-3</v>
      </c>
      <c r="Q46" s="88">
        <v>6.2440000000000004E-3</v>
      </c>
      <c r="R46" s="88">
        <v>5.9220000000000002E-3</v>
      </c>
      <c r="S46" s="88">
        <v>5.6039999999999996E-3</v>
      </c>
      <c r="T46" s="88">
        <v>5.2440000000000004E-3</v>
      </c>
      <c r="U46" s="88">
        <v>4.8760000000000001E-3</v>
      </c>
      <c r="V46" s="88">
        <v>4.5599999999999998E-3</v>
      </c>
      <c r="W46" s="88">
        <v>4.2989999999999999E-3</v>
      </c>
      <c r="X46" s="88">
        <v>4.0299999999999997E-3</v>
      </c>
      <c r="Y46" s="88">
        <v>3.7850000000000002E-3</v>
      </c>
      <c r="Z46" s="88">
        <v>3.5599999999999998E-3</v>
      </c>
      <c r="AA46" s="88">
        <v>3.3570000000000002E-3</v>
      </c>
      <c r="AB46" s="88">
        <v>3.1700000000000001E-3</v>
      </c>
      <c r="AC46" s="88">
        <v>2.9910000000000002E-3</v>
      </c>
      <c r="AD46" s="88">
        <v>2.826E-3</v>
      </c>
      <c r="AE46" s="88">
        <v>2.6809999999999998E-3</v>
      </c>
      <c r="AF46" s="89">
        <v>-1.6431000000000001E-2</v>
      </c>
      <c r="AG46" s="80"/>
    </row>
    <row r="47" spans="1:33" ht="12" customHeight="1" x14ac:dyDescent="0.25">
      <c r="A47" s="78" t="s">
        <v>347</v>
      </c>
      <c r="B47" s="87" t="s">
        <v>320</v>
      </c>
      <c r="C47" s="88">
        <v>0</v>
      </c>
      <c r="D47" s="88">
        <v>0</v>
      </c>
      <c r="E47" s="88">
        <v>1.2459999999999999E-3</v>
      </c>
      <c r="F47" s="88">
        <v>2.4299999999999999E-3</v>
      </c>
      <c r="G47" s="88">
        <v>3.5999999999999999E-3</v>
      </c>
      <c r="H47" s="88">
        <v>4.7790000000000003E-3</v>
      </c>
      <c r="I47" s="88">
        <v>5.9699999999999996E-3</v>
      </c>
      <c r="J47" s="88">
        <v>7.1459999999999996E-3</v>
      </c>
      <c r="K47" s="88">
        <v>8.3099999999999997E-3</v>
      </c>
      <c r="L47" s="88">
        <v>9.4830000000000001E-3</v>
      </c>
      <c r="M47" s="88">
        <v>1.0697E-2</v>
      </c>
      <c r="N47" s="88">
        <v>1.1908E-2</v>
      </c>
      <c r="O47" s="88">
        <v>1.3110999999999999E-2</v>
      </c>
      <c r="P47" s="88">
        <v>1.4297000000000001E-2</v>
      </c>
      <c r="Q47" s="88">
        <v>1.5442000000000001E-2</v>
      </c>
      <c r="R47" s="88">
        <v>1.6583000000000001E-2</v>
      </c>
      <c r="S47" s="88">
        <v>1.7701999999999999E-2</v>
      </c>
      <c r="T47" s="88">
        <v>1.8821000000000001E-2</v>
      </c>
      <c r="U47" s="88">
        <v>1.9993E-2</v>
      </c>
      <c r="V47" s="88">
        <v>2.1249000000000001E-2</v>
      </c>
      <c r="W47" s="88">
        <v>2.2599000000000001E-2</v>
      </c>
      <c r="X47" s="88">
        <v>2.4008999999999999E-2</v>
      </c>
      <c r="Y47" s="88">
        <v>2.5467E-2</v>
      </c>
      <c r="Z47" s="88">
        <v>2.7012999999999999E-2</v>
      </c>
      <c r="AA47" s="88">
        <v>2.8766E-2</v>
      </c>
      <c r="AB47" s="88">
        <v>3.0682000000000001E-2</v>
      </c>
      <c r="AC47" s="88">
        <v>3.2723000000000002E-2</v>
      </c>
      <c r="AD47" s="88">
        <v>3.4948E-2</v>
      </c>
      <c r="AE47" s="88">
        <v>3.7458999999999999E-2</v>
      </c>
      <c r="AF47" s="89" t="s">
        <v>321</v>
      </c>
      <c r="AG47" s="80"/>
    </row>
    <row r="48" spans="1:33" ht="12" customHeight="1" x14ac:dyDescent="0.25">
      <c r="A48" s="78" t="s">
        <v>348</v>
      </c>
      <c r="B48" s="87" t="s">
        <v>323</v>
      </c>
      <c r="C48" s="88">
        <v>0</v>
      </c>
      <c r="D48" s="88">
        <v>0</v>
      </c>
      <c r="E48" s="88">
        <v>2.7629999999999998E-3</v>
      </c>
      <c r="F48" s="88">
        <v>5.3410000000000003E-3</v>
      </c>
      <c r="G48" s="88">
        <v>7.8609999999999999E-3</v>
      </c>
      <c r="H48" s="88">
        <v>1.0366999999999999E-2</v>
      </c>
      <c r="I48" s="88">
        <v>1.2848999999999999E-2</v>
      </c>
      <c r="J48" s="88">
        <v>1.5254999999999999E-2</v>
      </c>
      <c r="K48" s="88">
        <v>1.7602E-2</v>
      </c>
      <c r="L48" s="88">
        <v>1.9949999999999999E-2</v>
      </c>
      <c r="M48" s="88">
        <v>2.2349999999999998E-2</v>
      </c>
      <c r="N48" s="88">
        <v>2.4709999999999999E-2</v>
      </c>
      <c r="O48" s="88">
        <v>2.7015999999999998E-2</v>
      </c>
      <c r="P48" s="88">
        <v>2.9253000000000001E-2</v>
      </c>
      <c r="Q48" s="88">
        <v>3.1358999999999998E-2</v>
      </c>
      <c r="R48" s="88">
        <v>3.3411999999999997E-2</v>
      </c>
      <c r="S48" s="88">
        <v>3.5375999999999998E-2</v>
      </c>
      <c r="T48" s="88">
        <v>3.7298999999999999E-2</v>
      </c>
      <c r="U48" s="88">
        <v>3.9281999999999997E-2</v>
      </c>
      <c r="V48" s="88">
        <v>4.1389000000000002E-2</v>
      </c>
      <c r="W48" s="88">
        <v>4.3633999999999999E-2</v>
      </c>
      <c r="X48" s="88">
        <v>4.5939000000000001E-2</v>
      </c>
      <c r="Y48" s="88">
        <v>4.8251000000000002E-2</v>
      </c>
      <c r="Z48" s="88">
        <v>5.0642E-2</v>
      </c>
      <c r="AA48" s="88">
        <v>5.3318999999999998E-2</v>
      </c>
      <c r="AB48" s="88">
        <v>5.6163999999999999E-2</v>
      </c>
      <c r="AC48" s="88">
        <v>5.9069999999999998E-2</v>
      </c>
      <c r="AD48" s="88">
        <v>6.2129999999999998E-2</v>
      </c>
      <c r="AE48" s="88">
        <v>6.5481999999999999E-2</v>
      </c>
      <c r="AF48" s="89" t="s">
        <v>321</v>
      </c>
      <c r="AG48" s="80"/>
    </row>
    <row r="49" spans="1:33" ht="12" customHeight="1" x14ac:dyDescent="0.25">
      <c r="A49" s="78" t="s">
        <v>349</v>
      </c>
      <c r="B49" s="87" t="s">
        <v>325</v>
      </c>
      <c r="C49" s="88">
        <v>0</v>
      </c>
      <c r="D49" s="88">
        <v>0</v>
      </c>
      <c r="E49" s="88">
        <v>6.7799999999999996E-3</v>
      </c>
      <c r="F49" s="88">
        <v>1.3259E-2</v>
      </c>
      <c r="G49" s="88">
        <v>1.9751000000000001E-2</v>
      </c>
      <c r="H49" s="88">
        <v>2.6343999999999999E-2</v>
      </c>
      <c r="I49" s="88">
        <v>3.2989999999999998E-2</v>
      </c>
      <c r="J49" s="88">
        <v>3.9545999999999998E-2</v>
      </c>
      <c r="K49" s="88">
        <v>4.5989000000000002E-2</v>
      </c>
      <c r="L49" s="88">
        <v>5.2422999999999997E-2</v>
      </c>
      <c r="M49" s="88">
        <v>5.8964999999999997E-2</v>
      </c>
      <c r="N49" s="88">
        <v>6.5315999999999999E-2</v>
      </c>
      <c r="O49" s="88">
        <v>7.1456000000000006E-2</v>
      </c>
      <c r="P49" s="88">
        <v>7.7359999999999998E-2</v>
      </c>
      <c r="Q49" s="88">
        <v>8.2834000000000005E-2</v>
      </c>
      <c r="R49" s="88">
        <v>8.8063000000000002E-2</v>
      </c>
      <c r="S49" s="88">
        <v>9.2966999999999994E-2</v>
      </c>
      <c r="T49" s="88">
        <v>9.7628999999999994E-2</v>
      </c>
      <c r="U49" s="88">
        <v>0.102295</v>
      </c>
      <c r="V49" s="88">
        <v>0.107098</v>
      </c>
      <c r="W49" s="88">
        <v>0.112072</v>
      </c>
      <c r="X49" s="88">
        <v>0.117018</v>
      </c>
      <c r="Y49" s="88">
        <v>0.121867</v>
      </c>
      <c r="Z49" s="88">
        <v>0.126833</v>
      </c>
      <c r="AA49" s="88">
        <v>0.13251499999999999</v>
      </c>
      <c r="AB49" s="88">
        <v>0.13867199999999999</v>
      </c>
      <c r="AC49" s="88">
        <v>0.14514199999999999</v>
      </c>
      <c r="AD49" s="88">
        <v>0.15223400000000001</v>
      </c>
      <c r="AE49" s="88">
        <v>0.16041800000000001</v>
      </c>
      <c r="AF49" s="89" t="s">
        <v>321</v>
      </c>
      <c r="AG49" s="80"/>
    </row>
    <row r="50" spans="1:33" ht="15" customHeight="1" x14ac:dyDescent="0.25">
      <c r="A50" s="78" t="s">
        <v>350</v>
      </c>
      <c r="B50" s="87" t="s">
        <v>351</v>
      </c>
      <c r="C50" s="88">
        <v>187.21160900000001</v>
      </c>
      <c r="D50" s="88">
        <v>186.77065999999999</v>
      </c>
      <c r="E50" s="88">
        <v>187.000778</v>
      </c>
      <c r="F50" s="88">
        <v>188.45283499999999</v>
      </c>
      <c r="G50" s="88">
        <v>190.68485999999999</v>
      </c>
      <c r="H50" s="88">
        <v>192.55638099999999</v>
      </c>
      <c r="I50" s="88">
        <v>194.11634799999999</v>
      </c>
      <c r="J50" s="88">
        <v>194.965881</v>
      </c>
      <c r="K50" s="88">
        <v>195.39752200000001</v>
      </c>
      <c r="L50" s="88">
        <v>195.89364599999999</v>
      </c>
      <c r="M50" s="88">
        <v>196.827133</v>
      </c>
      <c r="N50" s="88">
        <v>197.409042</v>
      </c>
      <c r="O50" s="88">
        <v>197.923721</v>
      </c>
      <c r="P50" s="88">
        <v>198.56163000000001</v>
      </c>
      <c r="Q50" s="88">
        <v>198.940033</v>
      </c>
      <c r="R50" s="88">
        <v>199.57363900000001</v>
      </c>
      <c r="S50" s="88">
        <v>200.20254499999999</v>
      </c>
      <c r="T50" s="88">
        <v>200.71847500000001</v>
      </c>
      <c r="U50" s="88">
        <v>201.372726</v>
      </c>
      <c r="V50" s="88">
        <v>202.11119099999999</v>
      </c>
      <c r="W50" s="88">
        <v>202.83833300000001</v>
      </c>
      <c r="X50" s="88">
        <v>203.409256</v>
      </c>
      <c r="Y50" s="88">
        <v>203.777603</v>
      </c>
      <c r="Z50" s="88">
        <v>203.91366600000001</v>
      </c>
      <c r="AA50" s="88">
        <v>204.18713399999999</v>
      </c>
      <c r="AB50" s="88">
        <v>204.44009399999999</v>
      </c>
      <c r="AC50" s="88">
        <v>204.41752600000001</v>
      </c>
      <c r="AD50" s="88">
        <v>204.47378499999999</v>
      </c>
      <c r="AE50" s="88">
        <v>205.13784799999999</v>
      </c>
      <c r="AF50" s="89">
        <v>3.271E-3</v>
      </c>
      <c r="AG50" s="80"/>
    </row>
    <row r="51" spans="1:33" ht="15" customHeight="1" x14ac:dyDescent="0.25">
      <c r="A51" s="78" t="s">
        <v>352</v>
      </c>
      <c r="B51" s="86" t="s">
        <v>353</v>
      </c>
      <c r="C51" s="90">
        <v>321.95382699999999</v>
      </c>
      <c r="D51" s="90">
        <v>320.71957400000002</v>
      </c>
      <c r="E51" s="90">
        <v>321.15536500000002</v>
      </c>
      <c r="F51" s="90">
        <v>324.03747600000003</v>
      </c>
      <c r="G51" s="90">
        <v>328.449524</v>
      </c>
      <c r="H51" s="90">
        <v>332.317474</v>
      </c>
      <c r="I51" s="90">
        <v>335.87713600000001</v>
      </c>
      <c r="J51" s="90">
        <v>338.61987299999998</v>
      </c>
      <c r="K51" s="90">
        <v>341.150757</v>
      </c>
      <c r="L51" s="90">
        <v>344.15997299999998</v>
      </c>
      <c r="M51" s="90">
        <v>348.16451999999998</v>
      </c>
      <c r="N51" s="90">
        <v>351.53851300000002</v>
      </c>
      <c r="O51" s="90">
        <v>354.827271</v>
      </c>
      <c r="P51" s="90">
        <v>358.34310900000003</v>
      </c>
      <c r="Q51" s="90">
        <v>361.39160199999998</v>
      </c>
      <c r="R51" s="90">
        <v>364.92498799999998</v>
      </c>
      <c r="S51" s="90">
        <v>368.37805200000003</v>
      </c>
      <c r="T51" s="90">
        <v>371.80917399999998</v>
      </c>
      <c r="U51" s="90">
        <v>375.585419</v>
      </c>
      <c r="V51" s="90">
        <v>379.58303799999999</v>
      </c>
      <c r="W51" s="90">
        <v>383.51110799999998</v>
      </c>
      <c r="X51" s="90">
        <v>387.20507800000001</v>
      </c>
      <c r="Y51" s="90">
        <v>390.63012700000002</v>
      </c>
      <c r="Z51" s="90">
        <v>393.83450299999998</v>
      </c>
      <c r="AA51" s="90">
        <v>397.53842200000003</v>
      </c>
      <c r="AB51" s="90">
        <v>401.35025000000002</v>
      </c>
      <c r="AC51" s="90">
        <v>404.65438799999998</v>
      </c>
      <c r="AD51" s="90">
        <v>408.21890300000001</v>
      </c>
      <c r="AE51" s="90">
        <v>413.07754499999999</v>
      </c>
      <c r="AF51" s="91">
        <v>8.9409999999999993E-3</v>
      </c>
      <c r="AG51" s="80"/>
    </row>
    <row r="52" spans="1:33" ht="15" customHeight="1" x14ac:dyDescent="0.25"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</row>
    <row r="53" spans="1:33" ht="15" customHeight="1" x14ac:dyDescent="0.25">
      <c r="B53" s="86" t="s">
        <v>354</v>
      </c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</row>
    <row r="54" spans="1:33" ht="15" customHeight="1" x14ac:dyDescent="0.25">
      <c r="B54" s="86" t="s">
        <v>306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</row>
    <row r="55" spans="1:33" ht="15" customHeight="1" x14ac:dyDescent="0.25">
      <c r="A55" s="78" t="s">
        <v>355</v>
      </c>
      <c r="B55" s="87" t="s">
        <v>308</v>
      </c>
      <c r="C55" s="88">
        <v>503.23831200000001</v>
      </c>
      <c r="D55" s="88">
        <v>484.80926499999998</v>
      </c>
      <c r="E55" s="88">
        <v>470.10183699999999</v>
      </c>
      <c r="F55" s="88">
        <v>459.78448500000002</v>
      </c>
      <c r="G55" s="88">
        <v>451.87814300000002</v>
      </c>
      <c r="H55" s="88">
        <v>443.24606299999999</v>
      </c>
      <c r="I55" s="88">
        <v>435.43273900000003</v>
      </c>
      <c r="J55" s="88">
        <v>428.57592799999998</v>
      </c>
      <c r="K55" s="88">
        <v>424.18490600000001</v>
      </c>
      <c r="L55" s="88">
        <v>422.56686400000001</v>
      </c>
      <c r="M55" s="88">
        <v>423.05703699999998</v>
      </c>
      <c r="N55" s="88">
        <v>423.25711100000001</v>
      </c>
      <c r="O55" s="88">
        <v>424.284088</v>
      </c>
      <c r="P55" s="88">
        <v>426.25698899999998</v>
      </c>
      <c r="Q55" s="88">
        <v>428.07437099999999</v>
      </c>
      <c r="R55" s="88">
        <v>430.74142499999999</v>
      </c>
      <c r="S55" s="88">
        <v>433.84167500000001</v>
      </c>
      <c r="T55" s="88">
        <v>437.71460000000002</v>
      </c>
      <c r="U55" s="88">
        <v>442.68820199999999</v>
      </c>
      <c r="V55" s="88">
        <v>448.15237400000001</v>
      </c>
      <c r="W55" s="88">
        <v>453.842896</v>
      </c>
      <c r="X55" s="88">
        <v>459.89022799999998</v>
      </c>
      <c r="Y55" s="88">
        <v>466.29980499999999</v>
      </c>
      <c r="Z55" s="88">
        <v>473.53125</v>
      </c>
      <c r="AA55" s="88">
        <v>482.34017899999998</v>
      </c>
      <c r="AB55" s="88">
        <v>491.89630099999999</v>
      </c>
      <c r="AC55" s="88">
        <v>501.23675500000002</v>
      </c>
      <c r="AD55" s="88">
        <v>511.31161500000002</v>
      </c>
      <c r="AE55" s="88">
        <v>523.31237799999997</v>
      </c>
      <c r="AF55" s="89">
        <v>1.3979999999999999E-3</v>
      </c>
      <c r="AG55" s="80"/>
    </row>
    <row r="56" spans="1:33" ht="15" customHeight="1" x14ac:dyDescent="0.25">
      <c r="A56" s="78" t="s">
        <v>356</v>
      </c>
      <c r="B56" s="87" t="s">
        <v>310</v>
      </c>
      <c r="C56" s="88">
        <v>196.41987599999999</v>
      </c>
      <c r="D56" s="88">
        <v>201.42117300000001</v>
      </c>
      <c r="E56" s="88">
        <v>206.93258700000001</v>
      </c>
      <c r="F56" s="88">
        <v>213.48280299999999</v>
      </c>
      <c r="G56" s="88">
        <v>220.532242</v>
      </c>
      <c r="H56" s="88">
        <v>226.21765099999999</v>
      </c>
      <c r="I56" s="88">
        <v>231.31050099999999</v>
      </c>
      <c r="J56" s="88">
        <v>235.959091</v>
      </c>
      <c r="K56" s="88">
        <v>241.020599</v>
      </c>
      <c r="L56" s="88">
        <v>246.62307699999999</v>
      </c>
      <c r="M56" s="88">
        <v>253.26930200000001</v>
      </c>
      <c r="N56" s="88">
        <v>259.52279700000003</v>
      </c>
      <c r="O56" s="88">
        <v>265.59988399999997</v>
      </c>
      <c r="P56" s="88">
        <v>271.63848899999999</v>
      </c>
      <c r="Q56" s="88">
        <v>277.36450200000002</v>
      </c>
      <c r="R56" s="88">
        <v>283.44360399999999</v>
      </c>
      <c r="S56" s="88">
        <v>289.37484699999999</v>
      </c>
      <c r="T56" s="88">
        <v>295.02786300000002</v>
      </c>
      <c r="U56" s="88">
        <v>300.90585299999998</v>
      </c>
      <c r="V56" s="88">
        <v>307.12255900000002</v>
      </c>
      <c r="W56" s="88">
        <v>313.00485200000003</v>
      </c>
      <c r="X56" s="88">
        <v>318.11236600000001</v>
      </c>
      <c r="Y56" s="88">
        <v>322.94775399999997</v>
      </c>
      <c r="Z56" s="88">
        <v>327.87622099999999</v>
      </c>
      <c r="AA56" s="88">
        <v>333.58059700000001</v>
      </c>
      <c r="AB56" s="88">
        <v>339.54461700000002</v>
      </c>
      <c r="AC56" s="88">
        <v>345.05282599999998</v>
      </c>
      <c r="AD56" s="88">
        <v>350.95578</v>
      </c>
      <c r="AE56" s="88">
        <v>358.22073399999999</v>
      </c>
      <c r="AF56" s="89">
        <v>2.1693E-2</v>
      </c>
      <c r="AG56" s="80"/>
    </row>
    <row r="57" spans="1:33" ht="15" customHeight="1" x14ac:dyDescent="0.25">
      <c r="A57" s="78" t="s">
        <v>357</v>
      </c>
      <c r="B57" s="87" t="s">
        <v>312</v>
      </c>
      <c r="C57" s="88">
        <v>8.8240000000000002E-3</v>
      </c>
      <c r="D57" s="88">
        <v>7.9077999999999996E-2</v>
      </c>
      <c r="E57" s="88">
        <v>0.148368</v>
      </c>
      <c r="F57" s="88">
        <v>0.21179600000000001</v>
      </c>
      <c r="G57" s="88">
        <v>0.27223000000000003</v>
      </c>
      <c r="H57" s="88">
        <v>0.32808500000000002</v>
      </c>
      <c r="I57" s="88">
        <v>0.38041599999999998</v>
      </c>
      <c r="J57" s="88">
        <v>0.42970399999999997</v>
      </c>
      <c r="K57" s="88">
        <v>0.47746899999999998</v>
      </c>
      <c r="L57" s="88">
        <v>0.52570099999999997</v>
      </c>
      <c r="M57" s="88">
        <v>0.57518100000000005</v>
      </c>
      <c r="N57" s="88">
        <v>0.62354500000000002</v>
      </c>
      <c r="O57" s="88">
        <v>0.67189600000000005</v>
      </c>
      <c r="P57" s="88">
        <v>0.72209299999999998</v>
      </c>
      <c r="Q57" s="88">
        <v>0.774258</v>
      </c>
      <c r="R57" s="88">
        <v>0.83129299999999995</v>
      </c>
      <c r="S57" s="88">
        <v>0.89303100000000002</v>
      </c>
      <c r="T57" s="88">
        <v>0.96070500000000003</v>
      </c>
      <c r="U57" s="88">
        <v>1.0362130000000001</v>
      </c>
      <c r="V57" s="88">
        <v>1.1198399999999999</v>
      </c>
      <c r="W57" s="88">
        <v>1.2106049999999999</v>
      </c>
      <c r="X57" s="88">
        <v>1.308586</v>
      </c>
      <c r="Y57" s="88">
        <v>1.4124559999999999</v>
      </c>
      <c r="Z57" s="88">
        <v>1.5254019999999999</v>
      </c>
      <c r="AA57" s="88">
        <v>1.6511499999999999</v>
      </c>
      <c r="AB57" s="88">
        <v>1.7869219999999999</v>
      </c>
      <c r="AC57" s="88">
        <v>1.9285939999999999</v>
      </c>
      <c r="AD57" s="88">
        <v>2.0794359999999998</v>
      </c>
      <c r="AE57" s="88">
        <v>2.2445430000000002</v>
      </c>
      <c r="AF57" s="89">
        <v>0.21873799999999999</v>
      </c>
      <c r="AG57" s="80"/>
    </row>
    <row r="58" spans="1:33" ht="15" customHeight="1" x14ac:dyDescent="0.25">
      <c r="A58" s="78" t="s">
        <v>358</v>
      </c>
      <c r="B58" s="87" t="s">
        <v>314</v>
      </c>
      <c r="C58" s="88">
        <v>0.19211600000000001</v>
      </c>
      <c r="D58" s="88">
        <v>0.174257</v>
      </c>
      <c r="E58" s="88">
        <v>0.158799</v>
      </c>
      <c r="F58" s="88">
        <v>0.14580599999999999</v>
      </c>
      <c r="G58" s="88">
        <v>0.134438</v>
      </c>
      <c r="H58" s="88">
        <v>0.123654</v>
      </c>
      <c r="I58" s="88">
        <v>0.113679</v>
      </c>
      <c r="J58" s="88">
        <v>0.10448499999999999</v>
      </c>
      <c r="K58" s="88">
        <v>9.6243999999999996E-2</v>
      </c>
      <c r="L58" s="88">
        <v>8.8942999999999994E-2</v>
      </c>
      <c r="M58" s="88">
        <v>8.2427E-2</v>
      </c>
      <c r="N58" s="88">
        <v>7.5772999999999993E-2</v>
      </c>
      <c r="O58" s="88">
        <v>6.8821999999999994E-2</v>
      </c>
      <c r="P58" s="88">
        <v>6.1432E-2</v>
      </c>
      <c r="Q58" s="88">
        <v>5.3884000000000001E-2</v>
      </c>
      <c r="R58" s="88">
        <v>4.5974000000000001E-2</v>
      </c>
      <c r="S58" s="88">
        <v>3.8684999999999997E-2</v>
      </c>
      <c r="T58" s="88">
        <v>3.2133000000000002E-2</v>
      </c>
      <c r="U58" s="88">
        <v>2.5618999999999999E-2</v>
      </c>
      <c r="V58" s="88">
        <v>2.0525000000000002E-2</v>
      </c>
      <c r="W58" s="88">
        <v>1.6806999999999999E-2</v>
      </c>
      <c r="X58" s="88">
        <v>1.4121999999999999E-2</v>
      </c>
      <c r="Y58" s="88">
        <v>1.2397999999999999E-2</v>
      </c>
      <c r="Z58" s="88">
        <v>1.1207999999999999E-2</v>
      </c>
      <c r="AA58" s="88">
        <v>1.0267E-2</v>
      </c>
      <c r="AB58" s="88">
        <v>9.6069999999999992E-3</v>
      </c>
      <c r="AC58" s="88">
        <v>8.7349999999999997E-3</v>
      </c>
      <c r="AD58" s="88">
        <v>7.7340000000000004E-3</v>
      </c>
      <c r="AE58" s="88">
        <v>6.4900000000000001E-3</v>
      </c>
      <c r="AF58" s="89">
        <v>-0.11396199999999999</v>
      </c>
      <c r="AG58" s="80"/>
    </row>
    <row r="59" spans="1:33" ht="15" customHeight="1" x14ac:dyDescent="0.25">
      <c r="A59" s="78" t="s">
        <v>359</v>
      </c>
      <c r="B59" s="87" t="s">
        <v>316</v>
      </c>
      <c r="C59" s="88">
        <v>45.964244999999998</v>
      </c>
      <c r="D59" s="88">
        <v>44.611794000000003</v>
      </c>
      <c r="E59" s="88">
        <v>43.499820999999997</v>
      </c>
      <c r="F59" s="88">
        <v>42.670467000000002</v>
      </c>
      <c r="G59" s="88">
        <v>42.056103</v>
      </c>
      <c r="H59" s="88">
        <v>41.417850000000001</v>
      </c>
      <c r="I59" s="88">
        <v>40.858673000000003</v>
      </c>
      <c r="J59" s="88">
        <v>40.401375000000002</v>
      </c>
      <c r="K59" s="88">
        <v>40.094642999999998</v>
      </c>
      <c r="L59" s="88">
        <v>39.995682000000002</v>
      </c>
      <c r="M59" s="88">
        <v>40.077168</v>
      </c>
      <c r="N59" s="88">
        <v>40.087780000000002</v>
      </c>
      <c r="O59" s="88">
        <v>39.881618000000003</v>
      </c>
      <c r="P59" s="88">
        <v>39.530631999999997</v>
      </c>
      <c r="Q59" s="88">
        <v>38.979152999999997</v>
      </c>
      <c r="R59" s="88">
        <v>38.427227000000002</v>
      </c>
      <c r="S59" s="88">
        <v>37.705452000000001</v>
      </c>
      <c r="T59" s="88">
        <v>37.000895999999997</v>
      </c>
      <c r="U59" s="88">
        <v>36.440112999999997</v>
      </c>
      <c r="V59" s="88">
        <v>36.083660000000002</v>
      </c>
      <c r="W59" s="88">
        <v>35.872028</v>
      </c>
      <c r="X59" s="88">
        <v>35.852294999999998</v>
      </c>
      <c r="Y59" s="88">
        <v>36.018428999999998</v>
      </c>
      <c r="Z59" s="88">
        <v>36.285957000000003</v>
      </c>
      <c r="AA59" s="88">
        <v>36.676158999999998</v>
      </c>
      <c r="AB59" s="88">
        <v>37.130253000000003</v>
      </c>
      <c r="AC59" s="88">
        <v>37.561069000000003</v>
      </c>
      <c r="AD59" s="88">
        <v>38.004097000000002</v>
      </c>
      <c r="AE59" s="88">
        <v>38.549273999999997</v>
      </c>
      <c r="AF59" s="89">
        <v>-6.2630000000000003E-3</v>
      </c>
      <c r="AG59" s="80"/>
    </row>
    <row r="60" spans="1:33" ht="15" customHeight="1" x14ac:dyDescent="0.25">
      <c r="A60" s="78" t="s">
        <v>360</v>
      </c>
      <c r="B60" s="87" t="s">
        <v>318</v>
      </c>
      <c r="C60" s="88">
        <v>4.6179999999999997E-3</v>
      </c>
      <c r="D60" s="88">
        <v>4.1770000000000002E-3</v>
      </c>
      <c r="E60" s="88">
        <v>3.8210000000000002E-3</v>
      </c>
      <c r="F60" s="88">
        <v>3.5539999999999999E-3</v>
      </c>
      <c r="G60" s="88">
        <v>3.3570000000000002E-3</v>
      </c>
      <c r="H60" s="88">
        <v>3.2000000000000002E-3</v>
      </c>
      <c r="I60" s="88">
        <v>3.0839999999999999E-3</v>
      </c>
      <c r="J60" s="88">
        <v>2.8990000000000001E-3</v>
      </c>
      <c r="K60" s="88">
        <v>2.6640000000000001E-3</v>
      </c>
      <c r="L60" s="88">
        <v>2.4459999999999998E-3</v>
      </c>
      <c r="M60" s="88">
        <v>2.2529999999999998E-3</v>
      </c>
      <c r="N60" s="88">
        <v>1.897E-3</v>
      </c>
      <c r="O60" s="88">
        <v>1.495E-3</v>
      </c>
      <c r="P60" s="88">
        <v>1.176E-3</v>
      </c>
      <c r="Q60" s="88">
        <v>9.2299999999999999E-4</v>
      </c>
      <c r="R60" s="88">
        <v>7.2400000000000003E-4</v>
      </c>
      <c r="S60" s="88">
        <v>5.6800000000000004E-4</v>
      </c>
      <c r="T60" s="88">
        <v>4.44E-4</v>
      </c>
      <c r="U60" s="88">
        <v>3.9599999999999998E-4</v>
      </c>
      <c r="V60" s="88">
        <v>3.8699999999999997E-4</v>
      </c>
      <c r="W60" s="88">
        <v>3.7800000000000003E-4</v>
      </c>
      <c r="X60" s="88">
        <v>3.68E-4</v>
      </c>
      <c r="Y60" s="88">
        <v>2.9799999999999998E-4</v>
      </c>
      <c r="Z60" s="88">
        <v>2.0900000000000001E-4</v>
      </c>
      <c r="AA60" s="88">
        <v>1.47E-4</v>
      </c>
      <c r="AB60" s="88">
        <v>1.03E-4</v>
      </c>
      <c r="AC60" s="88">
        <v>7.2999999999999999E-5</v>
      </c>
      <c r="AD60" s="88">
        <v>5.1E-5</v>
      </c>
      <c r="AE60" s="88">
        <v>3.6000000000000001E-5</v>
      </c>
      <c r="AF60" s="89">
        <v>-0.15909899999999999</v>
      </c>
      <c r="AG60" s="80"/>
    </row>
    <row r="61" spans="1:33" ht="15" customHeight="1" x14ac:dyDescent="0.25">
      <c r="A61" s="78" t="s">
        <v>361</v>
      </c>
      <c r="B61" s="87" t="s">
        <v>320</v>
      </c>
      <c r="C61" s="88">
        <v>0</v>
      </c>
      <c r="D61" s="88">
        <v>3.4696999999999999E-2</v>
      </c>
      <c r="E61" s="88">
        <v>6.8790000000000004E-2</v>
      </c>
      <c r="F61" s="88">
        <v>0.10378999999999999</v>
      </c>
      <c r="G61" s="88">
        <v>0.13921900000000001</v>
      </c>
      <c r="H61" s="88">
        <v>0.17366699999999999</v>
      </c>
      <c r="I61" s="88">
        <v>0.207235</v>
      </c>
      <c r="J61" s="88">
        <v>0.239813</v>
      </c>
      <c r="K61" s="88">
        <v>0.27203899999999998</v>
      </c>
      <c r="L61" s="88">
        <v>0.30468499999999998</v>
      </c>
      <c r="M61" s="88">
        <v>0.338422</v>
      </c>
      <c r="N61" s="88">
        <v>0.37222899999999998</v>
      </c>
      <c r="O61" s="88">
        <v>0.40734900000000002</v>
      </c>
      <c r="P61" s="88">
        <v>0.444994</v>
      </c>
      <c r="Q61" s="88">
        <v>0.48526599999999998</v>
      </c>
      <c r="R61" s="88">
        <v>0.53018200000000004</v>
      </c>
      <c r="S61" s="88">
        <v>0.58024100000000001</v>
      </c>
      <c r="T61" s="88">
        <v>0.63640699999999994</v>
      </c>
      <c r="U61" s="88">
        <v>0.70034300000000005</v>
      </c>
      <c r="V61" s="88">
        <v>0.77213600000000004</v>
      </c>
      <c r="W61" s="88">
        <v>0.85035000000000005</v>
      </c>
      <c r="X61" s="88">
        <v>0.93393899999999996</v>
      </c>
      <c r="Y61" s="88">
        <v>1.022764</v>
      </c>
      <c r="Z61" s="88">
        <v>1.1177969999999999</v>
      </c>
      <c r="AA61" s="88">
        <v>1.219284</v>
      </c>
      <c r="AB61" s="88">
        <v>1.324989</v>
      </c>
      <c r="AC61" s="88">
        <v>1.431711</v>
      </c>
      <c r="AD61" s="88">
        <v>1.542152</v>
      </c>
      <c r="AE61" s="88">
        <v>1.6598889999999999</v>
      </c>
      <c r="AF61" s="89" t="s">
        <v>321</v>
      </c>
      <c r="AG61" s="80"/>
    </row>
    <row r="62" spans="1:33" ht="15" customHeight="1" x14ac:dyDescent="0.25">
      <c r="A62" s="78" t="s">
        <v>362</v>
      </c>
      <c r="B62" s="87" t="s">
        <v>323</v>
      </c>
      <c r="C62" s="88">
        <v>0</v>
      </c>
      <c r="D62" s="88">
        <v>3.9742E-2</v>
      </c>
      <c r="E62" s="88">
        <v>7.9436000000000007E-2</v>
      </c>
      <c r="F62" s="88">
        <v>0.11969100000000001</v>
      </c>
      <c r="G62" s="88">
        <v>0.160329</v>
      </c>
      <c r="H62" s="88">
        <v>0.19969200000000001</v>
      </c>
      <c r="I62" s="88">
        <v>0.23766300000000001</v>
      </c>
      <c r="J62" s="88">
        <v>0.27445999999999998</v>
      </c>
      <c r="K62" s="88">
        <v>0.311191</v>
      </c>
      <c r="L62" s="88">
        <v>0.34926800000000002</v>
      </c>
      <c r="M62" s="88">
        <v>0.38959700000000003</v>
      </c>
      <c r="N62" s="88">
        <v>0.43108600000000002</v>
      </c>
      <c r="O62" s="88">
        <v>0.47512700000000002</v>
      </c>
      <c r="P62" s="88">
        <v>0.523366</v>
      </c>
      <c r="Q62" s="88">
        <v>0.57591300000000001</v>
      </c>
      <c r="R62" s="88">
        <v>0.63542900000000002</v>
      </c>
      <c r="S62" s="88">
        <v>0.70260500000000004</v>
      </c>
      <c r="T62" s="88">
        <v>0.77890000000000004</v>
      </c>
      <c r="U62" s="88">
        <v>0.86641400000000002</v>
      </c>
      <c r="V62" s="88">
        <v>0.96546299999999996</v>
      </c>
      <c r="W62" s="88">
        <v>1.074376</v>
      </c>
      <c r="X62" s="88">
        <v>1.1920660000000001</v>
      </c>
      <c r="Y62" s="88">
        <v>1.317839</v>
      </c>
      <c r="Z62" s="88">
        <v>1.452814</v>
      </c>
      <c r="AA62" s="88">
        <v>1.5967849999999999</v>
      </c>
      <c r="AB62" s="88">
        <v>1.746942</v>
      </c>
      <c r="AC62" s="88">
        <v>1.89845</v>
      </c>
      <c r="AD62" s="88">
        <v>2.054983</v>
      </c>
      <c r="AE62" s="88">
        <v>2.2206440000000001</v>
      </c>
      <c r="AF62" s="89" t="s">
        <v>321</v>
      </c>
      <c r="AG62" s="80"/>
    </row>
    <row r="63" spans="1:33" ht="15" customHeight="1" x14ac:dyDescent="0.25">
      <c r="A63" s="78" t="s">
        <v>363</v>
      </c>
      <c r="B63" s="87" t="s">
        <v>325</v>
      </c>
      <c r="C63" s="88">
        <v>0</v>
      </c>
      <c r="D63" s="88">
        <v>0</v>
      </c>
      <c r="E63" s="88">
        <v>1.4E-5</v>
      </c>
      <c r="F63" s="88">
        <v>3.0000000000000001E-5</v>
      </c>
      <c r="G63" s="88">
        <v>4.6999999999999997E-5</v>
      </c>
      <c r="H63" s="88">
        <v>6.3E-5</v>
      </c>
      <c r="I63" s="88">
        <v>8.0000000000000007E-5</v>
      </c>
      <c r="J63" s="88">
        <v>9.5000000000000005E-5</v>
      </c>
      <c r="K63" s="88">
        <v>1.1E-4</v>
      </c>
      <c r="L63" s="88">
        <v>1.25E-4</v>
      </c>
      <c r="M63" s="88">
        <v>1.3999999999999999E-4</v>
      </c>
      <c r="N63" s="88">
        <v>1.5300000000000001E-4</v>
      </c>
      <c r="O63" s="88">
        <v>1.66E-4</v>
      </c>
      <c r="P63" s="88">
        <v>1.7699999999999999E-4</v>
      </c>
      <c r="Q63" s="88">
        <v>1.8799999999999999E-4</v>
      </c>
      <c r="R63" s="88">
        <v>1.9699999999999999E-4</v>
      </c>
      <c r="S63" s="88">
        <v>2.0599999999999999E-4</v>
      </c>
      <c r="T63" s="88">
        <v>2.1499999999999999E-4</v>
      </c>
      <c r="U63" s="88">
        <v>2.22E-4</v>
      </c>
      <c r="V63" s="88">
        <v>2.2900000000000001E-4</v>
      </c>
      <c r="W63" s="88">
        <v>2.3499999999999999E-4</v>
      </c>
      <c r="X63" s="88">
        <v>2.3900000000000001E-4</v>
      </c>
      <c r="Y63" s="88">
        <v>2.41E-4</v>
      </c>
      <c r="Z63" s="88">
        <v>2.43E-4</v>
      </c>
      <c r="AA63" s="88">
        <v>2.43E-4</v>
      </c>
      <c r="AB63" s="88">
        <v>2.41E-4</v>
      </c>
      <c r="AC63" s="88">
        <v>2.3800000000000001E-4</v>
      </c>
      <c r="AD63" s="88">
        <v>2.32E-4</v>
      </c>
      <c r="AE63" s="88">
        <v>2.2599999999999999E-4</v>
      </c>
      <c r="AF63" s="89" t="s">
        <v>321</v>
      </c>
      <c r="AG63" s="80"/>
    </row>
    <row r="64" spans="1:33" ht="15" customHeight="1" x14ac:dyDescent="0.25">
      <c r="A64" s="78" t="s">
        <v>364</v>
      </c>
      <c r="B64" s="87" t="s">
        <v>327</v>
      </c>
      <c r="C64" s="88">
        <v>745.82800299999997</v>
      </c>
      <c r="D64" s="88">
        <v>731.17419400000006</v>
      </c>
      <c r="E64" s="88">
        <v>720.99334699999997</v>
      </c>
      <c r="F64" s="88">
        <v>716.52270499999997</v>
      </c>
      <c r="G64" s="88">
        <v>715.17602499999998</v>
      </c>
      <c r="H64" s="88">
        <v>711.70977800000003</v>
      </c>
      <c r="I64" s="88">
        <v>708.54400599999997</v>
      </c>
      <c r="J64" s="88">
        <v>705.98767099999998</v>
      </c>
      <c r="K64" s="88">
        <v>706.45977800000003</v>
      </c>
      <c r="L64" s="88">
        <v>710.45648200000005</v>
      </c>
      <c r="M64" s="88">
        <v>717.79107699999997</v>
      </c>
      <c r="N64" s="88">
        <v>724.37237500000003</v>
      </c>
      <c r="O64" s="88">
        <v>731.39025900000001</v>
      </c>
      <c r="P64" s="88">
        <v>739.17913799999997</v>
      </c>
      <c r="Q64" s="88">
        <v>746.30835000000002</v>
      </c>
      <c r="R64" s="88">
        <v>754.65625</v>
      </c>
      <c r="S64" s="88">
        <v>763.13678000000004</v>
      </c>
      <c r="T64" s="88">
        <v>772.15191700000003</v>
      </c>
      <c r="U64" s="88">
        <v>782.66351299999997</v>
      </c>
      <c r="V64" s="88">
        <v>794.23699999999997</v>
      </c>
      <c r="W64" s="88">
        <v>805.87268100000006</v>
      </c>
      <c r="X64" s="88">
        <v>817.30413799999997</v>
      </c>
      <c r="Y64" s="88">
        <v>829.03204300000004</v>
      </c>
      <c r="Z64" s="88">
        <v>841.80078100000003</v>
      </c>
      <c r="AA64" s="88">
        <v>857.074524</v>
      </c>
      <c r="AB64" s="88">
        <v>873.44000200000005</v>
      </c>
      <c r="AC64" s="88">
        <v>889.11822500000005</v>
      </c>
      <c r="AD64" s="88">
        <v>905.955872</v>
      </c>
      <c r="AE64" s="88">
        <v>926.21386700000005</v>
      </c>
      <c r="AF64" s="89">
        <v>7.7660000000000003E-3</v>
      </c>
      <c r="AG64" s="80"/>
    </row>
    <row r="65" spans="1:33" ht="15" customHeight="1" x14ac:dyDescent="0.25">
      <c r="B65" s="86" t="s">
        <v>328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</row>
    <row r="66" spans="1:33" ht="15" customHeight="1" x14ac:dyDescent="0.25">
      <c r="A66" s="78" t="s">
        <v>365</v>
      </c>
      <c r="B66" s="87" t="s">
        <v>308</v>
      </c>
      <c r="C66" s="88">
        <v>596.79718000000003</v>
      </c>
      <c r="D66" s="88">
        <v>582.57031199999994</v>
      </c>
      <c r="E66" s="88">
        <v>570.54583700000001</v>
      </c>
      <c r="F66" s="88">
        <v>562.60992399999998</v>
      </c>
      <c r="G66" s="88">
        <v>557.47637899999995</v>
      </c>
      <c r="H66" s="88">
        <v>552.10058600000002</v>
      </c>
      <c r="I66" s="88">
        <v>547.56726100000003</v>
      </c>
      <c r="J66" s="88">
        <v>541.83489999999995</v>
      </c>
      <c r="K66" s="88">
        <v>535.99304199999995</v>
      </c>
      <c r="L66" s="88">
        <v>531.105774</v>
      </c>
      <c r="M66" s="88">
        <v>528.55798300000004</v>
      </c>
      <c r="N66" s="88">
        <v>525.61999500000002</v>
      </c>
      <c r="O66" s="88">
        <v>523.05523700000003</v>
      </c>
      <c r="P66" s="88">
        <v>521.635132</v>
      </c>
      <c r="Q66" s="88">
        <v>520.47326699999996</v>
      </c>
      <c r="R66" s="88">
        <v>520.68817100000001</v>
      </c>
      <c r="S66" s="88">
        <v>521.26672399999995</v>
      </c>
      <c r="T66" s="88">
        <v>522.35955799999999</v>
      </c>
      <c r="U66" s="88">
        <v>524.42358400000001</v>
      </c>
      <c r="V66" s="88">
        <v>527.08154300000001</v>
      </c>
      <c r="W66" s="88">
        <v>529.90252699999996</v>
      </c>
      <c r="X66" s="88">
        <v>533.30059800000004</v>
      </c>
      <c r="Y66" s="88">
        <v>536.98974599999997</v>
      </c>
      <c r="Z66" s="88">
        <v>540.51788299999998</v>
      </c>
      <c r="AA66" s="88">
        <v>544.76953100000003</v>
      </c>
      <c r="AB66" s="88">
        <v>549.50622599999997</v>
      </c>
      <c r="AC66" s="88">
        <v>553.89520300000004</v>
      </c>
      <c r="AD66" s="88">
        <v>558.68853799999999</v>
      </c>
      <c r="AE66" s="88">
        <v>565.29272500000002</v>
      </c>
      <c r="AF66" s="89">
        <v>-1.9350000000000001E-3</v>
      </c>
      <c r="AG66" s="80"/>
    </row>
    <row r="67" spans="1:33" ht="15" customHeight="1" x14ac:dyDescent="0.25">
      <c r="A67" s="78" t="s">
        <v>366</v>
      </c>
      <c r="B67" s="87" t="s">
        <v>310</v>
      </c>
      <c r="C67" s="88">
        <v>361.09713699999998</v>
      </c>
      <c r="D67" s="88">
        <v>352.45266700000002</v>
      </c>
      <c r="E67" s="88">
        <v>345.87948599999999</v>
      </c>
      <c r="F67" s="88">
        <v>341.195312</v>
      </c>
      <c r="G67" s="88">
        <v>338.49740600000001</v>
      </c>
      <c r="H67" s="88">
        <v>335.44927999999999</v>
      </c>
      <c r="I67" s="88">
        <v>333.12942500000003</v>
      </c>
      <c r="J67" s="88">
        <v>330.41744999999997</v>
      </c>
      <c r="K67" s="88">
        <v>327.605164</v>
      </c>
      <c r="L67" s="88">
        <v>325.20840500000003</v>
      </c>
      <c r="M67" s="88">
        <v>324.38137799999998</v>
      </c>
      <c r="N67" s="88">
        <v>322.96948200000003</v>
      </c>
      <c r="O67" s="88">
        <v>321.80856299999999</v>
      </c>
      <c r="P67" s="88">
        <v>321.02459700000003</v>
      </c>
      <c r="Q67" s="88">
        <v>319.85522500000002</v>
      </c>
      <c r="R67" s="88">
        <v>319.80575599999997</v>
      </c>
      <c r="S67" s="88">
        <v>319.18862899999999</v>
      </c>
      <c r="T67" s="88">
        <v>319.81021099999998</v>
      </c>
      <c r="U67" s="88">
        <v>320.52459700000003</v>
      </c>
      <c r="V67" s="88">
        <v>321.91735799999998</v>
      </c>
      <c r="W67" s="88">
        <v>323.479828</v>
      </c>
      <c r="X67" s="88">
        <v>325.354736</v>
      </c>
      <c r="Y67" s="88">
        <v>327.38092</v>
      </c>
      <c r="Z67" s="88">
        <v>329.19854700000002</v>
      </c>
      <c r="AA67" s="88">
        <v>331.44744900000001</v>
      </c>
      <c r="AB67" s="88">
        <v>333.82504299999999</v>
      </c>
      <c r="AC67" s="88">
        <v>335.92965700000002</v>
      </c>
      <c r="AD67" s="88">
        <v>338.38473499999998</v>
      </c>
      <c r="AE67" s="88">
        <v>341.79480000000001</v>
      </c>
      <c r="AF67" s="89">
        <v>-1.9599999999999999E-3</v>
      </c>
      <c r="AG67" s="80"/>
    </row>
    <row r="68" spans="1:33" ht="15" customHeight="1" x14ac:dyDescent="0.25">
      <c r="A68" s="78" t="s">
        <v>367</v>
      </c>
      <c r="B68" s="87" t="s">
        <v>312</v>
      </c>
      <c r="C68" s="88">
        <v>0.66559500000000005</v>
      </c>
      <c r="D68" s="88">
        <v>0.68273300000000003</v>
      </c>
      <c r="E68" s="88">
        <v>0.70085900000000001</v>
      </c>
      <c r="F68" s="88">
        <v>0.72075599999999995</v>
      </c>
      <c r="G68" s="88">
        <v>0.74448800000000004</v>
      </c>
      <c r="H68" s="88">
        <v>0.76778900000000005</v>
      </c>
      <c r="I68" s="88">
        <v>0.79256400000000005</v>
      </c>
      <c r="J68" s="88">
        <v>0.81504200000000004</v>
      </c>
      <c r="K68" s="88">
        <v>0.83886099999999997</v>
      </c>
      <c r="L68" s="88">
        <v>0.86650700000000003</v>
      </c>
      <c r="M68" s="88">
        <v>0.90220500000000003</v>
      </c>
      <c r="N68" s="88">
        <v>0.94494599999999995</v>
      </c>
      <c r="O68" s="88">
        <v>0.99329800000000001</v>
      </c>
      <c r="P68" s="88">
        <v>1.0406519999999999</v>
      </c>
      <c r="Q68" s="88">
        <v>1.0919840000000001</v>
      </c>
      <c r="R68" s="88">
        <v>1.1519010000000001</v>
      </c>
      <c r="S68" s="88">
        <v>1.219368</v>
      </c>
      <c r="T68" s="88">
        <v>1.295874</v>
      </c>
      <c r="U68" s="88">
        <v>1.3836520000000001</v>
      </c>
      <c r="V68" s="88">
        <v>1.4835039999999999</v>
      </c>
      <c r="W68" s="88">
        <v>1.590991</v>
      </c>
      <c r="X68" s="88">
        <v>1.705203</v>
      </c>
      <c r="Y68" s="88">
        <v>1.8237920000000001</v>
      </c>
      <c r="Z68" s="88">
        <v>1.9449419999999999</v>
      </c>
      <c r="AA68" s="88">
        <v>2.071958</v>
      </c>
      <c r="AB68" s="88">
        <v>2.202169</v>
      </c>
      <c r="AC68" s="88">
        <v>2.3311099999999998</v>
      </c>
      <c r="AD68" s="88">
        <v>2.4515280000000002</v>
      </c>
      <c r="AE68" s="88">
        <v>2.5810140000000001</v>
      </c>
      <c r="AF68" s="89">
        <v>4.9591999999999997E-2</v>
      </c>
      <c r="AG68" s="80"/>
    </row>
    <row r="69" spans="1:33" ht="15" customHeight="1" x14ac:dyDescent="0.25">
      <c r="A69" s="78" t="s">
        <v>368</v>
      </c>
      <c r="B69" s="87" t="s">
        <v>314</v>
      </c>
      <c r="C69" s="88">
        <v>0.76194399999999995</v>
      </c>
      <c r="D69" s="88">
        <v>0.71869899999999998</v>
      </c>
      <c r="E69" s="88">
        <v>0.67632099999999995</v>
      </c>
      <c r="F69" s="88">
        <v>0.637992</v>
      </c>
      <c r="G69" s="88">
        <v>0.60286899999999999</v>
      </c>
      <c r="H69" s="88">
        <v>0.56657000000000002</v>
      </c>
      <c r="I69" s="88">
        <v>0.53246199999999999</v>
      </c>
      <c r="J69" s="88">
        <v>0.49757600000000002</v>
      </c>
      <c r="K69" s="88">
        <v>0.46278799999999998</v>
      </c>
      <c r="L69" s="88">
        <v>0.43082799999999999</v>
      </c>
      <c r="M69" s="88">
        <v>0.40238600000000002</v>
      </c>
      <c r="N69" s="88">
        <v>0.37443300000000002</v>
      </c>
      <c r="O69" s="88">
        <v>0.346945</v>
      </c>
      <c r="P69" s="88">
        <v>0.32059799999999999</v>
      </c>
      <c r="Q69" s="88">
        <v>0.29521900000000001</v>
      </c>
      <c r="R69" s="88">
        <v>0.27301599999999998</v>
      </c>
      <c r="S69" s="88">
        <v>0.253025</v>
      </c>
      <c r="T69" s="88">
        <v>0.23599700000000001</v>
      </c>
      <c r="U69" s="88">
        <v>0.22023300000000001</v>
      </c>
      <c r="V69" s="88">
        <v>0.204292</v>
      </c>
      <c r="W69" s="88">
        <v>0.19014900000000001</v>
      </c>
      <c r="X69" s="88">
        <v>0.17355699999999999</v>
      </c>
      <c r="Y69" s="88">
        <v>0.156469</v>
      </c>
      <c r="Z69" s="88">
        <v>0.14242199999999999</v>
      </c>
      <c r="AA69" s="88">
        <v>0.13080600000000001</v>
      </c>
      <c r="AB69" s="88">
        <v>0.11888700000000001</v>
      </c>
      <c r="AC69" s="88">
        <v>0.106766</v>
      </c>
      <c r="AD69" s="88">
        <v>9.5868999999999996E-2</v>
      </c>
      <c r="AE69" s="88">
        <v>8.6902999999999994E-2</v>
      </c>
      <c r="AF69" s="89">
        <v>-7.4608999999999995E-2</v>
      </c>
      <c r="AG69" s="80"/>
    </row>
    <row r="70" spans="1:33" ht="12" customHeight="1" x14ac:dyDescent="0.25">
      <c r="A70" s="78" t="s">
        <v>369</v>
      </c>
      <c r="B70" s="87" t="s">
        <v>316</v>
      </c>
      <c r="C70" s="88">
        <v>10.331885</v>
      </c>
      <c r="D70" s="88">
        <v>10.758182</v>
      </c>
      <c r="E70" s="88">
        <v>11.321586</v>
      </c>
      <c r="F70" s="88">
        <v>11.975374</v>
      </c>
      <c r="G70" s="88">
        <v>12.744726</v>
      </c>
      <c r="H70" s="88">
        <v>13.587192999999999</v>
      </c>
      <c r="I70" s="88">
        <v>14.506133999999999</v>
      </c>
      <c r="J70" s="88">
        <v>15.44483</v>
      </c>
      <c r="K70" s="88">
        <v>16.450348000000002</v>
      </c>
      <c r="L70" s="88">
        <v>17.581883999999999</v>
      </c>
      <c r="M70" s="88">
        <v>18.915562000000001</v>
      </c>
      <c r="N70" s="88">
        <v>20.372982</v>
      </c>
      <c r="O70" s="88">
        <v>22.01041</v>
      </c>
      <c r="P70" s="88">
        <v>23.794563</v>
      </c>
      <c r="Q70" s="88">
        <v>25.577529999999999</v>
      </c>
      <c r="R70" s="88">
        <v>27.489719000000001</v>
      </c>
      <c r="S70" s="88">
        <v>29.423684999999999</v>
      </c>
      <c r="T70" s="88">
        <v>31.3827</v>
      </c>
      <c r="U70" s="88">
        <v>33.470939999999999</v>
      </c>
      <c r="V70" s="88">
        <v>35.564487</v>
      </c>
      <c r="W70" s="88">
        <v>37.641945</v>
      </c>
      <c r="X70" s="88">
        <v>39.693420000000003</v>
      </c>
      <c r="Y70" s="88">
        <v>41.646500000000003</v>
      </c>
      <c r="Z70" s="88">
        <v>43.501041000000001</v>
      </c>
      <c r="AA70" s="88">
        <v>45.296207000000003</v>
      </c>
      <c r="AB70" s="88">
        <v>47.027523000000002</v>
      </c>
      <c r="AC70" s="88">
        <v>48.595694999999999</v>
      </c>
      <c r="AD70" s="88">
        <v>50.145443</v>
      </c>
      <c r="AE70" s="88">
        <v>51.783786999999997</v>
      </c>
      <c r="AF70" s="89">
        <v>5.9255000000000002E-2</v>
      </c>
      <c r="AG70" s="80"/>
    </row>
    <row r="71" spans="1:33" ht="15" customHeight="1" x14ac:dyDescent="0.25">
      <c r="A71" s="78" t="s">
        <v>370</v>
      </c>
      <c r="B71" s="87" t="s">
        <v>318</v>
      </c>
      <c r="C71" s="88">
        <v>3.8241999999999998E-2</v>
      </c>
      <c r="D71" s="88">
        <v>4.5435000000000003E-2</v>
      </c>
      <c r="E71" s="88">
        <v>5.0754000000000001E-2</v>
      </c>
      <c r="F71" s="88">
        <v>5.4753000000000003E-2</v>
      </c>
      <c r="G71" s="88">
        <v>5.7683999999999999E-2</v>
      </c>
      <c r="H71" s="88">
        <v>5.9468E-2</v>
      </c>
      <c r="I71" s="88">
        <v>6.0365000000000002E-2</v>
      </c>
      <c r="J71" s="88">
        <v>6.0382999999999999E-2</v>
      </c>
      <c r="K71" s="88">
        <v>5.9790000000000003E-2</v>
      </c>
      <c r="L71" s="88">
        <v>5.8833999999999997E-2</v>
      </c>
      <c r="M71" s="88">
        <v>5.7679000000000001E-2</v>
      </c>
      <c r="N71" s="88">
        <v>5.6148999999999998E-2</v>
      </c>
      <c r="O71" s="88">
        <v>5.4413999999999997E-2</v>
      </c>
      <c r="P71" s="88">
        <v>5.2582999999999998E-2</v>
      </c>
      <c r="Q71" s="88">
        <v>5.0235000000000002E-2</v>
      </c>
      <c r="R71" s="88">
        <v>4.7787000000000003E-2</v>
      </c>
      <c r="S71" s="88">
        <v>4.5777999999999999E-2</v>
      </c>
      <c r="T71" s="88">
        <v>4.3761000000000001E-2</v>
      </c>
      <c r="U71" s="88">
        <v>4.1475999999999999E-2</v>
      </c>
      <c r="V71" s="88">
        <v>3.9280000000000002E-2</v>
      </c>
      <c r="W71" s="88">
        <v>3.7173999999999999E-2</v>
      </c>
      <c r="X71" s="88">
        <v>3.5144000000000002E-2</v>
      </c>
      <c r="Y71" s="88">
        <v>3.3201000000000001E-2</v>
      </c>
      <c r="Z71" s="88">
        <v>3.1363000000000002E-2</v>
      </c>
      <c r="AA71" s="88">
        <v>2.9679000000000001E-2</v>
      </c>
      <c r="AB71" s="88">
        <v>2.809E-2</v>
      </c>
      <c r="AC71" s="88">
        <v>2.6553E-2</v>
      </c>
      <c r="AD71" s="88">
        <v>2.5127E-2</v>
      </c>
      <c r="AE71" s="88">
        <v>2.3810000000000001E-2</v>
      </c>
      <c r="AF71" s="89">
        <v>-1.678E-2</v>
      </c>
      <c r="AG71" s="80"/>
    </row>
    <row r="72" spans="1:33" ht="15" customHeight="1" x14ac:dyDescent="0.25">
      <c r="A72" s="78" t="s">
        <v>371</v>
      </c>
      <c r="B72" s="87" t="s">
        <v>320</v>
      </c>
      <c r="C72" s="88">
        <v>0</v>
      </c>
      <c r="D72" s="88">
        <v>0</v>
      </c>
      <c r="E72" s="88">
        <v>4.6031000000000002E-2</v>
      </c>
      <c r="F72" s="88">
        <v>8.7363999999999997E-2</v>
      </c>
      <c r="G72" s="88">
        <v>0.125998</v>
      </c>
      <c r="H72" s="88">
        <v>0.162359</v>
      </c>
      <c r="I72" s="88">
        <v>0.19692899999999999</v>
      </c>
      <c r="J72" s="88">
        <v>0.22856599999999999</v>
      </c>
      <c r="K72" s="88">
        <v>0.25760300000000003</v>
      </c>
      <c r="L72" s="88">
        <v>0.28515600000000002</v>
      </c>
      <c r="M72" s="88">
        <v>0.31272899999999998</v>
      </c>
      <c r="N72" s="88">
        <v>0.339615</v>
      </c>
      <c r="O72" s="88">
        <v>0.36632999999999999</v>
      </c>
      <c r="P72" s="88">
        <v>0.39357700000000001</v>
      </c>
      <c r="Q72" s="88">
        <v>0.42073300000000002</v>
      </c>
      <c r="R72" s="88">
        <v>0.44928600000000002</v>
      </c>
      <c r="S72" s="88">
        <v>0.47926000000000002</v>
      </c>
      <c r="T72" s="88">
        <v>0.51125699999999996</v>
      </c>
      <c r="U72" s="88">
        <v>0.54663899999999999</v>
      </c>
      <c r="V72" s="88">
        <v>0.58593899999999999</v>
      </c>
      <c r="W72" s="88">
        <v>0.62877000000000005</v>
      </c>
      <c r="X72" s="88">
        <v>0.672651</v>
      </c>
      <c r="Y72" s="88">
        <v>0.71931100000000003</v>
      </c>
      <c r="Z72" s="88">
        <v>0.76830799999999999</v>
      </c>
      <c r="AA72" s="88">
        <v>0.82118100000000005</v>
      </c>
      <c r="AB72" s="88">
        <v>0.877112</v>
      </c>
      <c r="AC72" s="88">
        <v>0.93461899999999998</v>
      </c>
      <c r="AD72" s="88">
        <v>0.99479200000000001</v>
      </c>
      <c r="AE72" s="88">
        <v>1.0601590000000001</v>
      </c>
      <c r="AF72" s="89" t="s">
        <v>321</v>
      </c>
      <c r="AG72" s="80"/>
    </row>
    <row r="73" spans="1:33" ht="15" customHeight="1" x14ac:dyDescent="0.25">
      <c r="A73" s="78" t="s">
        <v>372</v>
      </c>
      <c r="B73" s="87" t="s">
        <v>323</v>
      </c>
      <c r="C73" s="88">
        <v>0</v>
      </c>
      <c r="D73" s="88">
        <v>0</v>
      </c>
      <c r="E73" s="88">
        <v>5.5973000000000002E-2</v>
      </c>
      <c r="F73" s="88">
        <v>0.10538500000000001</v>
      </c>
      <c r="G73" s="88">
        <v>0.15109300000000001</v>
      </c>
      <c r="H73" s="88">
        <v>0.193687</v>
      </c>
      <c r="I73" s="88">
        <v>0.233462</v>
      </c>
      <c r="J73" s="88">
        <v>0.26946999999999999</v>
      </c>
      <c r="K73" s="88">
        <v>0.30264600000000003</v>
      </c>
      <c r="L73" s="88">
        <v>0.33501599999999998</v>
      </c>
      <c r="M73" s="88">
        <v>0.368535</v>
      </c>
      <c r="N73" s="88">
        <v>0.40277000000000002</v>
      </c>
      <c r="O73" s="88">
        <v>0.43828299999999998</v>
      </c>
      <c r="P73" s="88">
        <v>0.47615099999999999</v>
      </c>
      <c r="Q73" s="88">
        <v>0.51575199999999999</v>
      </c>
      <c r="R73" s="88">
        <v>0.55924499999999999</v>
      </c>
      <c r="S73" s="88">
        <v>0.606796</v>
      </c>
      <c r="T73" s="88">
        <v>0.65962699999999996</v>
      </c>
      <c r="U73" s="88">
        <v>0.71974099999999996</v>
      </c>
      <c r="V73" s="88">
        <v>0.78828900000000002</v>
      </c>
      <c r="W73" s="88">
        <v>0.86488600000000004</v>
      </c>
      <c r="X73" s="88">
        <v>0.94691499999999995</v>
      </c>
      <c r="Y73" s="88">
        <v>1.0356989999999999</v>
      </c>
      <c r="Z73" s="88">
        <v>1.130374</v>
      </c>
      <c r="AA73" s="88">
        <v>1.23231</v>
      </c>
      <c r="AB73" s="88">
        <v>1.340697</v>
      </c>
      <c r="AC73" s="88">
        <v>1.452583</v>
      </c>
      <c r="AD73" s="88">
        <v>1.5697239999999999</v>
      </c>
      <c r="AE73" s="88">
        <v>1.6954130000000001</v>
      </c>
      <c r="AF73" s="89" t="s">
        <v>321</v>
      </c>
      <c r="AG73" s="80"/>
    </row>
    <row r="74" spans="1:33" ht="15" customHeight="1" x14ac:dyDescent="0.25">
      <c r="A74" s="78" t="s">
        <v>373</v>
      </c>
      <c r="B74" s="87" t="s">
        <v>325</v>
      </c>
      <c r="C74" s="88">
        <v>0</v>
      </c>
      <c r="D74" s="88">
        <v>0</v>
      </c>
      <c r="E74" s="88">
        <v>9.7281999999999993E-2</v>
      </c>
      <c r="F74" s="88">
        <v>0.18842100000000001</v>
      </c>
      <c r="G74" s="88">
        <v>0.27685799999999999</v>
      </c>
      <c r="H74" s="88">
        <v>0.363454</v>
      </c>
      <c r="I74" s="88">
        <v>0.44753700000000002</v>
      </c>
      <c r="J74" s="88">
        <v>0.52742900000000004</v>
      </c>
      <c r="K74" s="88">
        <v>0.60339299999999996</v>
      </c>
      <c r="L74" s="88">
        <v>0.67797099999999999</v>
      </c>
      <c r="M74" s="88">
        <v>0.75438000000000005</v>
      </c>
      <c r="N74" s="88">
        <v>0.83045100000000005</v>
      </c>
      <c r="O74" s="88">
        <v>0.90750299999999995</v>
      </c>
      <c r="P74" s="88">
        <v>0.98692000000000002</v>
      </c>
      <c r="Q74" s="88">
        <v>1.0677970000000001</v>
      </c>
      <c r="R74" s="88">
        <v>1.153837</v>
      </c>
      <c r="S74" s="88">
        <v>1.2450049999999999</v>
      </c>
      <c r="T74" s="88">
        <v>1.3430200000000001</v>
      </c>
      <c r="U74" s="88">
        <v>1.4516439999999999</v>
      </c>
      <c r="V74" s="88">
        <v>1.572443</v>
      </c>
      <c r="W74" s="88">
        <v>1.7043809999999999</v>
      </c>
      <c r="X74" s="88">
        <v>1.8422590000000001</v>
      </c>
      <c r="Y74" s="88">
        <v>1.9891760000000001</v>
      </c>
      <c r="Z74" s="88">
        <v>2.1437659999999998</v>
      </c>
      <c r="AA74" s="88">
        <v>2.310273</v>
      </c>
      <c r="AB74" s="88">
        <v>2.48651</v>
      </c>
      <c r="AC74" s="88">
        <v>2.6681050000000002</v>
      </c>
      <c r="AD74" s="88">
        <v>2.8579460000000001</v>
      </c>
      <c r="AE74" s="88">
        <v>3.0632440000000001</v>
      </c>
      <c r="AF74" s="89" t="s">
        <v>321</v>
      </c>
      <c r="AG74" s="80"/>
    </row>
    <row r="75" spans="1:33" ht="15" customHeight="1" x14ac:dyDescent="0.25">
      <c r="A75" s="78" t="s">
        <v>374</v>
      </c>
      <c r="B75" s="87" t="s">
        <v>339</v>
      </c>
      <c r="C75" s="88">
        <v>969.69219999999996</v>
      </c>
      <c r="D75" s="88">
        <v>947.22790499999996</v>
      </c>
      <c r="E75" s="88">
        <v>929.37390100000005</v>
      </c>
      <c r="F75" s="88">
        <v>917.57488999999998</v>
      </c>
      <c r="G75" s="88">
        <v>910.67767300000003</v>
      </c>
      <c r="H75" s="88">
        <v>903.25073199999997</v>
      </c>
      <c r="I75" s="88">
        <v>897.46606399999996</v>
      </c>
      <c r="J75" s="88">
        <v>890.09558100000004</v>
      </c>
      <c r="K75" s="88">
        <v>882.57385299999999</v>
      </c>
      <c r="L75" s="88">
        <v>876.55035399999997</v>
      </c>
      <c r="M75" s="88">
        <v>874.65283199999999</v>
      </c>
      <c r="N75" s="88">
        <v>871.910706</v>
      </c>
      <c r="O75" s="88">
        <v>869.98089600000003</v>
      </c>
      <c r="P75" s="88">
        <v>869.72479199999998</v>
      </c>
      <c r="Q75" s="88">
        <v>869.347534</v>
      </c>
      <c r="R75" s="88">
        <v>871.618469</v>
      </c>
      <c r="S75" s="88">
        <v>873.72820999999999</v>
      </c>
      <c r="T75" s="88">
        <v>877.64209000000005</v>
      </c>
      <c r="U75" s="88">
        <v>882.78265399999998</v>
      </c>
      <c r="V75" s="88">
        <v>889.23706100000004</v>
      </c>
      <c r="W75" s="88">
        <v>896.04046600000004</v>
      </c>
      <c r="X75" s="88">
        <v>903.72448699999995</v>
      </c>
      <c r="Y75" s="88">
        <v>911.77453600000001</v>
      </c>
      <c r="Z75" s="88">
        <v>919.37823500000002</v>
      </c>
      <c r="AA75" s="88">
        <v>928.10968000000003</v>
      </c>
      <c r="AB75" s="88">
        <v>937.41241500000001</v>
      </c>
      <c r="AC75" s="88">
        <v>945.94018600000004</v>
      </c>
      <c r="AD75" s="88">
        <v>955.21374500000002</v>
      </c>
      <c r="AE75" s="88">
        <v>967.38214100000005</v>
      </c>
      <c r="AF75" s="89">
        <v>-8.5000000000000006E-5</v>
      </c>
      <c r="AG75" s="80"/>
    </row>
    <row r="76" spans="1:33" ht="15" customHeight="1" x14ac:dyDescent="0.25">
      <c r="B76" s="86" t="s">
        <v>340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</row>
    <row r="77" spans="1:33" ht="15" customHeight="1" x14ac:dyDescent="0.25">
      <c r="A77" s="78" t="s">
        <v>375</v>
      </c>
      <c r="B77" s="87" t="s">
        <v>308</v>
      </c>
      <c r="C77" s="88">
        <v>4152.294922</v>
      </c>
      <c r="D77" s="88">
        <v>4082.8315429999998</v>
      </c>
      <c r="E77" s="88">
        <v>4021.451172</v>
      </c>
      <c r="F77" s="88">
        <v>3982.2763669999999</v>
      </c>
      <c r="G77" s="88">
        <v>3955.953125</v>
      </c>
      <c r="H77" s="88">
        <v>3919.7482909999999</v>
      </c>
      <c r="I77" s="88">
        <v>3881.1032709999999</v>
      </c>
      <c r="J77" s="88">
        <v>3831.7788089999999</v>
      </c>
      <c r="K77" s="88">
        <v>3778.5307619999999</v>
      </c>
      <c r="L77" s="88">
        <v>3730.3295899999998</v>
      </c>
      <c r="M77" s="88">
        <v>3694.220703</v>
      </c>
      <c r="N77" s="88">
        <v>3656.8642580000001</v>
      </c>
      <c r="O77" s="88">
        <v>3623.7570799999999</v>
      </c>
      <c r="P77" s="88">
        <v>3598.0146479999999</v>
      </c>
      <c r="Q77" s="88">
        <v>3572.140625</v>
      </c>
      <c r="R77" s="88">
        <v>3555.0131839999999</v>
      </c>
      <c r="S77" s="88">
        <v>3541.656982</v>
      </c>
      <c r="T77" s="88">
        <v>3529.0092770000001</v>
      </c>
      <c r="U77" s="88">
        <v>3520.9711910000001</v>
      </c>
      <c r="V77" s="88">
        <v>3515.9072270000001</v>
      </c>
      <c r="W77" s="88">
        <v>3513.1889649999998</v>
      </c>
      <c r="X77" s="88">
        <v>3509.6179200000001</v>
      </c>
      <c r="Y77" s="88">
        <v>3504.0908199999999</v>
      </c>
      <c r="Z77" s="88">
        <v>3495.7058109999998</v>
      </c>
      <c r="AA77" s="88">
        <v>3490.008057</v>
      </c>
      <c r="AB77" s="88">
        <v>3484.0903320000002</v>
      </c>
      <c r="AC77" s="88">
        <v>3473.501953</v>
      </c>
      <c r="AD77" s="88">
        <v>3463.9399410000001</v>
      </c>
      <c r="AE77" s="88">
        <v>3464.1235350000002</v>
      </c>
      <c r="AF77" s="89">
        <v>-6.4510000000000001E-3</v>
      </c>
      <c r="AG77" s="80"/>
    </row>
    <row r="78" spans="1:33" ht="15" customHeight="1" x14ac:dyDescent="0.25">
      <c r="A78" s="78" t="s">
        <v>376</v>
      </c>
      <c r="B78" s="87" t="s">
        <v>310</v>
      </c>
      <c r="C78" s="88">
        <v>3.9674480000000001</v>
      </c>
      <c r="D78" s="88">
        <v>3.9112100000000001</v>
      </c>
      <c r="E78" s="88">
        <v>3.927975</v>
      </c>
      <c r="F78" s="88">
        <v>4.0033329999999996</v>
      </c>
      <c r="G78" s="88">
        <v>4.154909</v>
      </c>
      <c r="H78" s="88">
        <v>4.3465829999999999</v>
      </c>
      <c r="I78" s="88">
        <v>4.5559409999999998</v>
      </c>
      <c r="J78" s="88">
        <v>4.7584520000000001</v>
      </c>
      <c r="K78" s="88">
        <v>4.9760099999999996</v>
      </c>
      <c r="L78" s="88">
        <v>5.1881700000000004</v>
      </c>
      <c r="M78" s="88">
        <v>5.3957819999999996</v>
      </c>
      <c r="N78" s="88">
        <v>5.5792359999999999</v>
      </c>
      <c r="O78" s="88">
        <v>5.7431809999999999</v>
      </c>
      <c r="P78" s="88">
        <v>5.8900360000000003</v>
      </c>
      <c r="Q78" s="88">
        <v>5.9984260000000003</v>
      </c>
      <c r="R78" s="88">
        <v>6.0940690000000002</v>
      </c>
      <c r="S78" s="88">
        <v>6.1672099999999999</v>
      </c>
      <c r="T78" s="88">
        <v>6.22837</v>
      </c>
      <c r="U78" s="88">
        <v>6.2926219999999997</v>
      </c>
      <c r="V78" s="88">
        <v>6.356681</v>
      </c>
      <c r="W78" s="88">
        <v>6.3895749999999998</v>
      </c>
      <c r="X78" s="88">
        <v>6.4071030000000002</v>
      </c>
      <c r="Y78" s="88">
        <v>6.4340310000000001</v>
      </c>
      <c r="Z78" s="88">
        <v>6.4656529999999997</v>
      </c>
      <c r="AA78" s="88">
        <v>6.5095479999999997</v>
      </c>
      <c r="AB78" s="88">
        <v>6.5554730000000001</v>
      </c>
      <c r="AC78" s="88">
        <v>6.5929979999999997</v>
      </c>
      <c r="AD78" s="88">
        <v>6.6332560000000003</v>
      </c>
      <c r="AE78" s="88">
        <v>6.6926329999999998</v>
      </c>
      <c r="AF78" s="89">
        <v>1.8849999999999999E-2</v>
      </c>
      <c r="AG78" s="80"/>
    </row>
    <row r="79" spans="1:33" ht="15" customHeight="1" x14ac:dyDescent="0.25">
      <c r="A79" s="78" t="s">
        <v>377</v>
      </c>
      <c r="B79" s="87" t="s">
        <v>312</v>
      </c>
      <c r="C79" s="88">
        <v>0.57084699999999999</v>
      </c>
      <c r="D79" s="88">
        <v>0.62436700000000001</v>
      </c>
      <c r="E79" s="88">
        <v>0.67565299999999995</v>
      </c>
      <c r="F79" s="88">
        <v>0.72345599999999999</v>
      </c>
      <c r="G79" s="88">
        <v>0.76954900000000004</v>
      </c>
      <c r="H79" s="88">
        <v>0.80783199999999999</v>
      </c>
      <c r="I79" s="88">
        <v>0.83759799999999995</v>
      </c>
      <c r="J79" s="88">
        <v>0.85494300000000001</v>
      </c>
      <c r="K79" s="88">
        <v>0.86416899999999996</v>
      </c>
      <c r="L79" s="88">
        <v>0.86825799999999997</v>
      </c>
      <c r="M79" s="88">
        <v>0.87042299999999995</v>
      </c>
      <c r="N79" s="88">
        <v>0.87198200000000003</v>
      </c>
      <c r="O79" s="88">
        <v>0.876027</v>
      </c>
      <c r="P79" s="88">
        <v>0.88223799999999997</v>
      </c>
      <c r="Q79" s="88">
        <v>0.88616399999999995</v>
      </c>
      <c r="R79" s="88">
        <v>0.890656</v>
      </c>
      <c r="S79" s="88">
        <v>0.89219300000000001</v>
      </c>
      <c r="T79" s="88">
        <v>0.89300599999999997</v>
      </c>
      <c r="U79" s="88">
        <v>0.89404300000000003</v>
      </c>
      <c r="V79" s="88">
        <v>0.89725900000000003</v>
      </c>
      <c r="W79" s="88">
        <v>0.90047600000000005</v>
      </c>
      <c r="X79" s="88">
        <v>0.90321899999999999</v>
      </c>
      <c r="Y79" s="88">
        <v>0.90516799999999997</v>
      </c>
      <c r="Z79" s="88">
        <v>0.90654199999999996</v>
      </c>
      <c r="AA79" s="88">
        <v>0.90933900000000001</v>
      </c>
      <c r="AB79" s="88">
        <v>0.91265600000000002</v>
      </c>
      <c r="AC79" s="88">
        <v>0.91492600000000002</v>
      </c>
      <c r="AD79" s="88">
        <v>0.91651300000000002</v>
      </c>
      <c r="AE79" s="88">
        <v>0.91947900000000005</v>
      </c>
      <c r="AF79" s="89">
        <v>1.7170000000000001E-2</v>
      </c>
      <c r="AG79" s="80"/>
    </row>
    <row r="80" spans="1:33" ht="15" customHeight="1" x14ac:dyDescent="0.25">
      <c r="A80" s="78" t="s">
        <v>378</v>
      </c>
      <c r="B80" s="87" t="s">
        <v>314</v>
      </c>
      <c r="C80" s="88">
        <v>50.390869000000002</v>
      </c>
      <c r="D80" s="88">
        <v>50.880237999999999</v>
      </c>
      <c r="E80" s="88">
        <v>51.130661000000003</v>
      </c>
      <c r="F80" s="88">
        <v>51.278004000000003</v>
      </c>
      <c r="G80" s="88">
        <v>51.266300000000001</v>
      </c>
      <c r="H80" s="88">
        <v>50.763759999999998</v>
      </c>
      <c r="I80" s="88">
        <v>49.941105</v>
      </c>
      <c r="J80" s="88">
        <v>48.755848</v>
      </c>
      <c r="K80" s="88">
        <v>47.376193999999998</v>
      </c>
      <c r="L80" s="88">
        <v>46.136257000000001</v>
      </c>
      <c r="M80" s="88">
        <v>45.289948000000003</v>
      </c>
      <c r="N80" s="88">
        <v>44.815620000000003</v>
      </c>
      <c r="O80" s="88">
        <v>44.797992999999998</v>
      </c>
      <c r="P80" s="88">
        <v>45.188122</v>
      </c>
      <c r="Q80" s="88">
        <v>45.832714000000003</v>
      </c>
      <c r="R80" s="88">
        <v>46.829082</v>
      </c>
      <c r="S80" s="88">
        <v>48.081806</v>
      </c>
      <c r="T80" s="88">
        <v>49.582222000000002</v>
      </c>
      <c r="U80" s="88">
        <v>51.412018000000003</v>
      </c>
      <c r="V80" s="88">
        <v>53.560184</v>
      </c>
      <c r="W80" s="88">
        <v>55.921677000000003</v>
      </c>
      <c r="X80" s="88">
        <v>58.465366000000003</v>
      </c>
      <c r="Y80" s="88">
        <v>61.153961000000002</v>
      </c>
      <c r="Z80" s="88">
        <v>63.935595999999997</v>
      </c>
      <c r="AA80" s="88">
        <v>66.919730999999999</v>
      </c>
      <c r="AB80" s="88">
        <v>70.067229999999995</v>
      </c>
      <c r="AC80" s="88">
        <v>73.232262000000006</v>
      </c>
      <c r="AD80" s="88">
        <v>76.543907000000004</v>
      </c>
      <c r="AE80" s="88">
        <v>80.243094999999997</v>
      </c>
      <c r="AF80" s="89">
        <v>1.6754999999999999E-2</v>
      </c>
      <c r="AG80" s="80"/>
    </row>
    <row r="81" spans="1:33" ht="15" customHeight="1" x14ac:dyDescent="0.25">
      <c r="A81" s="78" t="s">
        <v>379</v>
      </c>
      <c r="B81" s="87" t="s">
        <v>316</v>
      </c>
      <c r="C81" s="88">
        <v>0</v>
      </c>
      <c r="D81" s="88">
        <v>0</v>
      </c>
      <c r="E81" s="88">
        <v>0</v>
      </c>
      <c r="F81" s="88">
        <v>0</v>
      </c>
      <c r="G81" s="88">
        <v>0</v>
      </c>
      <c r="H81" s="88">
        <v>0</v>
      </c>
      <c r="I81" s="88">
        <v>0</v>
      </c>
      <c r="J81" s="88">
        <v>0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  <c r="Q81" s="88">
        <v>0</v>
      </c>
      <c r="R81" s="88">
        <v>0</v>
      </c>
      <c r="S81" s="88">
        <v>0</v>
      </c>
      <c r="T81" s="88">
        <v>0</v>
      </c>
      <c r="U81" s="88">
        <v>0</v>
      </c>
      <c r="V81" s="88">
        <v>0</v>
      </c>
      <c r="W81" s="88">
        <v>0</v>
      </c>
      <c r="X81" s="88">
        <v>0</v>
      </c>
      <c r="Y81" s="88">
        <v>0</v>
      </c>
      <c r="Z81" s="88">
        <v>0</v>
      </c>
      <c r="AA81" s="88">
        <v>0</v>
      </c>
      <c r="AB81" s="88">
        <v>0</v>
      </c>
      <c r="AC81" s="88">
        <v>0</v>
      </c>
      <c r="AD81" s="88">
        <v>0</v>
      </c>
      <c r="AE81" s="88">
        <v>0</v>
      </c>
      <c r="AF81" s="89" t="s">
        <v>321</v>
      </c>
      <c r="AG81" s="80"/>
    </row>
    <row r="82" spans="1:33" ht="15" customHeight="1" x14ac:dyDescent="0.25">
      <c r="A82" s="78" t="s">
        <v>380</v>
      </c>
      <c r="B82" s="87" t="s">
        <v>318</v>
      </c>
      <c r="C82" s="88">
        <v>4.7272000000000002E-2</v>
      </c>
      <c r="D82" s="88">
        <v>5.6365999999999999E-2</v>
      </c>
      <c r="E82" s="88">
        <v>6.4062999999999995E-2</v>
      </c>
      <c r="F82" s="88">
        <v>7.0821999999999996E-2</v>
      </c>
      <c r="G82" s="88">
        <v>7.6726000000000003E-2</v>
      </c>
      <c r="H82" s="88">
        <v>8.1382999999999997E-2</v>
      </c>
      <c r="I82" s="88">
        <v>8.4830000000000003E-2</v>
      </c>
      <c r="J82" s="88">
        <v>8.6957999999999994E-2</v>
      </c>
      <c r="K82" s="88">
        <v>8.7952000000000002E-2</v>
      </c>
      <c r="L82" s="88">
        <v>8.8012999999999994E-2</v>
      </c>
      <c r="M82" s="88">
        <v>8.7249999999999994E-2</v>
      </c>
      <c r="N82" s="88">
        <v>8.5333000000000006E-2</v>
      </c>
      <c r="O82" s="88">
        <v>8.2535999999999998E-2</v>
      </c>
      <c r="P82" s="88">
        <v>7.9114000000000004E-2</v>
      </c>
      <c r="Q82" s="88">
        <v>7.5203999999999993E-2</v>
      </c>
      <c r="R82" s="88">
        <v>7.1353E-2</v>
      </c>
      <c r="S82" s="88">
        <v>6.7466999999999999E-2</v>
      </c>
      <c r="T82" s="88">
        <v>6.3056000000000001E-2</v>
      </c>
      <c r="U82" s="88">
        <v>5.8637000000000002E-2</v>
      </c>
      <c r="V82" s="88">
        <v>5.4799E-2</v>
      </c>
      <c r="W82" s="88">
        <v>5.1536999999999999E-2</v>
      </c>
      <c r="X82" s="88">
        <v>4.8205999999999999E-2</v>
      </c>
      <c r="Y82" s="88">
        <v>4.5224E-2</v>
      </c>
      <c r="Z82" s="88">
        <v>4.2495999999999999E-2</v>
      </c>
      <c r="AA82" s="88">
        <v>4.0057000000000002E-2</v>
      </c>
      <c r="AB82" s="88">
        <v>3.7803999999999997E-2</v>
      </c>
      <c r="AC82" s="88">
        <v>3.5659000000000003E-2</v>
      </c>
      <c r="AD82" s="88">
        <v>3.3694000000000002E-2</v>
      </c>
      <c r="AE82" s="88">
        <v>3.1962999999999998E-2</v>
      </c>
      <c r="AF82" s="89">
        <v>-1.3879000000000001E-2</v>
      </c>
      <c r="AG82" s="80"/>
    </row>
    <row r="83" spans="1:33" ht="15" customHeight="1" x14ac:dyDescent="0.25">
      <c r="A83" s="78" t="s">
        <v>381</v>
      </c>
      <c r="B83" s="87" t="s">
        <v>320</v>
      </c>
      <c r="C83" s="88">
        <v>0</v>
      </c>
      <c r="D83" s="88">
        <v>0</v>
      </c>
      <c r="E83" s="88">
        <v>0.111749</v>
      </c>
      <c r="F83" s="88">
        <v>0.12651799999999999</v>
      </c>
      <c r="G83" s="88">
        <v>0.14269399999999999</v>
      </c>
      <c r="H83" s="88">
        <v>0.15934000000000001</v>
      </c>
      <c r="I83" s="88">
        <v>0.17621300000000001</v>
      </c>
      <c r="J83" s="88">
        <v>0.19222800000000001</v>
      </c>
      <c r="K83" s="88">
        <v>0.20724500000000001</v>
      </c>
      <c r="L83" s="88">
        <v>0.22140099999999999</v>
      </c>
      <c r="M83" s="88">
        <v>0.23488800000000001</v>
      </c>
      <c r="N83" s="88">
        <v>0.24656900000000001</v>
      </c>
      <c r="O83" s="88">
        <v>0.25659700000000002</v>
      </c>
      <c r="P83" s="88">
        <v>0.26520700000000003</v>
      </c>
      <c r="Q83" s="88">
        <v>0.27205200000000002</v>
      </c>
      <c r="R83" s="88">
        <v>0.278225</v>
      </c>
      <c r="S83" s="88">
        <v>0.28399799999999997</v>
      </c>
      <c r="T83" s="88">
        <v>0.29017999999999999</v>
      </c>
      <c r="U83" s="88">
        <v>0.29806500000000002</v>
      </c>
      <c r="V83" s="88">
        <v>0.30863000000000002</v>
      </c>
      <c r="W83" s="88">
        <v>0.32256400000000002</v>
      </c>
      <c r="X83" s="88">
        <v>0.334818</v>
      </c>
      <c r="Y83" s="88">
        <v>0.34677599999999997</v>
      </c>
      <c r="Z83" s="88">
        <v>0.36227599999999999</v>
      </c>
      <c r="AA83" s="88">
        <v>0.384801</v>
      </c>
      <c r="AB83" s="88">
        <v>0.40742899999999999</v>
      </c>
      <c r="AC83" s="88">
        <v>0.43170500000000001</v>
      </c>
      <c r="AD83" s="88">
        <v>0.458424</v>
      </c>
      <c r="AE83" s="88">
        <v>0.48888399999999999</v>
      </c>
      <c r="AF83" s="89" t="s">
        <v>321</v>
      </c>
      <c r="AG83" s="80"/>
    </row>
    <row r="84" spans="1:33" ht="15" customHeight="1" x14ac:dyDescent="0.25">
      <c r="A84" s="78" t="s">
        <v>382</v>
      </c>
      <c r="B84" s="87" t="s">
        <v>323</v>
      </c>
      <c r="C84" s="88">
        <v>0</v>
      </c>
      <c r="D84" s="88">
        <v>0</v>
      </c>
      <c r="E84" s="88">
        <v>0.23414399999999999</v>
      </c>
      <c r="F84" s="88">
        <v>0.26273600000000003</v>
      </c>
      <c r="G84" s="88">
        <v>0.29418100000000003</v>
      </c>
      <c r="H84" s="88">
        <v>0.326345</v>
      </c>
      <c r="I84" s="88">
        <v>0.35836099999999999</v>
      </c>
      <c r="J84" s="88">
        <v>0.388214</v>
      </c>
      <c r="K84" s="88">
        <v>0.41574299999999997</v>
      </c>
      <c r="L84" s="88">
        <v>0.44134699999999999</v>
      </c>
      <c r="M84" s="88">
        <v>0.46522400000000003</v>
      </c>
      <c r="N84" s="88">
        <v>0.485016</v>
      </c>
      <c r="O84" s="88">
        <v>0.50097899999999995</v>
      </c>
      <c r="P84" s="88">
        <v>0.51362799999999997</v>
      </c>
      <c r="Q84" s="88">
        <v>0.522262</v>
      </c>
      <c r="R84" s="88">
        <v>0.52908999999999995</v>
      </c>
      <c r="S84" s="88">
        <v>0.53469299999999997</v>
      </c>
      <c r="T84" s="88">
        <v>0.54074299999999997</v>
      </c>
      <c r="U84" s="88">
        <v>0.54972399999999999</v>
      </c>
      <c r="V84" s="88">
        <v>0.56356499999999998</v>
      </c>
      <c r="W84" s="88">
        <v>0.58364300000000002</v>
      </c>
      <c r="X84" s="88">
        <v>0.59923099999999996</v>
      </c>
      <c r="Y84" s="88">
        <v>0.613008</v>
      </c>
      <c r="Z84" s="88">
        <v>0.63285800000000003</v>
      </c>
      <c r="AA84" s="88">
        <v>0.66527599999999998</v>
      </c>
      <c r="AB84" s="88">
        <v>0.69548399999999999</v>
      </c>
      <c r="AC84" s="88">
        <v>0.72656200000000004</v>
      </c>
      <c r="AD84" s="88">
        <v>0.75966500000000003</v>
      </c>
      <c r="AE84" s="88">
        <v>0.79641600000000001</v>
      </c>
      <c r="AF84" s="89" t="s">
        <v>321</v>
      </c>
      <c r="AG84" s="80"/>
    </row>
    <row r="85" spans="1:33" ht="15" customHeight="1" x14ac:dyDescent="0.25">
      <c r="A85" s="78" t="s">
        <v>383</v>
      </c>
      <c r="B85" s="87" t="s">
        <v>325</v>
      </c>
      <c r="C85" s="88">
        <v>0</v>
      </c>
      <c r="D85" s="88">
        <v>0</v>
      </c>
      <c r="E85" s="88">
        <v>0.13243099999999999</v>
      </c>
      <c r="F85" s="88">
        <v>0.25880199999999998</v>
      </c>
      <c r="G85" s="88">
        <v>0.385407</v>
      </c>
      <c r="H85" s="88">
        <v>0.51399799999999995</v>
      </c>
      <c r="I85" s="88">
        <v>0.64363300000000001</v>
      </c>
      <c r="J85" s="88">
        <v>0.77151199999999998</v>
      </c>
      <c r="K85" s="88">
        <v>0.89717499999999994</v>
      </c>
      <c r="L85" s="88">
        <v>1.0226690000000001</v>
      </c>
      <c r="M85" s="88">
        <v>1.1502559999999999</v>
      </c>
      <c r="N85" s="88">
        <v>1.2741119999999999</v>
      </c>
      <c r="O85" s="88">
        <v>1.393794</v>
      </c>
      <c r="P85" s="88">
        <v>1.5088429999999999</v>
      </c>
      <c r="Q85" s="88">
        <v>1.6154120000000001</v>
      </c>
      <c r="R85" s="88">
        <v>1.717117</v>
      </c>
      <c r="S85" s="88">
        <v>1.812324</v>
      </c>
      <c r="T85" s="88">
        <v>1.902677</v>
      </c>
      <c r="U85" s="88">
        <v>1.9929779999999999</v>
      </c>
      <c r="V85" s="88">
        <v>2.0859009999999998</v>
      </c>
      <c r="W85" s="88">
        <v>2.1821549999999998</v>
      </c>
      <c r="X85" s="88">
        <v>2.2778990000000001</v>
      </c>
      <c r="Y85" s="88">
        <v>2.3718539999999999</v>
      </c>
      <c r="Z85" s="88">
        <v>2.4681579999999999</v>
      </c>
      <c r="AA85" s="88">
        <v>2.5784799999999999</v>
      </c>
      <c r="AB85" s="88">
        <v>2.69808</v>
      </c>
      <c r="AC85" s="88">
        <v>2.8237719999999999</v>
      </c>
      <c r="AD85" s="88">
        <v>2.9616039999999999</v>
      </c>
      <c r="AE85" s="88">
        <v>3.1206100000000001</v>
      </c>
      <c r="AF85" s="89" t="s">
        <v>321</v>
      </c>
      <c r="AG85" s="80"/>
    </row>
    <row r="86" spans="1:33" ht="15" customHeight="1" x14ac:dyDescent="0.25">
      <c r="A86" s="78" t="s">
        <v>384</v>
      </c>
      <c r="B86" s="87" t="s">
        <v>351</v>
      </c>
      <c r="C86" s="88">
        <v>4207.2734380000002</v>
      </c>
      <c r="D86" s="88">
        <v>4138.3027339999999</v>
      </c>
      <c r="E86" s="88">
        <v>4077.727539</v>
      </c>
      <c r="F86" s="88">
        <v>4039.0002439999998</v>
      </c>
      <c r="G86" s="88">
        <v>4013.0429690000001</v>
      </c>
      <c r="H86" s="88">
        <v>3976.7485350000002</v>
      </c>
      <c r="I86" s="88">
        <v>3937.7006839999999</v>
      </c>
      <c r="J86" s="88">
        <v>3887.586182</v>
      </c>
      <c r="K86" s="88">
        <v>3833.3564449999999</v>
      </c>
      <c r="L86" s="88">
        <v>3784.2958979999999</v>
      </c>
      <c r="M86" s="88">
        <v>3747.7145999999998</v>
      </c>
      <c r="N86" s="88">
        <v>3710.2214359999998</v>
      </c>
      <c r="O86" s="88">
        <v>3677.4077149999998</v>
      </c>
      <c r="P86" s="88">
        <v>3652.3427729999999</v>
      </c>
      <c r="Q86" s="88">
        <v>3627.3422850000002</v>
      </c>
      <c r="R86" s="88">
        <v>3611.421875</v>
      </c>
      <c r="S86" s="88">
        <v>3599.4953609999998</v>
      </c>
      <c r="T86" s="88">
        <v>3588.5097660000001</v>
      </c>
      <c r="U86" s="88">
        <v>3582.46875</v>
      </c>
      <c r="V86" s="88">
        <v>3579.7346189999998</v>
      </c>
      <c r="W86" s="88">
        <v>3579.5410160000001</v>
      </c>
      <c r="X86" s="88">
        <v>3578.6530760000001</v>
      </c>
      <c r="Y86" s="88">
        <v>3575.961182</v>
      </c>
      <c r="Z86" s="88">
        <v>3570.5195309999999</v>
      </c>
      <c r="AA86" s="88">
        <v>3568.0158689999998</v>
      </c>
      <c r="AB86" s="88">
        <v>3565.4648440000001</v>
      </c>
      <c r="AC86" s="88">
        <v>3558.258789</v>
      </c>
      <c r="AD86" s="88">
        <v>3552.2460940000001</v>
      </c>
      <c r="AE86" s="88">
        <v>3556.4155270000001</v>
      </c>
      <c r="AF86" s="89">
        <v>-5.9839999999999997E-3</v>
      </c>
      <c r="AG86" s="80"/>
    </row>
    <row r="87" spans="1:33" ht="15" customHeight="1" x14ac:dyDescent="0.25">
      <c r="B87" s="86" t="s">
        <v>385</v>
      </c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</row>
    <row r="88" spans="1:33" ht="15" customHeight="1" x14ac:dyDescent="0.25">
      <c r="A88" s="78" t="s">
        <v>386</v>
      </c>
      <c r="B88" s="87" t="s">
        <v>308</v>
      </c>
      <c r="C88" s="88">
        <v>5252.3305659999996</v>
      </c>
      <c r="D88" s="88">
        <v>5150.2109380000002</v>
      </c>
      <c r="E88" s="88">
        <v>5062.0986329999996</v>
      </c>
      <c r="F88" s="88">
        <v>5004.6708980000003</v>
      </c>
      <c r="G88" s="88">
        <v>4965.3076170000004</v>
      </c>
      <c r="H88" s="88">
        <v>4915.0947269999997</v>
      </c>
      <c r="I88" s="88">
        <v>4864.1035160000001</v>
      </c>
      <c r="J88" s="88">
        <v>4802.189453</v>
      </c>
      <c r="K88" s="88">
        <v>4738.7089839999999</v>
      </c>
      <c r="L88" s="88">
        <v>4684.001953</v>
      </c>
      <c r="M88" s="88">
        <v>4645.8359380000002</v>
      </c>
      <c r="N88" s="88">
        <v>4605.7412109999996</v>
      </c>
      <c r="O88" s="88">
        <v>4571.0966799999997</v>
      </c>
      <c r="P88" s="88">
        <v>4545.9067379999997</v>
      </c>
      <c r="Q88" s="88">
        <v>4520.6884769999997</v>
      </c>
      <c r="R88" s="88">
        <v>4506.4428710000002</v>
      </c>
      <c r="S88" s="88">
        <v>4496.765625</v>
      </c>
      <c r="T88" s="88">
        <v>4489.0834960000002</v>
      </c>
      <c r="U88" s="88">
        <v>4488.0830079999996</v>
      </c>
      <c r="V88" s="88">
        <v>4491.1411129999997</v>
      </c>
      <c r="W88" s="88">
        <v>4496.9345700000003</v>
      </c>
      <c r="X88" s="88">
        <v>4502.8085940000001</v>
      </c>
      <c r="Y88" s="88">
        <v>4507.3803710000002</v>
      </c>
      <c r="Z88" s="88">
        <v>4509.7548829999996</v>
      </c>
      <c r="AA88" s="88">
        <v>4517.1176759999998</v>
      </c>
      <c r="AB88" s="88">
        <v>4525.4931640000004</v>
      </c>
      <c r="AC88" s="88">
        <v>4528.6337890000004</v>
      </c>
      <c r="AD88" s="88">
        <v>4533.9399409999996</v>
      </c>
      <c r="AE88" s="88">
        <v>4552.7285160000001</v>
      </c>
      <c r="AF88" s="89">
        <v>-5.0920000000000002E-3</v>
      </c>
      <c r="AG88" s="80"/>
    </row>
    <row r="89" spans="1:33" ht="15" customHeight="1" x14ac:dyDescent="0.25">
      <c r="A89" s="78" t="s">
        <v>387</v>
      </c>
      <c r="B89" s="87" t="s">
        <v>310</v>
      </c>
      <c r="C89" s="88">
        <v>561.48449700000003</v>
      </c>
      <c r="D89" s="88">
        <v>557.785034</v>
      </c>
      <c r="E89" s="88">
        <v>556.74005099999999</v>
      </c>
      <c r="F89" s="88">
        <v>558.68145800000002</v>
      </c>
      <c r="G89" s="88">
        <v>563.18457000000001</v>
      </c>
      <c r="H89" s="88">
        <v>566.01348900000005</v>
      </c>
      <c r="I89" s="88">
        <v>568.99591099999998</v>
      </c>
      <c r="J89" s="88">
        <v>571.13494900000001</v>
      </c>
      <c r="K89" s="88">
        <v>573.60174600000005</v>
      </c>
      <c r="L89" s="88">
        <v>577.01965299999995</v>
      </c>
      <c r="M89" s="88">
        <v>583.04650900000001</v>
      </c>
      <c r="N89" s="88">
        <v>588.07153300000004</v>
      </c>
      <c r="O89" s="88">
        <v>593.151611</v>
      </c>
      <c r="P89" s="88">
        <v>598.55310099999997</v>
      </c>
      <c r="Q89" s="88">
        <v>603.21813999999995</v>
      </c>
      <c r="R89" s="88">
        <v>609.34344499999997</v>
      </c>
      <c r="S89" s="88">
        <v>614.73071300000004</v>
      </c>
      <c r="T89" s="88">
        <v>621.06646699999999</v>
      </c>
      <c r="U89" s="88">
        <v>627.72302200000001</v>
      </c>
      <c r="V89" s="88">
        <v>635.39660600000002</v>
      </c>
      <c r="W89" s="88">
        <v>642.87426800000003</v>
      </c>
      <c r="X89" s="88">
        <v>649.87420699999996</v>
      </c>
      <c r="Y89" s="88">
        <v>656.76269500000001</v>
      </c>
      <c r="Z89" s="88">
        <v>663.54040499999996</v>
      </c>
      <c r="AA89" s="88">
        <v>671.537598</v>
      </c>
      <c r="AB89" s="88">
        <v>679.92511000000002</v>
      </c>
      <c r="AC89" s="88">
        <v>687.57550000000003</v>
      </c>
      <c r="AD89" s="88">
        <v>695.97375499999998</v>
      </c>
      <c r="AE89" s="88">
        <v>706.70812999999998</v>
      </c>
      <c r="AF89" s="89">
        <v>8.2489999999999994E-3</v>
      </c>
      <c r="AG89" s="80"/>
    </row>
    <row r="90" spans="1:33" ht="15" customHeight="1" x14ac:dyDescent="0.25">
      <c r="A90" s="78" t="s">
        <v>388</v>
      </c>
      <c r="B90" s="87" t="s">
        <v>312</v>
      </c>
      <c r="C90" s="88">
        <v>1.2452650000000001</v>
      </c>
      <c r="D90" s="88">
        <v>1.3861779999999999</v>
      </c>
      <c r="E90" s="88">
        <v>1.52488</v>
      </c>
      <c r="F90" s="88">
        <v>1.6560079999999999</v>
      </c>
      <c r="G90" s="88">
        <v>1.7862659999999999</v>
      </c>
      <c r="H90" s="88">
        <v>1.903707</v>
      </c>
      <c r="I90" s="88">
        <v>2.0105780000000002</v>
      </c>
      <c r="J90" s="88">
        <v>2.099688</v>
      </c>
      <c r="K90" s="88">
        <v>2.1804990000000002</v>
      </c>
      <c r="L90" s="88">
        <v>2.2604660000000001</v>
      </c>
      <c r="M90" s="88">
        <v>2.3478080000000001</v>
      </c>
      <c r="N90" s="88">
        <v>2.4404729999999999</v>
      </c>
      <c r="O90" s="88">
        <v>2.5412210000000002</v>
      </c>
      <c r="P90" s="88">
        <v>2.6449829999999999</v>
      </c>
      <c r="Q90" s="88">
        <v>2.752405</v>
      </c>
      <c r="R90" s="88">
        <v>2.8738489999999999</v>
      </c>
      <c r="S90" s="88">
        <v>3.004591</v>
      </c>
      <c r="T90" s="88">
        <v>3.1495850000000001</v>
      </c>
      <c r="U90" s="88">
        <v>3.3139080000000001</v>
      </c>
      <c r="V90" s="88">
        <v>3.5006020000000002</v>
      </c>
      <c r="W90" s="88">
        <v>3.7020719999999998</v>
      </c>
      <c r="X90" s="88">
        <v>3.9170069999999999</v>
      </c>
      <c r="Y90" s="88">
        <v>4.1414150000000003</v>
      </c>
      <c r="Z90" s="88">
        <v>4.3768859999999998</v>
      </c>
      <c r="AA90" s="88">
        <v>4.632447</v>
      </c>
      <c r="AB90" s="88">
        <v>4.9017460000000002</v>
      </c>
      <c r="AC90" s="88">
        <v>5.1746309999999998</v>
      </c>
      <c r="AD90" s="88">
        <v>5.4474770000000001</v>
      </c>
      <c r="AE90" s="88">
        <v>5.7450359999999998</v>
      </c>
      <c r="AF90" s="89">
        <v>5.6125000000000001E-2</v>
      </c>
      <c r="AG90" s="80"/>
    </row>
    <row r="91" spans="1:33" ht="12" customHeight="1" x14ac:dyDescent="0.25">
      <c r="A91" s="78" t="s">
        <v>389</v>
      </c>
      <c r="B91" s="87" t="s">
        <v>314</v>
      </c>
      <c r="C91" s="88">
        <v>51.344929</v>
      </c>
      <c r="D91" s="88">
        <v>51.773192999999999</v>
      </c>
      <c r="E91" s="88">
        <v>51.965781999999997</v>
      </c>
      <c r="F91" s="88">
        <v>52.061802</v>
      </c>
      <c r="G91" s="88">
        <v>52.003608999999997</v>
      </c>
      <c r="H91" s="88">
        <v>51.453983000000001</v>
      </c>
      <c r="I91" s="88">
        <v>50.587246</v>
      </c>
      <c r="J91" s="88">
        <v>49.357909999999997</v>
      </c>
      <c r="K91" s="88">
        <v>47.935226</v>
      </c>
      <c r="L91" s="88">
        <v>46.656028999999997</v>
      </c>
      <c r="M91" s="88">
        <v>45.774760999999998</v>
      </c>
      <c r="N91" s="88">
        <v>45.265827000000002</v>
      </c>
      <c r="O91" s="88">
        <v>45.213760000000001</v>
      </c>
      <c r="P91" s="88">
        <v>45.570152</v>
      </c>
      <c r="Q91" s="88">
        <v>46.181815999999998</v>
      </c>
      <c r="R91" s="88">
        <v>47.148071000000002</v>
      </c>
      <c r="S91" s="88">
        <v>48.373516000000002</v>
      </c>
      <c r="T91" s="88">
        <v>49.850352999999998</v>
      </c>
      <c r="U91" s="88">
        <v>51.657871</v>
      </c>
      <c r="V91" s="88">
        <v>53.785004000000001</v>
      </c>
      <c r="W91" s="88">
        <v>56.128632000000003</v>
      </c>
      <c r="X91" s="88">
        <v>58.653046000000003</v>
      </c>
      <c r="Y91" s="88">
        <v>61.322830000000003</v>
      </c>
      <c r="Z91" s="88">
        <v>64.089225999999996</v>
      </c>
      <c r="AA91" s="88">
        <v>67.060805999999999</v>
      </c>
      <c r="AB91" s="88">
        <v>70.195723999999998</v>
      </c>
      <c r="AC91" s="88">
        <v>73.347763</v>
      </c>
      <c r="AD91" s="88">
        <v>76.647514000000001</v>
      </c>
      <c r="AE91" s="88">
        <v>80.336487000000005</v>
      </c>
      <c r="AF91" s="89">
        <v>1.6115999999999998E-2</v>
      </c>
      <c r="AG91" s="80"/>
    </row>
    <row r="92" spans="1:33" ht="15" customHeight="1" x14ac:dyDescent="0.25">
      <c r="A92" s="78" t="s">
        <v>390</v>
      </c>
      <c r="B92" s="87" t="s">
        <v>316</v>
      </c>
      <c r="C92" s="88">
        <v>56.296131000000003</v>
      </c>
      <c r="D92" s="88">
        <v>55.369976000000001</v>
      </c>
      <c r="E92" s="88">
        <v>54.821407000000001</v>
      </c>
      <c r="F92" s="88">
        <v>54.645843999999997</v>
      </c>
      <c r="G92" s="88">
        <v>54.800826999999998</v>
      </c>
      <c r="H92" s="88">
        <v>55.005043000000001</v>
      </c>
      <c r="I92" s="88">
        <v>55.364806999999999</v>
      </c>
      <c r="J92" s="88">
        <v>55.846207</v>
      </c>
      <c r="K92" s="88">
        <v>56.544991000000003</v>
      </c>
      <c r="L92" s="88">
        <v>57.577567999999999</v>
      </c>
      <c r="M92" s="88">
        <v>58.992728999999997</v>
      </c>
      <c r="N92" s="88">
        <v>60.460762000000003</v>
      </c>
      <c r="O92" s="88">
        <v>61.892029000000001</v>
      </c>
      <c r="P92" s="88">
        <v>63.325195000000001</v>
      </c>
      <c r="Q92" s="88">
        <v>64.556685999999999</v>
      </c>
      <c r="R92" s="88">
        <v>65.916945999999996</v>
      </c>
      <c r="S92" s="88">
        <v>67.129135000000005</v>
      </c>
      <c r="T92" s="88">
        <v>68.383598000000006</v>
      </c>
      <c r="U92" s="88">
        <v>69.911057</v>
      </c>
      <c r="V92" s="88">
        <v>71.648148000000006</v>
      </c>
      <c r="W92" s="88">
        <v>73.513976999999997</v>
      </c>
      <c r="X92" s="88">
        <v>75.545715000000001</v>
      </c>
      <c r="Y92" s="88">
        <v>77.664931999999993</v>
      </c>
      <c r="Z92" s="88">
        <v>79.787002999999999</v>
      </c>
      <c r="AA92" s="88">
        <v>81.972365999999994</v>
      </c>
      <c r="AB92" s="88">
        <v>84.157775999999998</v>
      </c>
      <c r="AC92" s="88">
        <v>86.156768999999997</v>
      </c>
      <c r="AD92" s="88">
        <v>88.149535999999998</v>
      </c>
      <c r="AE92" s="88">
        <v>90.333061000000001</v>
      </c>
      <c r="AF92" s="89">
        <v>1.7031999999999999E-2</v>
      </c>
      <c r="AG92" s="80"/>
    </row>
    <row r="93" spans="1:33" ht="15" customHeight="1" x14ac:dyDescent="0.25">
      <c r="A93" s="78" t="s">
        <v>391</v>
      </c>
      <c r="B93" s="87" t="s">
        <v>318</v>
      </c>
      <c r="C93" s="88">
        <v>9.0132000000000004E-2</v>
      </c>
      <c r="D93" s="88">
        <v>0.105979</v>
      </c>
      <c r="E93" s="88">
        <v>0.11863799999999999</v>
      </c>
      <c r="F93" s="88">
        <v>0.12912899999999999</v>
      </c>
      <c r="G93" s="88">
        <v>0.137766</v>
      </c>
      <c r="H93" s="88">
        <v>0.14405100000000001</v>
      </c>
      <c r="I93" s="88">
        <v>0.14827899999999999</v>
      </c>
      <c r="J93" s="88">
        <v>0.15024000000000001</v>
      </c>
      <c r="K93" s="88">
        <v>0.15040500000000001</v>
      </c>
      <c r="L93" s="88">
        <v>0.14929400000000001</v>
      </c>
      <c r="M93" s="88">
        <v>0.14718300000000001</v>
      </c>
      <c r="N93" s="88">
        <v>0.14337900000000001</v>
      </c>
      <c r="O93" s="88">
        <v>0.13844500000000001</v>
      </c>
      <c r="P93" s="88">
        <v>0.13287299999999999</v>
      </c>
      <c r="Q93" s="88">
        <v>0.126362</v>
      </c>
      <c r="R93" s="88">
        <v>0.119864</v>
      </c>
      <c r="S93" s="88">
        <v>0.113812</v>
      </c>
      <c r="T93" s="88">
        <v>0.107261</v>
      </c>
      <c r="U93" s="88">
        <v>0.100509</v>
      </c>
      <c r="V93" s="88">
        <v>9.4465999999999994E-2</v>
      </c>
      <c r="W93" s="88">
        <v>8.9089000000000002E-2</v>
      </c>
      <c r="X93" s="88">
        <v>8.3718000000000001E-2</v>
      </c>
      <c r="Y93" s="88">
        <v>7.8723000000000001E-2</v>
      </c>
      <c r="Z93" s="88">
        <v>7.4067999999999995E-2</v>
      </c>
      <c r="AA93" s="88">
        <v>6.9883000000000001E-2</v>
      </c>
      <c r="AB93" s="88">
        <v>6.5998000000000001E-2</v>
      </c>
      <c r="AC93" s="88">
        <v>6.2285E-2</v>
      </c>
      <c r="AD93" s="88">
        <v>5.8872000000000001E-2</v>
      </c>
      <c r="AE93" s="88">
        <v>5.5808999999999997E-2</v>
      </c>
      <c r="AF93" s="89">
        <v>-1.6974E-2</v>
      </c>
      <c r="AG93" s="80"/>
    </row>
    <row r="94" spans="1:33" ht="15" customHeight="1" x14ac:dyDescent="0.25">
      <c r="A94" s="78" t="s">
        <v>392</v>
      </c>
      <c r="B94" s="87" t="s">
        <v>320</v>
      </c>
      <c r="C94" s="88">
        <v>0</v>
      </c>
      <c r="D94" s="88">
        <v>3.4696999999999999E-2</v>
      </c>
      <c r="E94" s="88">
        <v>0.22656999999999999</v>
      </c>
      <c r="F94" s="88">
        <v>0.31767200000000001</v>
      </c>
      <c r="G94" s="88">
        <v>0.40790999999999999</v>
      </c>
      <c r="H94" s="88">
        <v>0.495367</v>
      </c>
      <c r="I94" s="88">
        <v>0.58037700000000003</v>
      </c>
      <c r="J94" s="88">
        <v>0.66060700000000006</v>
      </c>
      <c r="K94" s="88">
        <v>0.73688600000000004</v>
      </c>
      <c r="L94" s="88">
        <v>0.81124300000000005</v>
      </c>
      <c r="M94" s="88">
        <v>0.88603900000000002</v>
      </c>
      <c r="N94" s="88">
        <v>0.95841299999999996</v>
      </c>
      <c r="O94" s="88">
        <v>1.030276</v>
      </c>
      <c r="P94" s="88">
        <v>1.1037779999999999</v>
      </c>
      <c r="Q94" s="88">
        <v>1.1780520000000001</v>
      </c>
      <c r="R94" s="88">
        <v>1.2576940000000001</v>
      </c>
      <c r="S94" s="88">
        <v>1.343499</v>
      </c>
      <c r="T94" s="88">
        <v>1.4378439999999999</v>
      </c>
      <c r="U94" s="88">
        <v>1.5450470000000001</v>
      </c>
      <c r="V94" s="88">
        <v>1.6667050000000001</v>
      </c>
      <c r="W94" s="88">
        <v>1.8016829999999999</v>
      </c>
      <c r="X94" s="88">
        <v>1.9414089999999999</v>
      </c>
      <c r="Y94" s="88">
        <v>2.088851</v>
      </c>
      <c r="Z94" s="88">
        <v>2.2483810000000002</v>
      </c>
      <c r="AA94" s="88">
        <v>2.4252669999999998</v>
      </c>
      <c r="AB94" s="88">
        <v>2.6095299999999999</v>
      </c>
      <c r="AC94" s="88">
        <v>2.798035</v>
      </c>
      <c r="AD94" s="88">
        <v>2.995368</v>
      </c>
      <c r="AE94" s="88">
        <v>3.2089319999999999</v>
      </c>
      <c r="AF94" s="89" t="s">
        <v>321</v>
      </c>
      <c r="AG94" s="80"/>
    </row>
    <row r="95" spans="1:33" ht="15" customHeight="1" x14ac:dyDescent="0.25">
      <c r="A95" s="78" t="s">
        <v>393</v>
      </c>
      <c r="B95" s="87" t="s">
        <v>323</v>
      </c>
      <c r="C95" s="88">
        <v>0</v>
      </c>
      <c r="D95" s="88">
        <v>3.9742E-2</v>
      </c>
      <c r="E95" s="88">
        <v>0.36955300000000002</v>
      </c>
      <c r="F95" s="88">
        <v>0.48781200000000002</v>
      </c>
      <c r="G95" s="88">
        <v>0.605603</v>
      </c>
      <c r="H95" s="88">
        <v>0.71972499999999995</v>
      </c>
      <c r="I95" s="88">
        <v>0.82948599999999995</v>
      </c>
      <c r="J95" s="88">
        <v>0.93214399999999997</v>
      </c>
      <c r="K95" s="88">
        <v>1.0295799999999999</v>
      </c>
      <c r="L95" s="88">
        <v>1.1256299999999999</v>
      </c>
      <c r="M95" s="88">
        <v>1.223357</v>
      </c>
      <c r="N95" s="88">
        <v>1.3188709999999999</v>
      </c>
      <c r="O95" s="88">
        <v>1.4143889999999999</v>
      </c>
      <c r="P95" s="88">
        <v>1.513145</v>
      </c>
      <c r="Q95" s="88">
        <v>1.6139269999999999</v>
      </c>
      <c r="R95" s="88">
        <v>1.7237640000000001</v>
      </c>
      <c r="S95" s="88">
        <v>1.8440939999999999</v>
      </c>
      <c r="T95" s="88">
        <v>1.979271</v>
      </c>
      <c r="U95" s="88">
        <v>2.1358799999999998</v>
      </c>
      <c r="V95" s="88">
        <v>2.3173180000000002</v>
      </c>
      <c r="W95" s="88">
        <v>2.522904</v>
      </c>
      <c r="X95" s="88">
        <v>2.7382110000000002</v>
      </c>
      <c r="Y95" s="88">
        <v>2.9665469999999998</v>
      </c>
      <c r="Z95" s="88">
        <v>3.2160470000000001</v>
      </c>
      <c r="AA95" s="88">
        <v>3.49437</v>
      </c>
      <c r="AB95" s="88">
        <v>3.7831229999999998</v>
      </c>
      <c r="AC95" s="88">
        <v>4.0775949999999996</v>
      </c>
      <c r="AD95" s="88">
        <v>4.3843719999999999</v>
      </c>
      <c r="AE95" s="88">
        <v>4.712472</v>
      </c>
      <c r="AF95" s="89" t="s">
        <v>321</v>
      </c>
      <c r="AG95" s="80"/>
    </row>
    <row r="96" spans="1:33" ht="12" customHeight="1" x14ac:dyDescent="0.25">
      <c r="A96" s="78" t="s">
        <v>394</v>
      </c>
      <c r="B96" s="87" t="s">
        <v>325</v>
      </c>
      <c r="C96" s="88">
        <v>0</v>
      </c>
      <c r="D96" s="88">
        <v>0</v>
      </c>
      <c r="E96" s="88">
        <v>0.22972699999999999</v>
      </c>
      <c r="F96" s="88">
        <v>0.44725199999999998</v>
      </c>
      <c r="G96" s="88">
        <v>0.66231200000000001</v>
      </c>
      <c r="H96" s="88">
        <v>0.87751500000000004</v>
      </c>
      <c r="I96" s="88">
        <v>1.0912500000000001</v>
      </c>
      <c r="J96" s="88">
        <v>1.2990360000000001</v>
      </c>
      <c r="K96" s="88">
        <v>1.5006790000000001</v>
      </c>
      <c r="L96" s="88">
        <v>1.7007650000000001</v>
      </c>
      <c r="M96" s="88">
        <v>1.904776</v>
      </c>
      <c r="N96" s="88">
        <v>2.1047159999999998</v>
      </c>
      <c r="O96" s="88">
        <v>2.3014619999999999</v>
      </c>
      <c r="P96" s="88">
        <v>2.49594</v>
      </c>
      <c r="Q96" s="88">
        <v>2.6833969999999998</v>
      </c>
      <c r="R96" s="88">
        <v>2.8711519999999999</v>
      </c>
      <c r="S96" s="88">
        <v>3.0575359999999998</v>
      </c>
      <c r="T96" s="88">
        <v>3.245911</v>
      </c>
      <c r="U96" s="88">
        <v>3.4448439999999998</v>
      </c>
      <c r="V96" s="88">
        <v>3.6585730000000001</v>
      </c>
      <c r="W96" s="88">
        <v>3.886771</v>
      </c>
      <c r="X96" s="88">
        <v>4.1203969999999996</v>
      </c>
      <c r="Y96" s="88">
        <v>4.3612710000000003</v>
      </c>
      <c r="Z96" s="88">
        <v>4.6121660000000002</v>
      </c>
      <c r="AA96" s="88">
        <v>4.8889959999999997</v>
      </c>
      <c r="AB96" s="88">
        <v>5.184831</v>
      </c>
      <c r="AC96" s="88">
        <v>5.4921150000000001</v>
      </c>
      <c r="AD96" s="88">
        <v>5.8197830000000002</v>
      </c>
      <c r="AE96" s="88">
        <v>6.1840799999999998</v>
      </c>
      <c r="AF96" s="89" t="s">
        <v>321</v>
      </c>
      <c r="AG96" s="80"/>
    </row>
    <row r="97" spans="1:33" ht="15" customHeight="1" x14ac:dyDescent="0.25">
      <c r="A97" s="78" t="s">
        <v>395</v>
      </c>
      <c r="B97" s="86" t="s">
        <v>396</v>
      </c>
      <c r="C97" s="90">
        <v>5922.7944340000004</v>
      </c>
      <c r="D97" s="90">
        <v>5816.705078</v>
      </c>
      <c r="E97" s="90">
        <v>5728.095703</v>
      </c>
      <c r="F97" s="90">
        <v>5673.0986329999996</v>
      </c>
      <c r="G97" s="90">
        <v>5638.8974609999996</v>
      </c>
      <c r="H97" s="90">
        <v>5591.7060549999997</v>
      </c>
      <c r="I97" s="90">
        <v>5543.7099609999996</v>
      </c>
      <c r="J97" s="90">
        <v>5483.6723629999997</v>
      </c>
      <c r="K97" s="90">
        <v>5422.3881840000004</v>
      </c>
      <c r="L97" s="90">
        <v>5371.3041990000002</v>
      </c>
      <c r="M97" s="90">
        <v>5340.1577150000003</v>
      </c>
      <c r="N97" s="90">
        <v>5306.5058589999999</v>
      </c>
      <c r="O97" s="90">
        <v>5278.78125</v>
      </c>
      <c r="P97" s="90">
        <v>5261.2451170000004</v>
      </c>
      <c r="Q97" s="90">
        <v>5243.0034180000002</v>
      </c>
      <c r="R97" s="90">
        <v>5237.6967770000001</v>
      </c>
      <c r="S97" s="90">
        <v>5236.3603519999997</v>
      </c>
      <c r="T97" s="90">
        <v>5238.3046880000002</v>
      </c>
      <c r="U97" s="90">
        <v>5247.9135740000002</v>
      </c>
      <c r="V97" s="90">
        <v>5263.2055659999996</v>
      </c>
      <c r="W97" s="90">
        <v>5281.453125</v>
      </c>
      <c r="X97" s="90">
        <v>5299.6840819999998</v>
      </c>
      <c r="Y97" s="90">
        <v>5316.767578</v>
      </c>
      <c r="Z97" s="90">
        <v>5331.7001950000003</v>
      </c>
      <c r="AA97" s="90">
        <v>5353.1962890000004</v>
      </c>
      <c r="AB97" s="90">
        <v>5376.3159180000002</v>
      </c>
      <c r="AC97" s="90">
        <v>5393.3193359999996</v>
      </c>
      <c r="AD97" s="90">
        <v>5413.4169920000004</v>
      </c>
      <c r="AE97" s="90">
        <v>5450.013672</v>
      </c>
      <c r="AF97" s="91">
        <v>-2.967E-3</v>
      </c>
      <c r="AG97" s="80"/>
    </row>
    <row r="98" spans="1:33" ht="12" customHeight="1" x14ac:dyDescent="0.25"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</row>
    <row r="99" spans="1:33" ht="15" customHeight="1" x14ac:dyDescent="0.25">
      <c r="B99" s="86" t="s">
        <v>397</v>
      </c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</row>
    <row r="100" spans="1:33" ht="15" customHeight="1" x14ac:dyDescent="0.25">
      <c r="B100" s="86" t="s">
        <v>306</v>
      </c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</row>
    <row r="101" spans="1:33" ht="15" customHeight="1" x14ac:dyDescent="0.25">
      <c r="A101" s="78" t="s">
        <v>398</v>
      </c>
      <c r="B101" s="87" t="s">
        <v>308</v>
      </c>
      <c r="C101" s="88">
        <v>14.991417999999999</v>
      </c>
      <c r="D101" s="88">
        <v>15.216495999999999</v>
      </c>
      <c r="E101" s="88">
        <v>15.498507</v>
      </c>
      <c r="F101" s="88">
        <v>15.831193000000001</v>
      </c>
      <c r="G101" s="88">
        <v>16.182243</v>
      </c>
      <c r="H101" s="88">
        <v>16.538081999999999</v>
      </c>
      <c r="I101" s="88">
        <v>16.880116000000001</v>
      </c>
      <c r="J101" s="88">
        <v>17.209087</v>
      </c>
      <c r="K101" s="88">
        <v>17.515287000000001</v>
      </c>
      <c r="L101" s="88">
        <v>17.796841000000001</v>
      </c>
      <c r="M101" s="88">
        <v>18.058009999999999</v>
      </c>
      <c r="N101" s="88">
        <v>18.298815000000001</v>
      </c>
      <c r="O101" s="88">
        <v>18.515478000000002</v>
      </c>
      <c r="P101" s="88">
        <v>18.711390999999999</v>
      </c>
      <c r="Q101" s="88">
        <v>18.891172000000001</v>
      </c>
      <c r="R101" s="88">
        <v>19.054907</v>
      </c>
      <c r="S101" s="88">
        <v>19.202491999999999</v>
      </c>
      <c r="T101" s="88">
        <v>19.329568999999999</v>
      </c>
      <c r="U101" s="88">
        <v>19.439314</v>
      </c>
      <c r="V101" s="88">
        <v>19.535429000000001</v>
      </c>
      <c r="W101" s="88">
        <v>19.61628</v>
      </c>
      <c r="X101" s="88">
        <v>19.678816000000001</v>
      </c>
      <c r="Y101" s="88">
        <v>19.726330000000001</v>
      </c>
      <c r="Z101" s="88">
        <v>19.762045000000001</v>
      </c>
      <c r="AA101" s="88">
        <v>19.788633000000001</v>
      </c>
      <c r="AB101" s="88">
        <v>19.806604</v>
      </c>
      <c r="AC101" s="88">
        <v>19.813744</v>
      </c>
      <c r="AD101" s="88">
        <v>19.817585000000001</v>
      </c>
      <c r="AE101" s="88">
        <v>19.819794000000002</v>
      </c>
      <c r="AF101" s="89">
        <v>1.0021E-2</v>
      </c>
      <c r="AG101" s="80"/>
    </row>
    <row r="102" spans="1:33" ht="15" customHeight="1" x14ac:dyDescent="0.25">
      <c r="A102" s="78" t="s">
        <v>399</v>
      </c>
      <c r="B102" s="87" t="s">
        <v>310</v>
      </c>
      <c r="C102" s="88">
        <v>10.726876000000001</v>
      </c>
      <c r="D102" s="88">
        <v>11.029114999999999</v>
      </c>
      <c r="E102" s="88">
        <v>11.340722</v>
      </c>
      <c r="F102" s="88">
        <v>11.658097</v>
      </c>
      <c r="G102" s="88">
        <v>11.957341</v>
      </c>
      <c r="H102" s="88">
        <v>12.246843</v>
      </c>
      <c r="I102" s="88">
        <v>12.511288</v>
      </c>
      <c r="J102" s="88">
        <v>12.761357</v>
      </c>
      <c r="K102" s="88">
        <v>12.989336</v>
      </c>
      <c r="L102" s="88">
        <v>13.199085999999999</v>
      </c>
      <c r="M102" s="88">
        <v>13.381130000000001</v>
      </c>
      <c r="N102" s="88">
        <v>13.546595999999999</v>
      </c>
      <c r="O102" s="88">
        <v>13.699472</v>
      </c>
      <c r="P102" s="88">
        <v>13.842229</v>
      </c>
      <c r="Q102" s="88">
        <v>13.973739</v>
      </c>
      <c r="R102" s="88">
        <v>14.095364</v>
      </c>
      <c r="S102" s="88">
        <v>14.210414999999999</v>
      </c>
      <c r="T102" s="88">
        <v>14.321558</v>
      </c>
      <c r="U102" s="88">
        <v>14.425992000000001</v>
      </c>
      <c r="V102" s="88">
        <v>14.520219000000001</v>
      </c>
      <c r="W102" s="88">
        <v>14.608215</v>
      </c>
      <c r="X102" s="88">
        <v>14.692059</v>
      </c>
      <c r="Y102" s="88">
        <v>14.763736</v>
      </c>
      <c r="Z102" s="88">
        <v>14.827795999999999</v>
      </c>
      <c r="AA102" s="88">
        <v>14.883236999999999</v>
      </c>
      <c r="AB102" s="88">
        <v>14.930063000000001</v>
      </c>
      <c r="AC102" s="88">
        <v>14.969678</v>
      </c>
      <c r="AD102" s="88">
        <v>15.003341000000001</v>
      </c>
      <c r="AE102" s="88">
        <v>15.030684000000001</v>
      </c>
      <c r="AF102" s="89">
        <v>1.2121E-2</v>
      </c>
      <c r="AG102" s="80"/>
    </row>
    <row r="103" spans="1:33" ht="15" customHeight="1" x14ac:dyDescent="0.25">
      <c r="A103" s="78" t="s">
        <v>400</v>
      </c>
      <c r="B103" s="87" t="s">
        <v>312</v>
      </c>
      <c r="C103" s="88">
        <v>8.2871159999999993</v>
      </c>
      <c r="D103" s="88">
        <v>12.070017</v>
      </c>
      <c r="E103" s="88">
        <v>12.378905</v>
      </c>
      <c r="F103" s="88">
        <v>12.533067000000001</v>
      </c>
      <c r="G103" s="88">
        <v>12.633637</v>
      </c>
      <c r="H103" s="88">
        <v>12.727520999999999</v>
      </c>
      <c r="I103" s="88">
        <v>12.811731999999999</v>
      </c>
      <c r="J103" s="88">
        <v>12.9071</v>
      </c>
      <c r="K103" s="88">
        <v>13.019793999999999</v>
      </c>
      <c r="L103" s="88">
        <v>13.144209</v>
      </c>
      <c r="M103" s="88">
        <v>13.276356</v>
      </c>
      <c r="N103" s="88">
        <v>13.407525</v>
      </c>
      <c r="O103" s="88">
        <v>13.532327</v>
      </c>
      <c r="P103" s="88">
        <v>13.644149000000001</v>
      </c>
      <c r="Q103" s="88">
        <v>13.742635</v>
      </c>
      <c r="R103" s="88">
        <v>13.828310999999999</v>
      </c>
      <c r="S103" s="88">
        <v>13.902666</v>
      </c>
      <c r="T103" s="88">
        <v>13.967390999999999</v>
      </c>
      <c r="U103" s="88">
        <v>14.023659</v>
      </c>
      <c r="V103" s="88">
        <v>14.072395999999999</v>
      </c>
      <c r="W103" s="88">
        <v>14.11443</v>
      </c>
      <c r="X103" s="88">
        <v>14.150719</v>
      </c>
      <c r="Y103" s="88">
        <v>14.184551000000001</v>
      </c>
      <c r="Z103" s="88">
        <v>14.215185999999999</v>
      </c>
      <c r="AA103" s="88">
        <v>14.241229000000001</v>
      </c>
      <c r="AB103" s="88">
        <v>14.26371</v>
      </c>
      <c r="AC103" s="88">
        <v>14.282851000000001</v>
      </c>
      <c r="AD103" s="88">
        <v>14.299067000000001</v>
      </c>
      <c r="AE103" s="88">
        <v>14.312678</v>
      </c>
      <c r="AF103" s="89">
        <v>1.9708E-2</v>
      </c>
      <c r="AG103" s="80"/>
    </row>
    <row r="104" spans="1:33" ht="15" customHeight="1" x14ac:dyDescent="0.25">
      <c r="A104" s="78" t="s">
        <v>401</v>
      </c>
      <c r="B104" s="87" t="s">
        <v>314</v>
      </c>
      <c r="C104" s="88">
        <v>10.037065</v>
      </c>
      <c r="D104" s="88">
        <v>10.03825</v>
      </c>
      <c r="E104" s="88">
        <v>10.039481</v>
      </c>
      <c r="F104" s="88">
        <v>10.040760000000001</v>
      </c>
      <c r="G104" s="88">
        <v>10.04208</v>
      </c>
      <c r="H104" s="88">
        <v>10.043437000000001</v>
      </c>
      <c r="I104" s="88">
        <v>10.044827</v>
      </c>
      <c r="J104" s="88">
        <v>10.046251</v>
      </c>
      <c r="K104" s="88">
        <v>10.047701</v>
      </c>
      <c r="L104" s="88">
        <v>10.049175999999999</v>
      </c>
      <c r="M104" s="88">
        <v>10.050672</v>
      </c>
      <c r="N104" s="88">
        <v>10.057157</v>
      </c>
      <c r="O104" s="88">
        <v>10.073521</v>
      </c>
      <c r="P104" s="88">
        <v>10.105247</v>
      </c>
      <c r="Q104" s="88">
        <v>10.140972</v>
      </c>
      <c r="R104" s="88">
        <v>10.185604</v>
      </c>
      <c r="S104" s="88">
        <v>10.231821</v>
      </c>
      <c r="T104" s="88">
        <v>10.265867999999999</v>
      </c>
      <c r="U104" s="88">
        <v>10.275093</v>
      </c>
      <c r="V104" s="88">
        <v>10.25789</v>
      </c>
      <c r="W104" s="88">
        <v>10.216537000000001</v>
      </c>
      <c r="X104" s="88">
        <v>10.161300000000001</v>
      </c>
      <c r="Y104" s="88">
        <v>10.092753999999999</v>
      </c>
      <c r="Z104" s="88">
        <v>10.027177</v>
      </c>
      <c r="AA104" s="88">
        <v>9.99404</v>
      </c>
      <c r="AB104" s="88">
        <v>10.014455</v>
      </c>
      <c r="AC104" s="88">
        <v>10.061934000000001</v>
      </c>
      <c r="AD104" s="88">
        <v>10.114001</v>
      </c>
      <c r="AE104" s="88">
        <v>10.188727</v>
      </c>
      <c r="AF104" s="89">
        <v>5.3600000000000002E-4</v>
      </c>
      <c r="AG104" s="80"/>
    </row>
    <row r="105" spans="1:33" ht="15" customHeight="1" x14ac:dyDescent="0.25">
      <c r="A105" s="78" t="s">
        <v>402</v>
      </c>
      <c r="B105" s="87" t="s">
        <v>316</v>
      </c>
      <c r="C105" s="88">
        <v>10.321225</v>
      </c>
      <c r="D105" s="88">
        <v>10.468386000000001</v>
      </c>
      <c r="E105" s="88">
        <v>10.641707</v>
      </c>
      <c r="F105" s="88">
        <v>10.829888</v>
      </c>
      <c r="G105" s="88">
        <v>11.019978999999999</v>
      </c>
      <c r="H105" s="88">
        <v>11.213248</v>
      </c>
      <c r="I105" s="88">
        <v>11.394366</v>
      </c>
      <c r="J105" s="88">
        <v>11.570538000000001</v>
      </c>
      <c r="K105" s="88">
        <v>11.740290999999999</v>
      </c>
      <c r="L105" s="88">
        <v>11.905053000000001</v>
      </c>
      <c r="M105" s="88">
        <v>12.059313</v>
      </c>
      <c r="N105" s="88">
        <v>12.213480000000001</v>
      </c>
      <c r="O105" s="88">
        <v>12.379014</v>
      </c>
      <c r="P105" s="88">
        <v>12.555837</v>
      </c>
      <c r="Q105" s="88">
        <v>12.744346</v>
      </c>
      <c r="R105" s="88">
        <v>12.939107999999999</v>
      </c>
      <c r="S105" s="88">
        <v>13.149075</v>
      </c>
      <c r="T105" s="88">
        <v>13.363464</v>
      </c>
      <c r="U105" s="88">
        <v>13.576193</v>
      </c>
      <c r="V105" s="88">
        <v>13.772496</v>
      </c>
      <c r="W105" s="88">
        <v>13.949099</v>
      </c>
      <c r="X105" s="88">
        <v>14.098661999999999</v>
      </c>
      <c r="Y105" s="88">
        <v>14.220824</v>
      </c>
      <c r="Z105" s="88">
        <v>14.323482</v>
      </c>
      <c r="AA105" s="88">
        <v>14.410444</v>
      </c>
      <c r="AB105" s="88">
        <v>14.483241</v>
      </c>
      <c r="AC105" s="88">
        <v>14.544046</v>
      </c>
      <c r="AD105" s="88">
        <v>14.60201</v>
      </c>
      <c r="AE105" s="88">
        <v>14.655778</v>
      </c>
      <c r="AF105" s="89">
        <v>1.2600999999999999E-2</v>
      </c>
      <c r="AG105" s="80"/>
    </row>
    <row r="106" spans="1:33" ht="15" customHeight="1" x14ac:dyDescent="0.25">
      <c r="A106" s="78" t="s">
        <v>403</v>
      </c>
      <c r="B106" s="87" t="s">
        <v>318</v>
      </c>
      <c r="C106" s="88">
        <v>24.120543999999999</v>
      </c>
      <c r="D106" s="88">
        <v>24.120650999999999</v>
      </c>
      <c r="E106" s="88">
        <v>24.120832</v>
      </c>
      <c r="F106" s="88">
        <v>24.121077</v>
      </c>
      <c r="G106" s="88">
        <v>24.121357</v>
      </c>
      <c r="H106" s="88">
        <v>24.121646999999999</v>
      </c>
      <c r="I106" s="88">
        <v>24.121905999999999</v>
      </c>
      <c r="J106" s="88">
        <v>24.1206</v>
      </c>
      <c r="K106" s="88">
        <v>24.120342000000001</v>
      </c>
      <c r="L106" s="88">
        <v>24.120311999999998</v>
      </c>
      <c r="M106" s="88">
        <v>24.120283000000001</v>
      </c>
      <c r="N106" s="88">
        <v>24.116168999999999</v>
      </c>
      <c r="O106" s="88">
        <v>24.116142</v>
      </c>
      <c r="P106" s="88">
        <v>24.116114</v>
      </c>
      <c r="Q106" s="88">
        <v>24.116087</v>
      </c>
      <c r="R106" s="88">
        <v>24.116057999999999</v>
      </c>
      <c r="S106" s="88">
        <v>24.116029999999999</v>
      </c>
      <c r="T106" s="88">
        <v>24.116002999999999</v>
      </c>
      <c r="U106" s="88">
        <v>24.121919999999999</v>
      </c>
      <c r="V106" s="88">
        <v>24.121894999999999</v>
      </c>
      <c r="W106" s="88">
        <v>24.121872</v>
      </c>
      <c r="X106" s="88">
        <v>24.121846999999999</v>
      </c>
      <c r="Y106" s="88">
        <v>24.121846999999999</v>
      </c>
      <c r="Z106" s="88">
        <v>24.121846999999999</v>
      </c>
      <c r="AA106" s="88">
        <v>24.121846999999999</v>
      </c>
      <c r="AB106" s="88">
        <v>24.121846999999999</v>
      </c>
      <c r="AC106" s="88">
        <v>24.121846999999999</v>
      </c>
      <c r="AD106" s="88">
        <v>24.121846999999999</v>
      </c>
      <c r="AE106" s="88">
        <v>24.121849000000001</v>
      </c>
      <c r="AF106" s="89">
        <v>1.9999999999999999E-6</v>
      </c>
      <c r="AG106" s="80"/>
    </row>
    <row r="107" spans="1:33" ht="15" customHeight="1" x14ac:dyDescent="0.25">
      <c r="A107" s="78" t="s">
        <v>404</v>
      </c>
      <c r="B107" s="87" t="s">
        <v>320</v>
      </c>
      <c r="C107" s="88">
        <v>0</v>
      </c>
      <c r="D107" s="88">
        <v>23.149469</v>
      </c>
      <c r="E107" s="88">
        <v>23.472180999999999</v>
      </c>
      <c r="F107" s="88">
        <v>23.713379</v>
      </c>
      <c r="G107" s="88">
        <v>23.934065</v>
      </c>
      <c r="H107" s="88">
        <v>24.180558999999999</v>
      </c>
      <c r="I107" s="88">
        <v>24.434350999999999</v>
      </c>
      <c r="J107" s="88">
        <v>24.733726999999998</v>
      </c>
      <c r="K107" s="88">
        <v>25.076927000000001</v>
      </c>
      <c r="L107" s="88">
        <v>25.458096999999999</v>
      </c>
      <c r="M107" s="88">
        <v>25.866046999999998</v>
      </c>
      <c r="N107" s="88">
        <v>26.263549999999999</v>
      </c>
      <c r="O107" s="88">
        <v>26.635529999999999</v>
      </c>
      <c r="P107" s="88">
        <v>26.971720000000001</v>
      </c>
      <c r="Q107" s="88">
        <v>27.273852999999999</v>
      </c>
      <c r="R107" s="88">
        <v>27.540438000000002</v>
      </c>
      <c r="S107" s="88">
        <v>27.771664000000001</v>
      </c>
      <c r="T107" s="88">
        <v>27.968972999999998</v>
      </c>
      <c r="U107" s="88">
        <v>28.134948999999999</v>
      </c>
      <c r="V107" s="88">
        <v>28.272074</v>
      </c>
      <c r="W107" s="88">
        <v>28.389306999999999</v>
      </c>
      <c r="X107" s="88">
        <v>28.489751999999999</v>
      </c>
      <c r="Y107" s="88">
        <v>28.575668</v>
      </c>
      <c r="Z107" s="88">
        <v>28.649501999999998</v>
      </c>
      <c r="AA107" s="88">
        <v>28.719356999999999</v>
      </c>
      <c r="AB107" s="88">
        <v>28.78302</v>
      </c>
      <c r="AC107" s="88">
        <v>28.839659000000001</v>
      </c>
      <c r="AD107" s="88">
        <v>28.888365</v>
      </c>
      <c r="AE107" s="88">
        <v>28.930430999999999</v>
      </c>
      <c r="AF107" s="89" t="s">
        <v>321</v>
      </c>
      <c r="AG107" s="80"/>
    </row>
    <row r="108" spans="1:33" ht="15" customHeight="1" x14ac:dyDescent="0.25">
      <c r="A108" s="78" t="s">
        <v>405</v>
      </c>
      <c r="B108" s="87" t="s">
        <v>323</v>
      </c>
      <c r="C108" s="88">
        <v>0</v>
      </c>
      <c r="D108" s="88">
        <v>18.959842999999999</v>
      </c>
      <c r="E108" s="88">
        <v>19.097798999999998</v>
      </c>
      <c r="F108" s="88">
        <v>19.221861000000001</v>
      </c>
      <c r="G108" s="88">
        <v>19.306705000000001</v>
      </c>
      <c r="H108" s="88">
        <v>19.394665</v>
      </c>
      <c r="I108" s="88">
        <v>19.477266</v>
      </c>
      <c r="J108" s="88">
        <v>19.57037</v>
      </c>
      <c r="K108" s="88">
        <v>19.676134000000001</v>
      </c>
      <c r="L108" s="88">
        <v>19.793496999999999</v>
      </c>
      <c r="M108" s="88">
        <v>19.919716000000001</v>
      </c>
      <c r="N108" s="88">
        <v>20.047338</v>
      </c>
      <c r="O108" s="88">
        <v>20.172951000000001</v>
      </c>
      <c r="P108" s="88">
        <v>20.289746999999998</v>
      </c>
      <c r="Q108" s="88">
        <v>20.399184999999999</v>
      </c>
      <c r="R108" s="88">
        <v>20.498297000000001</v>
      </c>
      <c r="S108" s="88">
        <v>20.584267000000001</v>
      </c>
      <c r="T108" s="88">
        <v>20.657764</v>
      </c>
      <c r="U108" s="88">
        <v>20.719555</v>
      </c>
      <c r="V108" s="88">
        <v>20.770308</v>
      </c>
      <c r="W108" s="88">
        <v>20.813773999999999</v>
      </c>
      <c r="X108" s="88">
        <v>20.851306999999998</v>
      </c>
      <c r="Y108" s="88">
        <v>20.877443</v>
      </c>
      <c r="Z108" s="88">
        <v>20.902785999999999</v>
      </c>
      <c r="AA108" s="88">
        <v>20.928736000000001</v>
      </c>
      <c r="AB108" s="88">
        <v>20.955839000000001</v>
      </c>
      <c r="AC108" s="88">
        <v>20.984338999999999</v>
      </c>
      <c r="AD108" s="88">
        <v>21.014859999999999</v>
      </c>
      <c r="AE108" s="88">
        <v>21.047606999999999</v>
      </c>
      <c r="AF108" s="89" t="s">
        <v>321</v>
      </c>
      <c r="AG108" s="80"/>
    </row>
    <row r="109" spans="1:33" ht="15" customHeight="1" x14ac:dyDescent="0.25">
      <c r="A109" s="78" t="s">
        <v>406</v>
      </c>
      <c r="B109" s="87" t="s">
        <v>325</v>
      </c>
      <c r="C109" s="88">
        <v>0</v>
      </c>
      <c r="D109" s="88">
        <v>0</v>
      </c>
      <c r="E109" s="88">
        <v>18.589186000000002</v>
      </c>
      <c r="F109" s="88">
        <v>17.317968</v>
      </c>
      <c r="G109" s="88">
        <v>16.950768</v>
      </c>
      <c r="H109" s="88">
        <v>16.763815000000001</v>
      </c>
      <c r="I109" s="88">
        <v>16.648444999999999</v>
      </c>
      <c r="J109" s="88">
        <v>16.569084</v>
      </c>
      <c r="K109" s="88">
        <v>16.510998000000001</v>
      </c>
      <c r="L109" s="88">
        <v>16.466656</v>
      </c>
      <c r="M109" s="88">
        <v>16.431818</v>
      </c>
      <c r="N109" s="88">
        <v>16.404015000000001</v>
      </c>
      <c r="O109" s="88">
        <v>16.381551999999999</v>
      </c>
      <c r="P109" s="88">
        <v>16.363289000000002</v>
      </c>
      <c r="Q109" s="88">
        <v>16.348462999999999</v>
      </c>
      <c r="R109" s="88">
        <v>16.336552000000001</v>
      </c>
      <c r="S109" s="88">
        <v>16.327078</v>
      </c>
      <c r="T109" s="88">
        <v>16.319696</v>
      </c>
      <c r="U109" s="88">
        <v>16.314050999999999</v>
      </c>
      <c r="V109" s="88">
        <v>16.30987</v>
      </c>
      <c r="W109" s="88">
        <v>16.306847000000001</v>
      </c>
      <c r="X109" s="88">
        <v>16.301434</v>
      </c>
      <c r="Y109" s="88">
        <v>16.296316000000001</v>
      </c>
      <c r="Z109" s="88">
        <v>16.291889000000001</v>
      </c>
      <c r="AA109" s="88">
        <v>16.288053999999999</v>
      </c>
      <c r="AB109" s="88">
        <v>16.279157999999999</v>
      </c>
      <c r="AC109" s="88">
        <v>16.272285</v>
      </c>
      <c r="AD109" s="88">
        <v>16.266923999999999</v>
      </c>
      <c r="AE109" s="88">
        <v>16.262709000000001</v>
      </c>
      <c r="AF109" s="89" t="s">
        <v>321</v>
      </c>
      <c r="AG109" s="80"/>
    </row>
    <row r="110" spans="1:33" ht="15" customHeight="1" x14ac:dyDescent="0.25">
      <c r="A110" s="78" t="s">
        <v>407</v>
      </c>
      <c r="B110" s="87" t="s">
        <v>408</v>
      </c>
      <c r="C110" s="88">
        <v>13.701998</v>
      </c>
      <c r="D110" s="88">
        <v>13.894455000000001</v>
      </c>
      <c r="E110" s="88">
        <v>14.1332</v>
      </c>
      <c r="F110" s="88">
        <v>14.411139</v>
      </c>
      <c r="G110" s="88">
        <v>14.696726999999999</v>
      </c>
      <c r="H110" s="88">
        <v>14.984973999999999</v>
      </c>
      <c r="I110" s="88">
        <v>15.258081000000001</v>
      </c>
      <c r="J110" s="88">
        <v>15.520238000000001</v>
      </c>
      <c r="K110" s="88">
        <v>15.762815</v>
      </c>
      <c r="L110" s="88">
        <v>15.987064999999999</v>
      </c>
      <c r="M110" s="88">
        <v>16.188490000000002</v>
      </c>
      <c r="N110" s="88">
        <v>16.371717</v>
      </c>
      <c r="O110" s="88">
        <v>16.538298000000001</v>
      </c>
      <c r="P110" s="88">
        <v>16.691216000000001</v>
      </c>
      <c r="Q110" s="88">
        <v>16.830991999999998</v>
      </c>
      <c r="R110" s="88">
        <v>16.958241999999998</v>
      </c>
      <c r="S110" s="88">
        <v>17.075382000000001</v>
      </c>
      <c r="T110" s="88">
        <v>17.182625000000002</v>
      </c>
      <c r="U110" s="88">
        <v>17.279478000000001</v>
      </c>
      <c r="V110" s="88">
        <v>17.364405000000001</v>
      </c>
      <c r="W110" s="88">
        <v>17.440176000000001</v>
      </c>
      <c r="X110" s="88">
        <v>17.507937999999999</v>
      </c>
      <c r="Y110" s="88">
        <v>17.564014</v>
      </c>
      <c r="Z110" s="88">
        <v>17.611903999999999</v>
      </c>
      <c r="AA110" s="88">
        <v>17.652002</v>
      </c>
      <c r="AB110" s="88">
        <v>17.684301000000001</v>
      </c>
      <c r="AC110" s="88">
        <v>17.708280999999999</v>
      </c>
      <c r="AD110" s="88">
        <v>17.728021999999999</v>
      </c>
      <c r="AE110" s="88">
        <v>17.743794999999999</v>
      </c>
      <c r="AF110" s="89">
        <v>9.2750000000000003E-3</v>
      </c>
      <c r="AG110" s="80"/>
    </row>
    <row r="111" spans="1:33" ht="15" customHeight="1" x14ac:dyDescent="0.25">
      <c r="B111" s="86" t="s">
        <v>328</v>
      </c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</row>
    <row r="112" spans="1:33" ht="15" customHeight="1" x14ac:dyDescent="0.25">
      <c r="A112" s="78" t="s">
        <v>409</v>
      </c>
      <c r="B112" s="87" t="s">
        <v>308</v>
      </c>
      <c r="C112" s="88">
        <v>9.1936929999999997</v>
      </c>
      <c r="D112" s="88">
        <v>9.3656079999999999</v>
      </c>
      <c r="E112" s="88">
        <v>9.5537709999999993</v>
      </c>
      <c r="F112" s="88">
        <v>9.7580460000000002</v>
      </c>
      <c r="G112" s="88">
        <v>9.9795289999999994</v>
      </c>
      <c r="H112" s="88">
        <v>10.217642</v>
      </c>
      <c r="I112" s="88">
        <v>10.452211999999999</v>
      </c>
      <c r="J112" s="88">
        <v>10.691178000000001</v>
      </c>
      <c r="K112" s="88">
        <v>10.928903</v>
      </c>
      <c r="L112" s="88">
        <v>11.165851</v>
      </c>
      <c r="M112" s="88">
        <v>11.396546000000001</v>
      </c>
      <c r="N112" s="88">
        <v>11.615690000000001</v>
      </c>
      <c r="O112" s="88">
        <v>11.822267999999999</v>
      </c>
      <c r="P112" s="88">
        <v>12.013245</v>
      </c>
      <c r="Q112" s="88">
        <v>12.188295</v>
      </c>
      <c r="R112" s="88">
        <v>12.348012000000001</v>
      </c>
      <c r="S112" s="88">
        <v>12.494664999999999</v>
      </c>
      <c r="T112" s="88">
        <v>12.629422999999999</v>
      </c>
      <c r="U112" s="88">
        <v>12.753945</v>
      </c>
      <c r="V112" s="88">
        <v>12.869916999999999</v>
      </c>
      <c r="W112" s="88">
        <v>12.975726</v>
      </c>
      <c r="X112" s="88">
        <v>13.066599</v>
      </c>
      <c r="Y112" s="88">
        <v>13.143876000000001</v>
      </c>
      <c r="Z112" s="88">
        <v>13.212106</v>
      </c>
      <c r="AA112" s="88">
        <v>13.275549</v>
      </c>
      <c r="AB112" s="88">
        <v>13.33305</v>
      </c>
      <c r="AC112" s="88">
        <v>13.385566000000001</v>
      </c>
      <c r="AD112" s="88">
        <v>13.435430999999999</v>
      </c>
      <c r="AE112" s="88">
        <v>13.483851</v>
      </c>
      <c r="AF112" s="89">
        <v>1.3772E-2</v>
      </c>
      <c r="AG112" s="80"/>
    </row>
    <row r="113" spans="1:33" ht="15" customHeight="1" x14ac:dyDescent="0.25">
      <c r="A113" s="78" t="s">
        <v>410</v>
      </c>
      <c r="B113" s="87" t="s">
        <v>310</v>
      </c>
      <c r="C113" s="88">
        <v>6.749625</v>
      </c>
      <c r="D113" s="88">
        <v>6.8187819999999997</v>
      </c>
      <c r="E113" s="88">
        <v>6.8968119999999997</v>
      </c>
      <c r="F113" s="88">
        <v>6.9867109999999997</v>
      </c>
      <c r="G113" s="88">
        <v>7.0877090000000003</v>
      </c>
      <c r="H113" s="88">
        <v>7.2009949999999998</v>
      </c>
      <c r="I113" s="88">
        <v>7.3132250000000001</v>
      </c>
      <c r="J113" s="88">
        <v>7.4300740000000003</v>
      </c>
      <c r="K113" s="88">
        <v>7.5496179999999997</v>
      </c>
      <c r="L113" s="88">
        <v>7.6721680000000001</v>
      </c>
      <c r="M113" s="88">
        <v>7.7944769999999997</v>
      </c>
      <c r="N113" s="88">
        <v>7.9165010000000002</v>
      </c>
      <c r="O113" s="88">
        <v>8.0336940000000006</v>
      </c>
      <c r="P113" s="88">
        <v>8.1469880000000003</v>
      </c>
      <c r="Q113" s="88">
        <v>8.2555569999999996</v>
      </c>
      <c r="R113" s="88">
        <v>8.3564089999999993</v>
      </c>
      <c r="S113" s="88">
        <v>8.4546189999999992</v>
      </c>
      <c r="T113" s="88">
        <v>8.5432349999999992</v>
      </c>
      <c r="U113" s="88">
        <v>8.6293539999999993</v>
      </c>
      <c r="V113" s="88">
        <v>8.708888</v>
      </c>
      <c r="W113" s="88">
        <v>8.7825589999999991</v>
      </c>
      <c r="X113" s="88">
        <v>8.8479890000000001</v>
      </c>
      <c r="Y113" s="88">
        <v>8.9059849999999994</v>
      </c>
      <c r="Z113" s="88">
        <v>8.9598390000000006</v>
      </c>
      <c r="AA113" s="88">
        <v>9.0106319999999993</v>
      </c>
      <c r="AB113" s="88">
        <v>9.0589600000000008</v>
      </c>
      <c r="AC113" s="88">
        <v>9.1032890000000002</v>
      </c>
      <c r="AD113" s="88">
        <v>9.1440789999999996</v>
      </c>
      <c r="AE113" s="88">
        <v>9.1836179999999992</v>
      </c>
      <c r="AF113" s="89">
        <v>1.1058E-2</v>
      </c>
      <c r="AG113" s="80"/>
    </row>
    <row r="114" spans="1:33" ht="12" customHeight="1" x14ac:dyDescent="0.25">
      <c r="A114" s="78" t="s">
        <v>411</v>
      </c>
      <c r="B114" s="87" t="s">
        <v>312</v>
      </c>
      <c r="C114" s="88">
        <v>6.6743629999999996</v>
      </c>
      <c r="D114" s="88">
        <v>6.7503399999999996</v>
      </c>
      <c r="E114" s="88">
        <v>6.8347340000000001</v>
      </c>
      <c r="F114" s="88">
        <v>6.9285519999999998</v>
      </c>
      <c r="G114" s="88">
        <v>7.0375389999999998</v>
      </c>
      <c r="H114" s="88">
        <v>7.1648250000000004</v>
      </c>
      <c r="I114" s="88">
        <v>7.2973169999999996</v>
      </c>
      <c r="J114" s="88">
        <v>7.4426379999999996</v>
      </c>
      <c r="K114" s="88">
        <v>7.595675</v>
      </c>
      <c r="L114" s="88">
        <v>7.7572469999999996</v>
      </c>
      <c r="M114" s="88">
        <v>7.9236519999999997</v>
      </c>
      <c r="N114" s="88">
        <v>8.0880279999999996</v>
      </c>
      <c r="O114" s="88">
        <v>8.2448350000000001</v>
      </c>
      <c r="P114" s="88">
        <v>8.4022679999999994</v>
      </c>
      <c r="Q114" s="88">
        <v>8.5486609999999992</v>
      </c>
      <c r="R114" s="88">
        <v>8.6811869999999995</v>
      </c>
      <c r="S114" s="88">
        <v>8.7986620000000002</v>
      </c>
      <c r="T114" s="88">
        <v>8.9005259999999993</v>
      </c>
      <c r="U114" s="88">
        <v>8.9864390000000007</v>
      </c>
      <c r="V114" s="88">
        <v>9.0566899999999997</v>
      </c>
      <c r="W114" s="88">
        <v>9.1138080000000006</v>
      </c>
      <c r="X114" s="88">
        <v>9.1601370000000006</v>
      </c>
      <c r="Y114" s="88">
        <v>9.1973389999999995</v>
      </c>
      <c r="Z114" s="88">
        <v>9.2269989999999993</v>
      </c>
      <c r="AA114" s="88">
        <v>9.2508189999999999</v>
      </c>
      <c r="AB114" s="88">
        <v>9.2702109999999998</v>
      </c>
      <c r="AC114" s="88">
        <v>9.2862960000000001</v>
      </c>
      <c r="AD114" s="88">
        <v>9.3103250000000006</v>
      </c>
      <c r="AE114" s="88">
        <v>9.3297629999999998</v>
      </c>
      <c r="AF114" s="89">
        <v>1.2034E-2</v>
      </c>
      <c r="AG114" s="80"/>
    </row>
    <row r="115" spans="1:33" ht="15" customHeight="1" x14ac:dyDescent="0.25">
      <c r="A115" s="78" t="s">
        <v>412</v>
      </c>
      <c r="B115" s="87" t="s">
        <v>314</v>
      </c>
      <c r="C115" s="88">
        <v>6.6825780000000004</v>
      </c>
      <c r="D115" s="88">
        <v>6.7423450000000003</v>
      </c>
      <c r="E115" s="88">
        <v>6.8055500000000002</v>
      </c>
      <c r="F115" s="88">
        <v>6.8709239999999996</v>
      </c>
      <c r="G115" s="88">
        <v>6.936928</v>
      </c>
      <c r="H115" s="88">
        <v>7.0035639999999999</v>
      </c>
      <c r="I115" s="88">
        <v>7.0627769999999996</v>
      </c>
      <c r="J115" s="88">
        <v>7.1203580000000004</v>
      </c>
      <c r="K115" s="88">
        <v>7.1764029999999996</v>
      </c>
      <c r="L115" s="88">
        <v>7.227449</v>
      </c>
      <c r="M115" s="88">
        <v>7.2715829999999997</v>
      </c>
      <c r="N115" s="88">
        <v>7.310689</v>
      </c>
      <c r="O115" s="88">
        <v>7.3482479999999999</v>
      </c>
      <c r="P115" s="88">
        <v>7.3825830000000003</v>
      </c>
      <c r="Q115" s="88">
        <v>7.4144519999999998</v>
      </c>
      <c r="R115" s="88">
        <v>7.4396360000000001</v>
      </c>
      <c r="S115" s="88">
        <v>7.4596830000000001</v>
      </c>
      <c r="T115" s="88">
        <v>7.4693519999999998</v>
      </c>
      <c r="U115" s="88">
        <v>7.4733830000000001</v>
      </c>
      <c r="V115" s="88">
        <v>7.4823339999999998</v>
      </c>
      <c r="W115" s="88">
        <v>7.4853820000000004</v>
      </c>
      <c r="X115" s="88">
        <v>7.5116059999999996</v>
      </c>
      <c r="Y115" s="88">
        <v>7.5539040000000002</v>
      </c>
      <c r="Z115" s="88">
        <v>7.5841479999999999</v>
      </c>
      <c r="AA115" s="88">
        <v>7.6054649999999997</v>
      </c>
      <c r="AB115" s="88">
        <v>7.643802</v>
      </c>
      <c r="AC115" s="88">
        <v>7.6943020000000004</v>
      </c>
      <c r="AD115" s="88">
        <v>7.7469619999999999</v>
      </c>
      <c r="AE115" s="88">
        <v>7.7930609999999998</v>
      </c>
      <c r="AF115" s="89">
        <v>5.5050000000000003E-3</v>
      </c>
      <c r="AG115" s="80"/>
    </row>
    <row r="116" spans="1:33" ht="15" customHeight="1" x14ac:dyDescent="0.25">
      <c r="A116" s="78" t="s">
        <v>413</v>
      </c>
      <c r="B116" s="87" t="s">
        <v>316</v>
      </c>
      <c r="C116" s="88">
        <v>6.8756690000000003</v>
      </c>
      <c r="D116" s="88">
        <v>6.9501460000000002</v>
      </c>
      <c r="E116" s="88">
        <v>7.0454549999999996</v>
      </c>
      <c r="F116" s="88">
        <v>7.1580300000000001</v>
      </c>
      <c r="G116" s="88">
        <v>7.2911039999999998</v>
      </c>
      <c r="H116" s="88">
        <v>7.4430180000000004</v>
      </c>
      <c r="I116" s="88">
        <v>7.5863610000000001</v>
      </c>
      <c r="J116" s="88">
        <v>7.7349189999999997</v>
      </c>
      <c r="K116" s="88">
        <v>7.8826219999999996</v>
      </c>
      <c r="L116" s="88">
        <v>8.0331209999999995</v>
      </c>
      <c r="M116" s="88">
        <v>8.1807379999999998</v>
      </c>
      <c r="N116" s="88">
        <v>8.3228650000000002</v>
      </c>
      <c r="O116" s="88">
        <v>8.4456779999999991</v>
      </c>
      <c r="P116" s="88">
        <v>8.5560939999999999</v>
      </c>
      <c r="Q116" s="88">
        <v>8.6529340000000001</v>
      </c>
      <c r="R116" s="88">
        <v>8.7339490000000009</v>
      </c>
      <c r="S116" s="88">
        <v>8.803032</v>
      </c>
      <c r="T116" s="88">
        <v>8.8629239999999996</v>
      </c>
      <c r="U116" s="88">
        <v>8.910183</v>
      </c>
      <c r="V116" s="88">
        <v>8.9528590000000001</v>
      </c>
      <c r="W116" s="88">
        <v>8.9892479999999999</v>
      </c>
      <c r="X116" s="88">
        <v>9.0205870000000008</v>
      </c>
      <c r="Y116" s="88">
        <v>9.0477559999999997</v>
      </c>
      <c r="Z116" s="88">
        <v>9.0712449999999993</v>
      </c>
      <c r="AA116" s="88">
        <v>9.0923820000000006</v>
      </c>
      <c r="AB116" s="88">
        <v>9.1120409999999996</v>
      </c>
      <c r="AC116" s="88">
        <v>9.1306829999999994</v>
      </c>
      <c r="AD116" s="88">
        <v>9.1470629999999993</v>
      </c>
      <c r="AE116" s="88">
        <v>9.1612849999999995</v>
      </c>
      <c r="AF116" s="89">
        <v>1.0303E-2</v>
      </c>
      <c r="AG116" s="80"/>
    </row>
    <row r="117" spans="1:33" ht="15" customHeight="1" x14ac:dyDescent="0.25">
      <c r="A117" s="78" t="s">
        <v>414</v>
      </c>
      <c r="B117" s="137" t="s">
        <v>318</v>
      </c>
      <c r="C117" s="138">
        <v>17.406853000000002</v>
      </c>
      <c r="D117" s="138">
        <v>17.424419</v>
      </c>
      <c r="E117" s="138">
        <v>17.492840000000001</v>
      </c>
      <c r="F117" s="138">
        <v>17.594168</v>
      </c>
      <c r="G117" s="138">
        <v>17.723022</v>
      </c>
      <c r="H117" s="138">
        <v>17.870365</v>
      </c>
      <c r="I117" s="138">
        <v>18.006972999999999</v>
      </c>
      <c r="J117" s="138">
        <v>18.150782</v>
      </c>
      <c r="K117" s="138">
        <v>18.295826000000002</v>
      </c>
      <c r="L117" s="138">
        <v>18.440176000000001</v>
      </c>
      <c r="M117" s="138">
        <v>18.580342999999999</v>
      </c>
      <c r="N117" s="138">
        <v>18.711387999999999</v>
      </c>
      <c r="O117" s="138">
        <v>18.795469000000001</v>
      </c>
      <c r="P117" s="138">
        <v>18.886208</v>
      </c>
      <c r="Q117" s="138">
        <v>18.994534999999999</v>
      </c>
      <c r="R117" s="138">
        <v>19.086106999999998</v>
      </c>
      <c r="S117" s="138">
        <v>19.144750999999999</v>
      </c>
      <c r="T117" s="138">
        <v>19.193377999999999</v>
      </c>
      <c r="U117" s="138">
        <v>19.256512000000001</v>
      </c>
      <c r="V117" s="138">
        <v>19.306592999999999</v>
      </c>
      <c r="W117" s="138">
        <v>19.347332000000002</v>
      </c>
      <c r="X117" s="138">
        <v>19.379252999999999</v>
      </c>
      <c r="Y117" s="138">
        <v>19.403368</v>
      </c>
      <c r="Z117" s="138">
        <v>19.420500000000001</v>
      </c>
      <c r="AA117" s="138">
        <v>19.432022</v>
      </c>
      <c r="AB117" s="138">
        <v>19.441696</v>
      </c>
      <c r="AC117" s="138">
        <v>19.448132999999999</v>
      </c>
      <c r="AD117" s="138">
        <v>19.409203000000002</v>
      </c>
      <c r="AE117" s="138">
        <v>19.409485</v>
      </c>
      <c r="AF117" s="139">
        <v>3.8969999999999999E-3</v>
      </c>
      <c r="AG117" s="80"/>
    </row>
    <row r="118" spans="1:33" ht="15" customHeight="1" x14ac:dyDescent="0.25">
      <c r="A118" s="78" t="s">
        <v>415</v>
      </c>
      <c r="B118" s="87" t="s">
        <v>320</v>
      </c>
      <c r="C118" s="88">
        <v>0</v>
      </c>
      <c r="D118" s="88">
        <v>0</v>
      </c>
      <c r="E118" s="88">
        <v>14.553951</v>
      </c>
      <c r="F118" s="88">
        <v>14.815011999999999</v>
      </c>
      <c r="G118" s="88">
        <v>14.998927999999999</v>
      </c>
      <c r="H118" s="88">
        <v>15.192572</v>
      </c>
      <c r="I118" s="88">
        <v>15.368869</v>
      </c>
      <c r="J118" s="88">
        <v>15.555434</v>
      </c>
      <c r="K118" s="88">
        <v>15.744630000000001</v>
      </c>
      <c r="L118" s="88">
        <v>15.944782999999999</v>
      </c>
      <c r="M118" s="88">
        <v>16.161604000000001</v>
      </c>
      <c r="N118" s="88">
        <v>16.394955</v>
      </c>
      <c r="O118" s="88">
        <v>16.63316</v>
      </c>
      <c r="P118" s="88">
        <v>16.849796000000001</v>
      </c>
      <c r="Q118" s="88">
        <v>17.064274000000001</v>
      </c>
      <c r="R118" s="88">
        <v>17.266493000000001</v>
      </c>
      <c r="S118" s="88">
        <v>17.445629</v>
      </c>
      <c r="T118" s="88">
        <v>17.603285</v>
      </c>
      <c r="U118" s="88">
        <v>17.74091</v>
      </c>
      <c r="V118" s="88">
        <v>17.859545000000001</v>
      </c>
      <c r="W118" s="88">
        <v>17.959697999999999</v>
      </c>
      <c r="X118" s="88">
        <v>18.056013</v>
      </c>
      <c r="Y118" s="88">
        <v>18.136147000000001</v>
      </c>
      <c r="Z118" s="88">
        <v>18.203022000000001</v>
      </c>
      <c r="AA118" s="88">
        <v>18.258938000000001</v>
      </c>
      <c r="AB118" s="88">
        <v>18.306379</v>
      </c>
      <c r="AC118" s="88">
        <v>18.346488999999998</v>
      </c>
      <c r="AD118" s="88">
        <v>18.380383999999999</v>
      </c>
      <c r="AE118" s="88">
        <v>18.409164000000001</v>
      </c>
      <c r="AF118" s="89" t="s">
        <v>321</v>
      </c>
      <c r="AG118" s="80"/>
    </row>
    <row r="119" spans="1:33" ht="15" customHeight="1" x14ac:dyDescent="0.25">
      <c r="A119" s="78" t="s">
        <v>416</v>
      </c>
      <c r="B119" s="87" t="s">
        <v>323</v>
      </c>
      <c r="C119" s="88">
        <v>0</v>
      </c>
      <c r="D119" s="88">
        <v>0</v>
      </c>
      <c r="E119" s="88">
        <v>10.500607</v>
      </c>
      <c r="F119" s="88">
        <v>10.659801</v>
      </c>
      <c r="G119" s="88">
        <v>10.764203999999999</v>
      </c>
      <c r="H119" s="88">
        <v>10.869498999999999</v>
      </c>
      <c r="I119" s="88">
        <v>10.965210000000001</v>
      </c>
      <c r="J119" s="88">
        <v>11.076699</v>
      </c>
      <c r="K119" s="88">
        <v>11.197986</v>
      </c>
      <c r="L119" s="88">
        <v>11.333318999999999</v>
      </c>
      <c r="M119" s="88">
        <v>11.486076000000001</v>
      </c>
      <c r="N119" s="88">
        <v>11.655321000000001</v>
      </c>
      <c r="O119" s="88">
        <v>11.834339</v>
      </c>
      <c r="P119" s="88">
        <v>11.997350000000001</v>
      </c>
      <c r="Q119" s="88">
        <v>12.160628000000001</v>
      </c>
      <c r="R119" s="88">
        <v>12.31541</v>
      </c>
      <c r="S119" s="88">
        <v>12.45102</v>
      </c>
      <c r="T119" s="88">
        <v>12.568764</v>
      </c>
      <c r="U119" s="88">
        <v>12.669667</v>
      </c>
      <c r="V119" s="88">
        <v>12.754915</v>
      </c>
      <c r="W119" s="88">
        <v>12.825293</v>
      </c>
      <c r="X119" s="88">
        <v>12.890333999999999</v>
      </c>
      <c r="Y119" s="88">
        <v>12.942886</v>
      </c>
      <c r="Z119" s="88">
        <v>12.985455</v>
      </c>
      <c r="AA119" s="88">
        <v>13.019958000000001</v>
      </c>
      <c r="AB119" s="88">
        <v>13.048401999999999</v>
      </c>
      <c r="AC119" s="88">
        <v>13.071823999999999</v>
      </c>
      <c r="AD119" s="88">
        <v>13.091234999999999</v>
      </c>
      <c r="AE119" s="88">
        <v>13.10303</v>
      </c>
      <c r="AF119" s="89" t="s">
        <v>321</v>
      </c>
      <c r="AG119" s="80"/>
    </row>
    <row r="120" spans="1:33" ht="15" customHeight="1" x14ac:dyDescent="0.25">
      <c r="A120" s="78" t="s">
        <v>417</v>
      </c>
      <c r="B120" s="87" t="s">
        <v>325</v>
      </c>
      <c r="C120" s="88">
        <v>0</v>
      </c>
      <c r="D120" s="88">
        <v>0</v>
      </c>
      <c r="E120" s="88">
        <v>11.516576000000001</v>
      </c>
      <c r="F120" s="88">
        <v>11.516745</v>
      </c>
      <c r="G120" s="88">
        <v>11.516781999999999</v>
      </c>
      <c r="H120" s="88">
        <v>11.516798</v>
      </c>
      <c r="I120" s="88">
        <v>11.516812</v>
      </c>
      <c r="J120" s="88">
        <v>11.516826</v>
      </c>
      <c r="K120" s="88">
        <v>11.51684</v>
      </c>
      <c r="L120" s="88">
        <v>11.516855</v>
      </c>
      <c r="M120" s="88">
        <v>11.516871999999999</v>
      </c>
      <c r="N120" s="88">
        <v>11.516886</v>
      </c>
      <c r="O120" s="88">
        <v>11.516901000000001</v>
      </c>
      <c r="P120" s="88">
        <v>11.516908000000001</v>
      </c>
      <c r="Q120" s="88">
        <v>11.516905</v>
      </c>
      <c r="R120" s="88">
        <v>11.516907</v>
      </c>
      <c r="S120" s="88">
        <v>11.516909</v>
      </c>
      <c r="T120" s="88">
        <v>11.516912</v>
      </c>
      <c r="U120" s="88">
        <v>11.516919</v>
      </c>
      <c r="V120" s="88">
        <v>11.516923999999999</v>
      </c>
      <c r="W120" s="88">
        <v>11.516925000000001</v>
      </c>
      <c r="X120" s="88">
        <v>11.516932000000001</v>
      </c>
      <c r="Y120" s="88">
        <v>11.516935999999999</v>
      </c>
      <c r="Z120" s="88">
        <v>11.516940999999999</v>
      </c>
      <c r="AA120" s="88">
        <v>11.516942999999999</v>
      </c>
      <c r="AB120" s="88">
        <v>11.516949</v>
      </c>
      <c r="AC120" s="88">
        <v>11.516953000000001</v>
      </c>
      <c r="AD120" s="88">
        <v>11.516953000000001</v>
      </c>
      <c r="AE120" s="88">
        <v>11.516959</v>
      </c>
      <c r="AF120" s="89" t="s">
        <v>321</v>
      </c>
      <c r="AG120" s="80"/>
    </row>
    <row r="121" spans="1:33" ht="15" customHeight="1" x14ac:dyDescent="0.25">
      <c r="A121" s="78" t="s">
        <v>418</v>
      </c>
      <c r="B121" s="87" t="s">
        <v>419</v>
      </c>
      <c r="C121" s="88">
        <v>8.2098399999999998</v>
      </c>
      <c r="D121" s="88">
        <v>8.3404410000000002</v>
      </c>
      <c r="E121" s="88">
        <v>8.4829690000000006</v>
      </c>
      <c r="F121" s="88">
        <v>8.6408909999999999</v>
      </c>
      <c r="G121" s="88">
        <v>8.8129430000000006</v>
      </c>
      <c r="H121" s="88">
        <v>9.0002259999999996</v>
      </c>
      <c r="I121" s="88">
        <v>9.1844359999999998</v>
      </c>
      <c r="J121" s="88">
        <v>9.3722469999999998</v>
      </c>
      <c r="K121" s="88">
        <v>9.5603230000000003</v>
      </c>
      <c r="L121" s="88">
        <v>9.7494200000000006</v>
      </c>
      <c r="M121" s="88">
        <v>9.9342159999999993</v>
      </c>
      <c r="N121" s="88">
        <v>10.112831999999999</v>
      </c>
      <c r="O121" s="88">
        <v>10.281893999999999</v>
      </c>
      <c r="P121" s="88">
        <v>10.441013999999999</v>
      </c>
      <c r="Q121" s="88">
        <v>10.590353</v>
      </c>
      <c r="R121" s="88">
        <v>10.726647</v>
      </c>
      <c r="S121" s="88">
        <v>10.856488000000001</v>
      </c>
      <c r="T121" s="88">
        <v>10.972559</v>
      </c>
      <c r="U121" s="88">
        <v>11.083036</v>
      </c>
      <c r="V121" s="88">
        <v>11.184754999999999</v>
      </c>
      <c r="W121" s="88">
        <v>11.277801999999999</v>
      </c>
      <c r="X121" s="88">
        <v>11.358744</v>
      </c>
      <c r="Y121" s="88">
        <v>11.428658</v>
      </c>
      <c r="Z121" s="88">
        <v>11.491809999999999</v>
      </c>
      <c r="AA121" s="88">
        <v>11.55086</v>
      </c>
      <c r="AB121" s="88">
        <v>11.605866000000001</v>
      </c>
      <c r="AC121" s="88">
        <v>11.656457</v>
      </c>
      <c r="AD121" s="88">
        <v>11.703754999999999</v>
      </c>
      <c r="AE121" s="88">
        <v>11.750068000000001</v>
      </c>
      <c r="AF121" s="89">
        <v>1.2886999999999999E-2</v>
      </c>
      <c r="AG121" s="80"/>
    </row>
    <row r="122" spans="1:33" ht="15" customHeight="1" x14ac:dyDescent="0.25">
      <c r="B122" s="86" t="s">
        <v>340</v>
      </c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</row>
    <row r="123" spans="1:33" ht="15" customHeight="1" x14ac:dyDescent="0.25">
      <c r="A123" s="78" t="s">
        <v>420</v>
      </c>
      <c r="B123" s="87" t="s">
        <v>308</v>
      </c>
      <c r="C123" s="88">
        <v>6.174798</v>
      </c>
      <c r="D123" s="88">
        <v>6.2630949999999999</v>
      </c>
      <c r="E123" s="88">
        <v>6.3645230000000002</v>
      </c>
      <c r="F123" s="88">
        <v>6.4755140000000004</v>
      </c>
      <c r="G123" s="88">
        <v>6.5947199999999997</v>
      </c>
      <c r="H123" s="88">
        <v>6.7204090000000001</v>
      </c>
      <c r="I123" s="88">
        <v>6.8422190000000001</v>
      </c>
      <c r="J123" s="88">
        <v>6.9609690000000004</v>
      </c>
      <c r="K123" s="88">
        <v>7.0752560000000004</v>
      </c>
      <c r="L123" s="88">
        <v>7.1852980000000004</v>
      </c>
      <c r="M123" s="88">
        <v>7.2900910000000003</v>
      </c>
      <c r="N123" s="88">
        <v>7.3855190000000004</v>
      </c>
      <c r="O123" s="88">
        <v>7.4707850000000002</v>
      </c>
      <c r="P123" s="88">
        <v>7.5460839999999996</v>
      </c>
      <c r="Q123" s="88">
        <v>7.6121340000000002</v>
      </c>
      <c r="R123" s="88">
        <v>7.6693059999999997</v>
      </c>
      <c r="S123" s="88">
        <v>7.7178800000000001</v>
      </c>
      <c r="T123" s="88">
        <v>7.7600699999999998</v>
      </c>
      <c r="U123" s="88">
        <v>7.7969379999999999</v>
      </c>
      <c r="V123" s="88">
        <v>7.8299960000000004</v>
      </c>
      <c r="W123" s="88">
        <v>7.8573079999999997</v>
      </c>
      <c r="X123" s="88">
        <v>7.880395</v>
      </c>
      <c r="Y123" s="88">
        <v>7.8999480000000002</v>
      </c>
      <c r="Z123" s="88">
        <v>7.9169460000000003</v>
      </c>
      <c r="AA123" s="88">
        <v>7.9330990000000003</v>
      </c>
      <c r="AB123" s="88">
        <v>7.9487300000000003</v>
      </c>
      <c r="AC123" s="88">
        <v>7.9641529999999996</v>
      </c>
      <c r="AD123" s="88">
        <v>7.9801409999999997</v>
      </c>
      <c r="AE123" s="88">
        <v>7.9969340000000004</v>
      </c>
      <c r="AF123" s="89">
        <v>9.2779999999999998E-3</v>
      </c>
      <c r="AG123" s="80"/>
    </row>
    <row r="124" spans="1:33" ht="15" customHeight="1" x14ac:dyDescent="0.25">
      <c r="A124" s="78" t="s">
        <v>421</v>
      </c>
      <c r="B124" s="87" t="s">
        <v>310</v>
      </c>
      <c r="C124" s="88">
        <v>5.6053519999999999</v>
      </c>
      <c r="D124" s="88">
        <v>5.6851630000000002</v>
      </c>
      <c r="E124" s="88">
        <v>5.7620750000000003</v>
      </c>
      <c r="F124" s="88">
        <v>5.8372330000000003</v>
      </c>
      <c r="G124" s="88">
        <v>5.9050890000000003</v>
      </c>
      <c r="H124" s="88">
        <v>5.9668659999999996</v>
      </c>
      <c r="I124" s="88">
        <v>6.0218819999999997</v>
      </c>
      <c r="J124" s="88">
        <v>6.0750270000000004</v>
      </c>
      <c r="K124" s="88">
        <v>6.1221620000000003</v>
      </c>
      <c r="L124" s="88">
        <v>6.1683779999999997</v>
      </c>
      <c r="M124" s="88">
        <v>6.2146990000000004</v>
      </c>
      <c r="N124" s="88">
        <v>6.2603840000000002</v>
      </c>
      <c r="O124" s="88">
        <v>6.3023579999999999</v>
      </c>
      <c r="P124" s="88">
        <v>6.3409950000000004</v>
      </c>
      <c r="Q124" s="88">
        <v>6.3776359999999999</v>
      </c>
      <c r="R124" s="88">
        <v>6.4116439999999999</v>
      </c>
      <c r="S124" s="88">
        <v>6.4439479999999998</v>
      </c>
      <c r="T124" s="88">
        <v>6.4750249999999996</v>
      </c>
      <c r="U124" s="88">
        <v>6.5043160000000002</v>
      </c>
      <c r="V124" s="88">
        <v>6.5290499999999998</v>
      </c>
      <c r="W124" s="88">
        <v>6.5526530000000003</v>
      </c>
      <c r="X124" s="88">
        <v>6.5760810000000003</v>
      </c>
      <c r="Y124" s="88">
        <v>6.5977519999999998</v>
      </c>
      <c r="Z124" s="88">
        <v>6.6134740000000001</v>
      </c>
      <c r="AA124" s="88">
        <v>6.6265970000000003</v>
      </c>
      <c r="AB124" s="88">
        <v>6.6380759999999999</v>
      </c>
      <c r="AC124" s="88">
        <v>6.6483280000000002</v>
      </c>
      <c r="AD124" s="88">
        <v>6.6579069999999998</v>
      </c>
      <c r="AE124" s="88">
        <v>6.6670059999999998</v>
      </c>
      <c r="AF124" s="89">
        <v>6.2139999999999999E-3</v>
      </c>
      <c r="AG124" s="80"/>
    </row>
    <row r="125" spans="1:33" ht="15" customHeight="1" x14ac:dyDescent="0.25">
      <c r="A125" s="78" t="s">
        <v>422</v>
      </c>
      <c r="B125" s="87" t="s">
        <v>312</v>
      </c>
      <c r="C125" s="88">
        <v>6.0561619999999996</v>
      </c>
      <c r="D125" s="88">
        <v>6.0490139999999997</v>
      </c>
      <c r="E125" s="88">
        <v>6.0413300000000003</v>
      </c>
      <c r="F125" s="88">
        <v>6.0397550000000004</v>
      </c>
      <c r="G125" s="88">
        <v>6.0466559999999996</v>
      </c>
      <c r="H125" s="88">
        <v>6.0661889999999996</v>
      </c>
      <c r="I125" s="88">
        <v>6.0933279999999996</v>
      </c>
      <c r="J125" s="88">
        <v>6.1323319999999999</v>
      </c>
      <c r="K125" s="88">
        <v>6.1810369999999999</v>
      </c>
      <c r="L125" s="88">
        <v>6.2393669999999997</v>
      </c>
      <c r="M125" s="88">
        <v>6.3051560000000002</v>
      </c>
      <c r="N125" s="88">
        <v>6.3731140000000002</v>
      </c>
      <c r="O125" s="88">
        <v>6.4338220000000002</v>
      </c>
      <c r="P125" s="88">
        <v>6.4864230000000003</v>
      </c>
      <c r="Q125" s="88">
        <v>6.5340740000000004</v>
      </c>
      <c r="R125" s="88">
        <v>6.5780960000000004</v>
      </c>
      <c r="S125" s="88">
        <v>6.6189390000000001</v>
      </c>
      <c r="T125" s="88">
        <v>6.656015</v>
      </c>
      <c r="U125" s="88">
        <v>6.6907750000000004</v>
      </c>
      <c r="V125" s="88">
        <v>6.7222429999999997</v>
      </c>
      <c r="W125" s="88">
        <v>6.7477010000000002</v>
      </c>
      <c r="X125" s="88">
        <v>6.7691860000000004</v>
      </c>
      <c r="Y125" s="88">
        <v>6.7874949999999998</v>
      </c>
      <c r="Z125" s="88">
        <v>6.802632</v>
      </c>
      <c r="AA125" s="88">
        <v>6.8150360000000001</v>
      </c>
      <c r="AB125" s="88">
        <v>6.8253909999999998</v>
      </c>
      <c r="AC125" s="88">
        <v>6.8345450000000003</v>
      </c>
      <c r="AD125" s="88">
        <v>6.8446889999999998</v>
      </c>
      <c r="AE125" s="88">
        <v>6.8567840000000002</v>
      </c>
      <c r="AF125" s="89">
        <v>4.444E-3</v>
      </c>
      <c r="AG125" s="80"/>
    </row>
    <row r="126" spans="1:33" ht="15" customHeight="1" x14ac:dyDescent="0.25">
      <c r="A126" s="78" t="s">
        <v>423</v>
      </c>
      <c r="B126" s="87" t="s">
        <v>314</v>
      </c>
      <c r="C126" s="88">
        <v>5.905322</v>
      </c>
      <c r="D126" s="88">
        <v>5.9830639999999997</v>
      </c>
      <c r="E126" s="88">
        <v>6.0729699999999998</v>
      </c>
      <c r="F126" s="88">
        <v>6.1697509999999998</v>
      </c>
      <c r="G126" s="88">
        <v>6.2701130000000003</v>
      </c>
      <c r="H126" s="88">
        <v>6.3741599999999998</v>
      </c>
      <c r="I126" s="88">
        <v>6.4715020000000001</v>
      </c>
      <c r="J126" s="88">
        <v>6.5653430000000004</v>
      </c>
      <c r="K126" s="88">
        <v>6.6557139999999997</v>
      </c>
      <c r="L126" s="88">
        <v>6.7455530000000001</v>
      </c>
      <c r="M126" s="88">
        <v>6.8333729999999999</v>
      </c>
      <c r="N126" s="88">
        <v>6.9156950000000004</v>
      </c>
      <c r="O126" s="88">
        <v>6.9910300000000003</v>
      </c>
      <c r="P126" s="88">
        <v>7.0602270000000003</v>
      </c>
      <c r="Q126" s="88">
        <v>7.1236040000000003</v>
      </c>
      <c r="R126" s="88">
        <v>7.1804309999999996</v>
      </c>
      <c r="S126" s="88">
        <v>7.2303940000000004</v>
      </c>
      <c r="T126" s="88">
        <v>7.2732939999999999</v>
      </c>
      <c r="U126" s="88">
        <v>7.3093329999999996</v>
      </c>
      <c r="V126" s="88">
        <v>7.3391260000000003</v>
      </c>
      <c r="W126" s="88">
        <v>7.3641690000000004</v>
      </c>
      <c r="X126" s="88">
        <v>7.3857489999999997</v>
      </c>
      <c r="Y126" s="88">
        <v>7.4047210000000003</v>
      </c>
      <c r="Z126" s="88">
        <v>7.4218250000000001</v>
      </c>
      <c r="AA126" s="88">
        <v>7.4367340000000004</v>
      </c>
      <c r="AB126" s="88">
        <v>7.451314</v>
      </c>
      <c r="AC126" s="88">
        <v>7.4666230000000002</v>
      </c>
      <c r="AD126" s="88">
        <v>7.4822319999999998</v>
      </c>
      <c r="AE126" s="88">
        <v>7.498291</v>
      </c>
      <c r="AF126" s="89">
        <v>8.5660000000000007E-3</v>
      </c>
      <c r="AG126" s="80"/>
    </row>
    <row r="127" spans="1:33" ht="15" customHeight="1" x14ac:dyDescent="0.25">
      <c r="A127" s="78" t="s">
        <v>424</v>
      </c>
      <c r="B127" s="87" t="s">
        <v>316</v>
      </c>
      <c r="C127" s="88">
        <v>0</v>
      </c>
      <c r="D127" s="88">
        <v>0</v>
      </c>
      <c r="E127" s="88">
        <v>0</v>
      </c>
      <c r="F127" s="88">
        <v>0</v>
      </c>
      <c r="G127" s="88">
        <v>0</v>
      </c>
      <c r="H127" s="88">
        <v>0</v>
      </c>
      <c r="I127" s="88">
        <v>0</v>
      </c>
      <c r="J127" s="88">
        <v>0</v>
      </c>
      <c r="K127" s="88">
        <v>0</v>
      </c>
      <c r="L127" s="88">
        <v>0</v>
      </c>
      <c r="M127" s="88">
        <v>0</v>
      </c>
      <c r="N127" s="88">
        <v>0</v>
      </c>
      <c r="O127" s="88">
        <v>0</v>
      </c>
      <c r="P127" s="88">
        <v>0</v>
      </c>
      <c r="Q127" s="88">
        <v>0</v>
      </c>
      <c r="R127" s="88">
        <v>0</v>
      </c>
      <c r="S127" s="88">
        <v>0</v>
      </c>
      <c r="T127" s="88">
        <v>0</v>
      </c>
      <c r="U127" s="88">
        <v>0</v>
      </c>
      <c r="V127" s="88">
        <v>0</v>
      </c>
      <c r="W127" s="88">
        <v>0</v>
      </c>
      <c r="X127" s="88">
        <v>0</v>
      </c>
      <c r="Y127" s="88">
        <v>0</v>
      </c>
      <c r="Z127" s="88">
        <v>0</v>
      </c>
      <c r="AA127" s="88">
        <v>0</v>
      </c>
      <c r="AB127" s="88">
        <v>0</v>
      </c>
      <c r="AC127" s="88">
        <v>0</v>
      </c>
      <c r="AD127" s="88">
        <v>0</v>
      </c>
      <c r="AE127" s="88">
        <v>0</v>
      </c>
      <c r="AF127" s="89" t="s">
        <v>321</v>
      </c>
      <c r="AG127" s="80"/>
    </row>
    <row r="128" spans="1:33" ht="15" customHeight="1" x14ac:dyDescent="0.25">
      <c r="A128" s="78" t="s">
        <v>425</v>
      </c>
      <c r="B128" s="87" t="s">
        <v>318</v>
      </c>
      <c r="C128" s="88">
        <v>12.511471999999999</v>
      </c>
      <c r="D128" s="88">
        <v>12.210798</v>
      </c>
      <c r="E128" s="88">
        <v>12.035378</v>
      </c>
      <c r="F128" s="88">
        <v>11.922769000000001</v>
      </c>
      <c r="G128" s="88">
        <v>11.842131</v>
      </c>
      <c r="H128" s="88">
        <v>11.780157000000001</v>
      </c>
      <c r="I128" s="88">
        <v>11.726812000000001</v>
      </c>
      <c r="J128" s="88">
        <v>11.681986</v>
      </c>
      <c r="K128" s="88">
        <v>11.643143999999999</v>
      </c>
      <c r="L128" s="88">
        <v>11.608420000000001</v>
      </c>
      <c r="M128" s="88">
        <v>11.577750999999999</v>
      </c>
      <c r="N128" s="88">
        <v>11.55185</v>
      </c>
      <c r="O128" s="88">
        <v>11.532499</v>
      </c>
      <c r="P128" s="88">
        <v>11.522676000000001</v>
      </c>
      <c r="Q128" s="88">
        <v>11.51253</v>
      </c>
      <c r="R128" s="88">
        <v>11.507656000000001</v>
      </c>
      <c r="S128" s="88">
        <v>11.514357</v>
      </c>
      <c r="T128" s="88">
        <v>11.526049</v>
      </c>
      <c r="U128" s="88">
        <v>11.521922999999999</v>
      </c>
      <c r="V128" s="88">
        <v>11.528378</v>
      </c>
      <c r="W128" s="88">
        <v>11.553936999999999</v>
      </c>
      <c r="X128" s="88">
        <v>11.578481999999999</v>
      </c>
      <c r="Y128" s="88">
        <v>11.590909</v>
      </c>
      <c r="Z128" s="88">
        <v>11.599613</v>
      </c>
      <c r="AA128" s="88">
        <v>11.605518999999999</v>
      </c>
      <c r="AB128" s="88">
        <v>11.609627</v>
      </c>
      <c r="AC128" s="88">
        <v>11.612548</v>
      </c>
      <c r="AD128" s="88">
        <v>11.614598000000001</v>
      </c>
      <c r="AE128" s="88">
        <v>11.615857</v>
      </c>
      <c r="AF128" s="89">
        <v>-2.6489999999999999E-3</v>
      </c>
      <c r="AG128" s="80"/>
    </row>
    <row r="129" spans="1:33" ht="12" customHeight="1" x14ac:dyDescent="0.25">
      <c r="A129" s="78" t="s">
        <v>426</v>
      </c>
      <c r="B129" s="87" t="s">
        <v>320</v>
      </c>
      <c r="C129" s="88">
        <v>0</v>
      </c>
      <c r="D129" s="88">
        <v>0</v>
      </c>
      <c r="E129" s="88">
        <v>1.546108</v>
      </c>
      <c r="F129" s="88">
        <v>2.664183</v>
      </c>
      <c r="G129" s="88">
        <v>3.4990290000000002</v>
      </c>
      <c r="H129" s="88">
        <v>4.1596690000000001</v>
      </c>
      <c r="I129" s="88">
        <v>4.6990999999999996</v>
      </c>
      <c r="J129" s="88">
        <v>5.1562080000000003</v>
      </c>
      <c r="K129" s="88">
        <v>5.5611940000000004</v>
      </c>
      <c r="L129" s="88">
        <v>5.9406049999999997</v>
      </c>
      <c r="M129" s="88">
        <v>6.3162120000000002</v>
      </c>
      <c r="N129" s="88">
        <v>6.6977019999999996</v>
      </c>
      <c r="O129" s="88">
        <v>7.0859899999999998</v>
      </c>
      <c r="P129" s="88">
        <v>7.4756780000000003</v>
      </c>
      <c r="Q129" s="88">
        <v>7.8704789999999996</v>
      </c>
      <c r="R129" s="88">
        <v>8.2631910000000008</v>
      </c>
      <c r="S129" s="88">
        <v>8.6400120000000005</v>
      </c>
      <c r="T129" s="88">
        <v>8.9883590000000009</v>
      </c>
      <c r="U129" s="88">
        <v>9.2928049999999995</v>
      </c>
      <c r="V129" s="88">
        <v>9.5358350000000005</v>
      </c>
      <c r="W129" s="88">
        <v>9.700844</v>
      </c>
      <c r="X129" s="88">
        <v>9.9268219999999996</v>
      </c>
      <c r="Y129" s="88">
        <v>10.164901</v>
      </c>
      <c r="Z129" s="88">
        <v>10.319011</v>
      </c>
      <c r="AA129" s="88">
        <v>10.344773</v>
      </c>
      <c r="AB129" s="88">
        <v>10.42065</v>
      </c>
      <c r="AC129" s="88">
        <v>10.488389</v>
      </c>
      <c r="AD129" s="88">
        <v>10.548454</v>
      </c>
      <c r="AE129" s="88">
        <v>10.601648000000001</v>
      </c>
      <c r="AF129" s="89" t="s">
        <v>321</v>
      </c>
      <c r="AG129" s="80"/>
    </row>
    <row r="130" spans="1:33" ht="12" customHeight="1" x14ac:dyDescent="0.25">
      <c r="A130" s="78" t="s">
        <v>427</v>
      </c>
      <c r="B130" s="87" t="s">
        <v>323</v>
      </c>
      <c r="C130" s="88">
        <v>0</v>
      </c>
      <c r="D130" s="88">
        <v>0</v>
      </c>
      <c r="E130" s="88">
        <v>1.475894</v>
      </c>
      <c r="F130" s="88">
        <v>2.5423819999999999</v>
      </c>
      <c r="G130" s="88">
        <v>3.3420420000000002</v>
      </c>
      <c r="H130" s="88">
        <v>3.9731420000000002</v>
      </c>
      <c r="I130" s="88">
        <v>4.4840580000000001</v>
      </c>
      <c r="J130" s="88">
        <v>4.9145440000000002</v>
      </c>
      <c r="K130" s="88">
        <v>5.2951240000000004</v>
      </c>
      <c r="L130" s="88">
        <v>5.6530180000000003</v>
      </c>
      <c r="M130" s="88">
        <v>6.0081530000000001</v>
      </c>
      <c r="N130" s="88">
        <v>6.3713059999999997</v>
      </c>
      <c r="O130" s="88">
        <v>6.7437389999999997</v>
      </c>
      <c r="P130" s="88">
        <v>7.1219239999999999</v>
      </c>
      <c r="Q130" s="88">
        <v>7.5077629999999997</v>
      </c>
      <c r="R130" s="88">
        <v>7.8949509999999998</v>
      </c>
      <c r="S130" s="88">
        <v>8.2699909999999992</v>
      </c>
      <c r="T130" s="88">
        <v>8.6198800000000002</v>
      </c>
      <c r="U130" s="88">
        <v>8.9274210000000007</v>
      </c>
      <c r="V130" s="88">
        <v>9.1725209999999997</v>
      </c>
      <c r="W130" s="88">
        <v>9.3351539999999993</v>
      </c>
      <c r="X130" s="88">
        <v>9.5703130000000005</v>
      </c>
      <c r="Y130" s="88">
        <v>9.8242899999999995</v>
      </c>
      <c r="Z130" s="88">
        <v>9.9863700000000009</v>
      </c>
      <c r="AA130" s="88">
        <v>10.00128</v>
      </c>
      <c r="AB130" s="88">
        <v>10.076916000000001</v>
      </c>
      <c r="AC130" s="88">
        <v>10.144606</v>
      </c>
      <c r="AD130" s="88">
        <v>10.20481</v>
      </c>
      <c r="AE130" s="88">
        <v>10.258661</v>
      </c>
      <c r="AF130" s="89" t="s">
        <v>321</v>
      </c>
      <c r="AG130" s="80"/>
    </row>
    <row r="131" spans="1:33" ht="12" customHeight="1" x14ac:dyDescent="0.25">
      <c r="A131" s="78" t="s">
        <v>428</v>
      </c>
      <c r="B131" s="87" t="s">
        <v>325</v>
      </c>
      <c r="C131" s="88">
        <v>0</v>
      </c>
      <c r="D131" s="88">
        <v>0</v>
      </c>
      <c r="E131" s="88">
        <v>7.1006340000000003</v>
      </c>
      <c r="F131" s="88">
        <v>7.1057309999999996</v>
      </c>
      <c r="G131" s="88">
        <v>7.1073639999999996</v>
      </c>
      <c r="H131" s="88">
        <v>7.1081630000000002</v>
      </c>
      <c r="I131" s="88">
        <v>7.1086039999999997</v>
      </c>
      <c r="J131" s="88">
        <v>7.1088789999999999</v>
      </c>
      <c r="K131" s="88">
        <v>7.1090270000000002</v>
      </c>
      <c r="L131" s="88">
        <v>7.1090970000000002</v>
      </c>
      <c r="M131" s="88">
        <v>7.1091550000000003</v>
      </c>
      <c r="N131" s="88">
        <v>7.1092209999999998</v>
      </c>
      <c r="O131" s="88">
        <v>7.1092950000000004</v>
      </c>
      <c r="P131" s="88">
        <v>7.1093820000000001</v>
      </c>
      <c r="Q131" s="88">
        <v>7.1094809999999997</v>
      </c>
      <c r="R131" s="88">
        <v>7.1095889999999997</v>
      </c>
      <c r="S131" s="88">
        <v>7.1097070000000002</v>
      </c>
      <c r="T131" s="88">
        <v>7.1098350000000003</v>
      </c>
      <c r="U131" s="88">
        <v>7.109972</v>
      </c>
      <c r="V131" s="88">
        <v>7.1101159999999997</v>
      </c>
      <c r="W131" s="88">
        <v>7.1102699999999999</v>
      </c>
      <c r="X131" s="88">
        <v>7.1104589999999996</v>
      </c>
      <c r="Y131" s="88">
        <v>7.110671</v>
      </c>
      <c r="Z131" s="88">
        <v>7.1108859999999998</v>
      </c>
      <c r="AA131" s="88">
        <v>7.1110879999999996</v>
      </c>
      <c r="AB131" s="88">
        <v>7.1113179999999998</v>
      </c>
      <c r="AC131" s="88">
        <v>7.1115579999999996</v>
      </c>
      <c r="AD131" s="88">
        <v>7.111809</v>
      </c>
      <c r="AE131" s="88">
        <v>7.1120650000000003</v>
      </c>
      <c r="AF131" s="89" t="s">
        <v>321</v>
      </c>
      <c r="AG131" s="80"/>
    </row>
    <row r="132" spans="1:33" ht="12" customHeight="1" x14ac:dyDescent="0.25">
      <c r="A132" s="78" t="s">
        <v>429</v>
      </c>
      <c r="B132" s="87" t="s">
        <v>430</v>
      </c>
      <c r="C132" s="88">
        <v>6.1709569999999996</v>
      </c>
      <c r="D132" s="88">
        <v>6.2590110000000001</v>
      </c>
      <c r="E132" s="88">
        <v>6.3601650000000003</v>
      </c>
      <c r="F132" s="88">
        <v>6.4708430000000003</v>
      </c>
      <c r="G132" s="88">
        <v>6.589664</v>
      </c>
      <c r="H132" s="88">
        <v>6.7149279999999996</v>
      </c>
      <c r="I132" s="88">
        <v>6.8362869999999996</v>
      </c>
      <c r="J132" s="88">
        <v>6.9546010000000003</v>
      </c>
      <c r="K132" s="88">
        <v>7.068473</v>
      </c>
      <c r="L132" s="88">
        <v>7.1781480000000002</v>
      </c>
      <c r="M132" s="88">
        <v>7.282597</v>
      </c>
      <c r="N132" s="88">
        <v>7.3776999999999999</v>
      </c>
      <c r="O132" s="88">
        <v>7.4626390000000002</v>
      </c>
      <c r="P132" s="88">
        <v>7.5376300000000001</v>
      </c>
      <c r="Q132" s="88">
        <v>7.6034009999999999</v>
      </c>
      <c r="R132" s="88">
        <v>7.6603089999999998</v>
      </c>
      <c r="S132" s="88">
        <v>7.7086389999999998</v>
      </c>
      <c r="T132" s="88">
        <v>7.750559</v>
      </c>
      <c r="U132" s="88">
        <v>7.7871069999999998</v>
      </c>
      <c r="V132" s="88">
        <v>7.819769</v>
      </c>
      <c r="W132" s="88">
        <v>7.8466990000000001</v>
      </c>
      <c r="X132" s="88">
        <v>7.8693970000000002</v>
      </c>
      <c r="Y132" s="88">
        <v>7.8885500000000004</v>
      </c>
      <c r="Z132" s="88">
        <v>7.9051289999999996</v>
      </c>
      <c r="AA132" s="88">
        <v>7.9208100000000004</v>
      </c>
      <c r="AB132" s="88">
        <v>7.9359409999999997</v>
      </c>
      <c r="AC132" s="88">
        <v>7.9508619999999999</v>
      </c>
      <c r="AD132" s="88">
        <v>7.9663209999999998</v>
      </c>
      <c r="AE132" s="88">
        <v>7.9825520000000001</v>
      </c>
      <c r="AF132" s="89">
        <v>9.2350000000000002E-3</v>
      </c>
      <c r="AG132" s="80"/>
    </row>
    <row r="133" spans="1:33" ht="12" customHeight="1" x14ac:dyDescent="0.25">
      <c r="A133" s="78" t="s">
        <v>431</v>
      </c>
      <c r="B133" s="86" t="s">
        <v>432</v>
      </c>
      <c r="C133" s="90">
        <v>7.4724060000000003</v>
      </c>
      <c r="D133" s="90">
        <v>7.5785309999999999</v>
      </c>
      <c r="E133" s="90">
        <v>7.7053209999999996</v>
      </c>
      <c r="F133" s="90">
        <v>7.8485909999999999</v>
      </c>
      <c r="G133" s="90">
        <v>8.0023800000000005</v>
      </c>
      <c r="H133" s="90">
        <v>8.1636780000000009</v>
      </c>
      <c r="I133" s="90">
        <v>8.3212820000000001</v>
      </c>
      <c r="J133" s="90">
        <v>8.4797530000000005</v>
      </c>
      <c r="K133" s="90">
        <v>8.6382940000000001</v>
      </c>
      <c r="L133" s="90">
        <v>8.7959300000000002</v>
      </c>
      <c r="M133" s="90">
        <v>8.9485519999999994</v>
      </c>
      <c r="N133" s="90">
        <v>9.0909969999999998</v>
      </c>
      <c r="O133" s="90">
        <v>9.2225169999999999</v>
      </c>
      <c r="P133" s="90">
        <v>9.3430680000000006</v>
      </c>
      <c r="Q133" s="90">
        <v>9.4533190000000005</v>
      </c>
      <c r="R133" s="90">
        <v>9.5530659999999994</v>
      </c>
      <c r="S133" s="90">
        <v>9.6434460000000009</v>
      </c>
      <c r="T133" s="90">
        <v>9.7267150000000004</v>
      </c>
      <c r="U133" s="90">
        <v>9.8045980000000004</v>
      </c>
      <c r="V133" s="90">
        <v>9.8772749999999991</v>
      </c>
      <c r="W133" s="90">
        <v>9.9424340000000004</v>
      </c>
      <c r="X133" s="90">
        <v>10.001575000000001</v>
      </c>
      <c r="Y133" s="90">
        <v>10.055849</v>
      </c>
      <c r="Z133" s="90">
        <v>10.108461999999999</v>
      </c>
      <c r="AA133" s="90">
        <v>10.161237</v>
      </c>
      <c r="AB133" s="90">
        <v>10.213322</v>
      </c>
      <c r="AC133" s="90">
        <v>10.263771999999999</v>
      </c>
      <c r="AD133" s="90">
        <v>10.314520999999999</v>
      </c>
      <c r="AE133" s="90">
        <v>10.365862999999999</v>
      </c>
      <c r="AF133" s="91">
        <v>1.1757999999999999E-2</v>
      </c>
      <c r="AG133" s="80"/>
    </row>
    <row r="134" spans="1:33" ht="12" customHeight="1" x14ac:dyDescent="0.25"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</row>
    <row r="135" spans="1:33" ht="12" customHeight="1" x14ac:dyDescent="0.25">
      <c r="B135" s="86" t="s">
        <v>433</v>
      </c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</row>
    <row r="136" spans="1:33" ht="12" customHeight="1" x14ac:dyDescent="0.25">
      <c r="B136" s="86" t="s">
        <v>306</v>
      </c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</row>
    <row r="137" spans="1:33" ht="12" customHeight="1" x14ac:dyDescent="0.25">
      <c r="A137" s="78" t="s">
        <v>434</v>
      </c>
      <c r="B137" s="87" t="s">
        <v>308</v>
      </c>
      <c r="C137" s="92">
        <v>3.0155479999999999</v>
      </c>
      <c r="D137" s="92">
        <v>3.0975450000000002</v>
      </c>
      <c r="E137" s="92">
        <v>3.1834560000000001</v>
      </c>
      <c r="F137" s="92">
        <v>3.2715930000000002</v>
      </c>
      <c r="G137" s="92">
        <v>3.3587579999999999</v>
      </c>
      <c r="H137" s="92">
        <v>3.4430320000000001</v>
      </c>
      <c r="I137" s="92">
        <v>3.5241380000000002</v>
      </c>
      <c r="J137" s="92">
        <v>3.6023369999999999</v>
      </c>
      <c r="K137" s="92">
        <v>3.6774779999999998</v>
      </c>
      <c r="L137" s="92">
        <v>3.7492040000000002</v>
      </c>
      <c r="M137" s="92">
        <v>3.8192210000000002</v>
      </c>
      <c r="N137" s="92">
        <v>3.8820770000000002</v>
      </c>
      <c r="O137" s="92">
        <v>3.9423219999999999</v>
      </c>
      <c r="P137" s="92">
        <v>4.0002969999999998</v>
      </c>
      <c r="Q137" s="92">
        <v>4.0587710000000001</v>
      </c>
      <c r="R137" s="92">
        <v>4.1174879999999998</v>
      </c>
      <c r="S137" s="92">
        <v>4.1771779999999996</v>
      </c>
      <c r="T137" s="92">
        <v>4.2348249999999998</v>
      </c>
      <c r="U137" s="92">
        <v>4.2897980000000002</v>
      </c>
      <c r="V137" s="92">
        <v>4.3460570000000001</v>
      </c>
      <c r="W137" s="92">
        <v>4.4020840000000003</v>
      </c>
      <c r="X137" s="92">
        <v>4.4646600000000003</v>
      </c>
      <c r="Y137" s="92">
        <v>4.531682</v>
      </c>
      <c r="Z137" s="92">
        <v>4.5975450000000002</v>
      </c>
      <c r="AA137" s="92">
        <v>4.6616299999999997</v>
      </c>
      <c r="AB137" s="92">
        <v>4.7283970000000002</v>
      </c>
      <c r="AC137" s="92">
        <v>4.796106</v>
      </c>
      <c r="AD137" s="92">
        <v>4.8608450000000003</v>
      </c>
      <c r="AE137" s="92">
        <v>4.9257439999999999</v>
      </c>
      <c r="AF137" s="89">
        <v>1.7679E-2</v>
      </c>
      <c r="AG137" s="80"/>
    </row>
    <row r="138" spans="1:33" ht="12" customHeight="1" x14ac:dyDescent="0.25">
      <c r="A138" s="78" t="s">
        <v>435</v>
      </c>
      <c r="B138" s="87" t="s">
        <v>310</v>
      </c>
      <c r="C138" s="92">
        <v>1.3121959999999999</v>
      </c>
      <c r="D138" s="92">
        <v>1.390077</v>
      </c>
      <c r="E138" s="92">
        <v>1.475538</v>
      </c>
      <c r="F138" s="92">
        <v>1.5668089999999999</v>
      </c>
      <c r="G138" s="92">
        <v>1.6607769999999999</v>
      </c>
      <c r="H138" s="92">
        <v>1.755242</v>
      </c>
      <c r="I138" s="92">
        <v>1.8484970000000001</v>
      </c>
      <c r="J138" s="92">
        <v>1.9400980000000001</v>
      </c>
      <c r="K138" s="92">
        <v>2.0310440000000001</v>
      </c>
      <c r="L138" s="92">
        <v>2.1199050000000002</v>
      </c>
      <c r="M138" s="92">
        <v>2.2087729999999999</v>
      </c>
      <c r="N138" s="92">
        <v>2.2942230000000001</v>
      </c>
      <c r="O138" s="92">
        <v>2.378069</v>
      </c>
      <c r="P138" s="92">
        <v>2.4599419999999999</v>
      </c>
      <c r="Q138" s="92">
        <v>2.5430779999999999</v>
      </c>
      <c r="R138" s="92">
        <v>2.6269550000000002</v>
      </c>
      <c r="S138" s="92">
        <v>2.7103890000000002</v>
      </c>
      <c r="T138" s="92">
        <v>2.793024</v>
      </c>
      <c r="U138" s="92">
        <v>2.8754759999999999</v>
      </c>
      <c r="V138" s="92">
        <v>2.9603380000000001</v>
      </c>
      <c r="W138" s="92">
        <v>3.0429689999999998</v>
      </c>
      <c r="X138" s="92">
        <v>3.128209</v>
      </c>
      <c r="Y138" s="92">
        <v>3.2178049999999998</v>
      </c>
      <c r="Z138" s="92">
        <v>3.3088250000000001</v>
      </c>
      <c r="AA138" s="92">
        <v>3.3999440000000001</v>
      </c>
      <c r="AB138" s="92">
        <v>3.492642</v>
      </c>
      <c r="AC138" s="92">
        <v>3.5847199999999999</v>
      </c>
      <c r="AD138" s="92">
        <v>3.6734100000000001</v>
      </c>
      <c r="AE138" s="92">
        <v>3.7600479999999998</v>
      </c>
      <c r="AF138" s="89">
        <v>3.8313E-2</v>
      </c>
      <c r="AG138" s="80"/>
    </row>
    <row r="139" spans="1:33" ht="12" customHeight="1" x14ac:dyDescent="0.25">
      <c r="A139" s="78" t="s">
        <v>436</v>
      </c>
      <c r="B139" s="87" t="s">
        <v>312</v>
      </c>
      <c r="C139" s="92">
        <v>1.18E-4</v>
      </c>
      <c r="D139" s="92">
        <v>3.9100000000000002E-4</v>
      </c>
      <c r="E139" s="92">
        <v>6.7400000000000001E-4</v>
      </c>
      <c r="F139" s="92">
        <v>9.5699999999999995E-4</v>
      </c>
      <c r="G139" s="92">
        <v>1.2470000000000001E-3</v>
      </c>
      <c r="H139" s="92">
        <v>1.542E-3</v>
      </c>
      <c r="I139" s="92">
        <v>1.843E-3</v>
      </c>
      <c r="J139" s="92">
        <v>2.1510000000000001E-3</v>
      </c>
      <c r="K139" s="92">
        <v>2.4689999999999998E-3</v>
      </c>
      <c r="L139" s="92">
        <v>2.7989999999999998E-3</v>
      </c>
      <c r="M139" s="92">
        <v>3.143E-3</v>
      </c>
      <c r="N139" s="92">
        <v>3.5010000000000002E-3</v>
      </c>
      <c r="O139" s="92">
        <v>3.859E-3</v>
      </c>
      <c r="P139" s="92">
        <v>4.2300000000000003E-3</v>
      </c>
      <c r="Q139" s="92">
        <v>4.6340000000000001E-3</v>
      </c>
      <c r="R139" s="92">
        <v>5.071E-3</v>
      </c>
      <c r="S139" s="92">
        <v>5.5459999999999997E-3</v>
      </c>
      <c r="T139" s="92">
        <v>6.0610000000000004E-3</v>
      </c>
      <c r="U139" s="92">
        <v>6.6210000000000001E-3</v>
      </c>
      <c r="V139" s="92">
        <v>7.228E-3</v>
      </c>
      <c r="W139" s="92">
        <v>7.8829999999999994E-3</v>
      </c>
      <c r="X139" s="92">
        <v>8.5920000000000007E-3</v>
      </c>
      <c r="Y139" s="92">
        <v>9.3589999999999993E-3</v>
      </c>
      <c r="Z139" s="92">
        <v>1.0192E-2</v>
      </c>
      <c r="AA139" s="92">
        <v>1.1091E-2</v>
      </c>
      <c r="AB139" s="92">
        <v>1.2054E-2</v>
      </c>
      <c r="AC139" s="92">
        <v>1.3077999999999999E-2</v>
      </c>
      <c r="AD139" s="92">
        <v>1.4161E-2</v>
      </c>
      <c r="AE139" s="92">
        <v>1.5303000000000001E-2</v>
      </c>
      <c r="AF139" s="89">
        <v>0.189804</v>
      </c>
      <c r="AG139" s="80"/>
    </row>
    <row r="140" spans="1:33" ht="12" customHeight="1" x14ac:dyDescent="0.25">
      <c r="A140" s="78" t="s">
        <v>437</v>
      </c>
      <c r="B140" s="87" t="s">
        <v>314</v>
      </c>
      <c r="C140" s="92">
        <v>8.1099999999999998E-4</v>
      </c>
      <c r="D140" s="92">
        <v>8.0800000000000002E-4</v>
      </c>
      <c r="E140" s="92">
        <v>8.0500000000000005E-4</v>
      </c>
      <c r="F140" s="92">
        <v>8.0099999999999995E-4</v>
      </c>
      <c r="G140" s="92">
        <v>7.9600000000000005E-4</v>
      </c>
      <c r="H140" s="92">
        <v>7.9100000000000004E-4</v>
      </c>
      <c r="I140" s="92">
        <v>7.8399999999999997E-4</v>
      </c>
      <c r="J140" s="92">
        <v>7.7800000000000005E-4</v>
      </c>
      <c r="K140" s="92">
        <v>7.6999999999999996E-4</v>
      </c>
      <c r="L140" s="92">
        <v>7.6199999999999998E-4</v>
      </c>
      <c r="M140" s="92">
        <v>7.5299999999999998E-4</v>
      </c>
      <c r="N140" s="92">
        <v>7.4299999999999995E-4</v>
      </c>
      <c r="O140" s="92">
        <v>7.3300000000000004E-4</v>
      </c>
      <c r="P140" s="92">
        <v>7.2199999999999999E-4</v>
      </c>
      <c r="Q140" s="92">
        <v>7.1100000000000004E-4</v>
      </c>
      <c r="R140" s="92">
        <v>6.9899999999999997E-4</v>
      </c>
      <c r="S140" s="92">
        <v>6.8599999999999998E-4</v>
      </c>
      <c r="T140" s="92">
        <v>6.7299999999999999E-4</v>
      </c>
      <c r="U140" s="92">
        <v>6.6E-4</v>
      </c>
      <c r="V140" s="92">
        <v>6.4599999999999998E-4</v>
      </c>
      <c r="W140" s="92">
        <v>6.3199999999999997E-4</v>
      </c>
      <c r="X140" s="92">
        <v>6.1700000000000004E-4</v>
      </c>
      <c r="Y140" s="92">
        <v>6.02E-4</v>
      </c>
      <c r="Z140" s="92">
        <v>5.8699999999999996E-4</v>
      </c>
      <c r="AA140" s="92">
        <v>5.6400000000000005E-4</v>
      </c>
      <c r="AB140" s="92">
        <v>5.2999999999999998E-4</v>
      </c>
      <c r="AC140" s="92">
        <v>4.8200000000000001E-4</v>
      </c>
      <c r="AD140" s="92">
        <v>4.2700000000000002E-4</v>
      </c>
      <c r="AE140" s="92">
        <v>3.5799999999999997E-4</v>
      </c>
      <c r="AF140" s="89">
        <v>-2.8745E-2</v>
      </c>
      <c r="AG140" s="80"/>
    </row>
    <row r="141" spans="1:33" ht="12" customHeight="1" x14ac:dyDescent="0.25">
      <c r="A141" s="78" t="s">
        <v>438</v>
      </c>
      <c r="B141" s="87" t="s">
        <v>316</v>
      </c>
      <c r="C141" s="92">
        <v>0.228495</v>
      </c>
      <c r="D141" s="92">
        <v>0.23946799999999999</v>
      </c>
      <c r="E141" s="92">
        <v>0.25094</v>
      </c>
      <c r="F141" s="92">
        <v>0.26208999999999999</v>
      </c>
      <c r="G141" s="92">
        <v>0.27283400000000002</v>
      </c>
      <c r="H141" s="92">
        <v>0.28325600000000001</v>
      </c>
      <c r="I141" s="92">
        <v>0.29306500000000002</v>
      </c>
      <c r="J141" s="92">
        <v>0.30256499999999997</v>
      </c>
      <c r="K141" s="92">
        <v>0.311807</v>
      </c>
      <c r="L141" s="92">
        <v>0.32098700000000002</v>
      </c>
      <c r="M141" s="92">
        <v>0.32999000000000001</v>
      </c>
      <c r="N141" s="92">
        <v>0.33899699999999999</v>
      </c>
      <c r="O141" s="92">
        <v>0.34797400000000001</v>
      </c>
      <c r="P141" s="92">
        <v>0.35700599999999999</v>
      </c>
      <c r="Q141" s="92">
        <v>0.36603000000000002</v>
      </c>
      <c r="R141" s="92">
        <v>0.37504999999999999</v>
      </c>
      <c r="S141" s="92">
        <v>0.38404199999999999</v>
      </c>
      <c r="T141" s="92">
        <v>0.39302700000000002</v>
      </c>
      <c r="U141" s="92">
        <v>0.402001</v>
      </c>
      <c r="V141" s="92">
        <v>0.41092400000000001</v>
      </c>
      <c r="W141" s="92">
        <v>0.419794</v>
      </c>
      <c r="X141" s="92">
        <v>0.42865399999999998</v>
      </c>
      <c r="Y141" s="92">
        <v>0.43625900000000001</v>
      </c>
      <c r="Z141" s="92">
        <v>0.44089800000000001</v>
      </c>
      <c r="AA141" s="92">
        <v>0.44327499999999997</v>
      </c>
      <c r="AB141" s="92">
        <v>0.44412699999999999</v>
      </c>
      <c r="AC141" s="92">
        <v>0.44450499999999998</v>
      </c>
      <c r="AD141" s="92">
        <v>0.44182100000000002</v>
      </c>
      <c r="AE141" s="92">
        <v>0.43831300000000001</v>
      </c>
      <c r="AF141" s="89">
        <v>2.3538E-2</v>
      </c>
      <c r="AG141" s="80"/>
    </row>
    <row r="142" spans="1:33" ht="12" customHeight="1" x14ac:dyDescent="0.25">
      <c r="A142" s="78" t="s">
        <v>439</v>
      </c>
      <c r="B142" s="87" t="s">
        <v>318</v>
      </c>
      <c r="C142" s="92">
        <v>6.7000000000000002E-5</v>
      </c>
      <c r="D142" s="92">
        <v>6.6000000000000005E-5</v>
      </c>
      <c r="E142" s="92">
        <v>6.4999999999999994E-5</v>
      </c>
      <c r="F142" s="92">
        <v>6.4999999999999994E-5</v>
      </c>
      <c r="G142" s="92">
        <v>6.3999999999999997E-5</v>
      </c>
      <c r="H142" s="92">
        <v>6.3E-5</v>
      </c>
      <c r="I142" s="92">
        <v>6.2000000000000003E-5</v>
      </c>
      <c r="J142" s="92">
        <v>6.0999999999999999E-5</v>
      </c>
      <c r="K142" s="92">
        <v>6.0000000000000002E-5</v>
      </c>
      <c r="L142" s="92">
        <v>5.8999999999999998E-5</v>
      </c>
      <c r="M142" s="92">
        <v>5.8E-5</v>
      </c>
      <c r="N142" s="92">
        <v>5.7000000000000003E-5</v>
      </c>
      <c r="O142" s="92">
        <v>5.5999999999999999E-5</v>
      </c>
      <c r="P142" s="92">
        <v>5.5000000000000002E-5</v>
      </c>
      <c r="Q142" s="92">
        <v>5.3999999999999998E-5</v>
      </c>
      <c r="R142" s="92">
        <v>5.3000000000000001E-5</v>
      </c>
      <c r="S142" s="92">
        <v>5.1E-5</v>
      </c>
      <c r="T142" s="92">
        <v>5.0000000000000002E-5</v>
      </c>
      <c r="U142" s="92">
        <v>4.8999999999999998E-5</v>
      </c>
      <c r="V142" s="92">
        <v>4.6999999999999997E-5</v>
      </c>
      <c r="W142" s="92">
        <v>4.6E-5</v>
      </c>
      <c r="X142" s="92">
        <v>4.5000000000000003E-5</v>
      </c>
      <c r="Y142" s="92">
        <v>3.6000000000000001E-5</v>
      </c>
      <c r="Z142" s="92">
        <v>2.5000000000000001E-5</v>
      </c>
      <c r="AA142" s="92">
        <v>1.8E-5</v>
      </c>
      <c r="AB142" s="92">
        <v>1.2E-5</v>
      </c>
      <c r="AC142" s="92">
        <v>9.0000000000000002E-6</v>
      </c>
      <c r="AD142" s="92">
        <v>6.0000000000000002E-6</v>
      </c>
      <c r="AE142" s="92">
        <v>3.9999999999999998E-6</v>
      </c>
      <c r="AF142" s="89">
        <v>-9.3524999999999997E-2</v>
      </c>
      <c r="AG142" s="80"/>
    </row>
    <row r="143" spans="1:33" ht="12" customHeight="1" x14ac:dyDescent="0.25">
      <c r="A143" s="78" t="s">
        <v>440</v>
      </c>
      <c r="B143" s="87" t="s">
        <v>320</v>
      </c>
      <c r="C143" s="92">
        <v>0</v>
      </c>
      <c r="D143" s="92">
        <v>3.1599999999999998E-4</v>
      </c>
      <c r="E143" s="92">
        <v>6.4700000000000001E-4</v>
      </c>
      <c r="F143" s="92">
        <v>9.8799999999999995E-4</v>
      </c>
      <c r="G143" s="92">
        <v>1.3370000000000001E-3</v>
      </c>
      <c r="H143" s="92">
        <v>1.6949999999999999E-3</v>
      </c>
      <c r="I143" s="92">
        <v>2.0669999999999998E-3</v>
      </c>
      <c r="J143" s="92">
        <v>2.4559999999999998E-3</v>
      </c>
      <c r="K143" s="92">
        <v>2.8660000000000001E-3</v>
      </c>
      <c r="L143" s="92">
        <v>3.3E-3</v>
      </c>
      <c r="M143" s="92">
        <v>3.7629999999999999E-3</v>
      </c>
      <c r="N143" s="92">
        <v>4.2560000000000002E-3</v>
      </c>
      <c r="O143" s="92">
        <v>4.7840000000000001E-3</v>
      </c>
      <c r="P143" s="92">
        <v>5.3569999999999998E-3</v>
      </c>
      <c r="Q143" s="92">
        <v>5.9829999999999996E-3</v>
      </c>
      <c r="R143" s="92">
        <v>6.6709999999999998E-3</v>
      </c>
      <c r="S143" s="92">
        <v>7.4289999999999998E-3</v>
      </c>
      <c r="T143" s="92">
        <v>8.2660000000000008E-3</v>
      </c>
      <c r="U143" s="92">
        <v>9.1909999999999995E-3</v>
      </c>
      <c r="V143" s="92">
        <v>1.0203E-2</v>
      </c>
      <c r="W143" s="92">
        <v>1.1304E-2</v>
      </c>
      <c r="X143" s="92">
        <v>1.2494999999999999E-2</v>
      </c>
      <c r="Y143" s="92">
        <v>1.3772E-2</v>
      </c>
      <c r="Z143" s="92">
        <v>1.5141E-2</v>
      </c>
      <c r="AA143" s="92">
        <v>1.6594999999999999E-2</v>
      </c>
      <c r="AB143" s="92">
        <v>1.8123E-2</v>
      </c>
      <c r="AC143" s="92">
        <v>1.9715E-2</v>
      </c>
      <c r="AD143" s="92">
        <v>2.1368000000000002E-2</v>
      </c>
      <c r="AE143" s="92">
        <v>2.308E-2</v>
      </c>
      <c r="AF143" s="89" t="s">
        <v>321</v>
      </c>
      <c r="AG143" s="80"/>
    </row>
    <row r="144" spans="1:33" ht="12" customHeight="1" x14ac:dyDescent="0.25">
      <c r="A144" s="78" t="s">
        <v>441</v>
      </c>
      <c r="B144" s="87" t="s">
        <v>323</v>
      </c>
      <c r="C144" s="92">
        <v>0</v>
      </c>
      <c r="D144" s="92">
        <v>3.2899999999999997E-4</v>
      </c>
      <c r="E144" s="92">
        <v>6.7400000000000001E-4</v>
      </c>
      <c r="F144" s="92">
        <v>1.024E-3</v>
      </c>
      <c r="G144" s="92">
        <v>1.377E-3</v>
      </c>
      <c r="H144" s="92">
        <v>1.7340000000000001E-3</v>
      </c>
      <c r="I144" s="92">
        <v>2.0950000000000001E-3</v>
      </c>
      <c r="J144" s="92">
        <v>2.467E-3</v>
      </c>
      <c r="K144" s="92">
        <v>2.856E-3</v>
      </c>
      <c r="L144" s="92">
        <v>3.2680000000000001E-3</v>
      </c>
      <c r="M144" s="92">
        <v>3.7100000000000002E-3</v>
      </c>
      <c r="N144" s="92">
        <v>4.1869999999999997E-3</v>
      </c>
      <c r="O144" s="92">
        <v>4.705E-3</v>
      </c>
      <c r="P144" s="92">
        <v>5.2760000000000003E-3</v>
      </c>
      <c r="Q144" s="92">
        <v>5.9090000000000002E-3</v>
      </c>
      <c r="R144" s="92">
        <v>6.6140000000000001E-3</v>
      </c>
      <c r="S144" s="92">
        <v>7.4009999999999996E-3</v>
      </c>
      <c r="T144" s="92">
        <v>8.2810000000000002E-3</v>
      </c>
      <c r="U144" s="92">
        <v>9.2630000000000004E-3</v>
      </c>
      <c r="V144" s="92">
        <v>1.0349000000000001E-2</v>
      </c>
      <c r="W144" s="92">
        <v>1.1542999999999999E-2</v>
      </c>
      <c r="X144" s="92">
        <v>1.2847000000000001E-2</v>
      </c>
      <c r="Y144" s="92">
        <v>1.4251E-2</v>
      </c>
      <c r="Z144" s="92">
        <v>1.5765000000000001E-2</v>
      </c>
      <c r="AA144" s="92">
        <v>1.7374000000000001E-2</v>
      </c>
      <c r="AB144" s="92">
        <v>1.9071000000000001E-2</v>
      </c>
      <c r="AC144" s="92">
        <v>2.0840999999999998E-2</v>
      </c>
      <c r="AD144" s="92">
        <v>2.2685E-2</v>
      </c>
      <c r="AE144" s="92">
        <v>2.4594000000000001E-2</v>
      </c>
      <c r="AF144" s="89" t="s">
        <v>321</v>
      </c>
      <c r="AG144" s="80"/>
    </row>
    <row r="145" spans="1:33" ht="12" customHeight="1" x14ac:dyDescent="0.25">
      <c r="A145" s="78" t="s">
        <v>442</v>
      </c>
      <c r="B145" s="87" t="s">
        <v>325</v>
      </c>
      <c r="C145" s="92">
        <v>0</v>
      </c>
      <c r="D145" s="92">
        <v>0</v>
      </c>
      <c r="E145" s="92">
        <v>0</v>
      </c>
      <c r="F145" s="92">
        <v>0</v>
      </c>
      <c r="G145" s="92">
        <v>0</v>
      </c>
      <c r="H145" s="92">
        <v>0</v>
      </c>
      <c r="I145" s="92">
        <v>9.9999999999999995E-7</v>
      </c>
      <c r="J145" s="92">
        <v>9.9999999999999995E-7</v>
      </c>
      <c r="K145" s="92">
        <v>9.9999999999999995E-7</v>
      </c>
      <c r="L145" s="92">
        <v>9.9999999999999995E-7</v>
      </c>
      <c r="M145" s="92">
        <v>9.9999999999999995E-7</v>
      </c>
      <c r="N145" s="92">
        <v>9.9999999999999995E-7</v>
      </c>
      <c r="O145" s="92">
        <v>9.9999999999999995E-7</v>
      </c>
      <c r="P145" s="92">
        <v>9.9999999999999995E-7</v>
      </c>
      <c r="Q145" s="92">
        <v>9.9999999999999995E-7</v>
      </c>
      <c r="R145" s="92">
        <v>9.9999999999999995E-7</v>
      </c>
      <c r="S145" s="92">
        <v>1.9999999999999999E-6</v>
      </c>
      <c r="T145" s="92">
        <v>1.9999999999999999E-6</v>
      </c>
      <c r="U145" s="92">
        <v>1.9999999999999999E-6</v>
      </c>
      <c r="V145" s="92">
        <v>1.9999999999999999E-6</v>
      </c>
      <c r="W145" s="92">
        <v>1.9999999999999999E-6</v>
      </c>
      <c r="X145" s="92">
        <v>1.9999999999999999E-6</v>
      </c>
      <c r="Y145" s="92">
        <v>1.9999999999999999E-6</v>
      </c>
      <c r="Z145" s="92">
        <v>1.9999999999999999E-6</v>
      </c>
      <c r="AA145" s="92">
        <v>1.9999999999999999E-6</v>
      </c>
      <c r="AB145" s="92">
        <v>1.9999999999999999E-6</v>
      </c>
      <c r="AC145" s="92">
        <v>1.9999999999999999E-6</v>
      </c>
      <c r="AD145" s="92">
        <v>1.9999999999999999E-6</v>
      </c>
      <c r="AE145" s="92">
        <v>1.9999999999999999E-6</v>
      </c>
      <c r="AF145" s="89" t="s">
        <v>321</v>
      </c>
      <c r="AG145" s="80"/>
    </row>
    <row r="146" spans="1:33" ht="12" customHeight="1" x14ac:dyDescent="0.25">
      <c r="A146" s="78" t="s">
        <v>443</v>
      </c>
      <c r="B146" s="87" t="s">
        <v>327</v>
      </c>
      <c r="C146" s="92">
        <v>4.5572350000000004</v>
      </c>
      <c r="D146" s="92">
        <v>4.7290020000000004</v>
      </c>
      <c r="E146" s="92">
        <v>4.9127999999999998</v>
      </c>
      <c r="F146" s="92">
        <v>5.1043260000000004</v>
      </c>
      <c r="G146" s="92">
        <v>5.2971899999999996</v>
      </c>
      <c r="H146" s="92">
        <v>5.487355</v>
      </c>
      <c r="I146" s="92">
        <v>5.6725500000000002</v>
      </c>
      <c r="J146" s="92">
        <v>5.8529099999999996</v>
      </c>
      <c r="K146" s="92">
        <v>6.02935</v>
      </c>
      <c r="L146" s="92">
        <v>6.2002790000000001</v>
      </c>
      <c r="M146" s="92">
        <v>6.3694100000000002</v>
      </c>
      <c r="N146" s="92">
        <v>6.5280370000000003</v>
      </c>
      <c r="O146" s="92">
        <v>6.6825029999999996</v>
      </c>
      <c r="P146" s="92">
        <v>6.8328829999999998</v>
      </c>
      <c r="Q146" s="92">
        <v>6.9851679999999998</v>
      </c>
      <c r="R146" s="92">
        <v>7.1385949999999996</v>
      </c>
      <c r="S146" s="92">
        <v>7.2927179999999998</v>
      </c>
      <c r="T146" s="92">
        <v>7.444204</v>
      </c>
      <c r="U146" s="92">
        <v>7.5930559999999998</v>
      </c>
      <c r="V146" s="92">
        <v>7.7457929999999999</v>
      </c>
      <c r="W146" s="92">
        <v>7.8962500000000002</v>
      </c>
      <c r="X146" s="92">
        <v>8.0561190000000007</v>
      </c>
      <c r="Y146" s="92">
        <v>8.2237679999999997</v>
      </c>
      <c r="Z146" s="92">
        <v>8.3889849999999999</v>
      </c>
      <c r="AA146" s="92">
        <v>8.5504960000000008</v>
      </c>
      <c r="AB146" s="92">
        <v>8.7149520000000003</v>
      </c>
      <c r="AC146" s="92">
        <v>8.8794520000000006</v>
      </c>
      <c r="AD146" s="92">
        <v>9.0347190000000008</v>
      </c>
      <c r="AE146" s="92">
        <v>9.1874509999999994</v>
      </c>
      <c r="AF146" s="89">
        <v>2.5356E-2</v>
      </c>
      <c r="AG146" s="80"/>
    </row>
    <row r="147" spans="1:33" ht="12" customHeight="1" x14ac:dyDescent="0.25">
      <c r="B147" s="86" t="s">
        <v>328</v>
      </c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</row>
    <row r="148" spans="1:33" ht="12" customHeight="1" x14ac:dyDescent="0.25">
      <c r="A148" s="78" t="s">
        <v>444</v>
      </c>
      <c r="B148" s="87" t="s">
        <v>308</v>
      </c>
      <c r="C148" s="92">
        <v>2.2437369999999999</v>
      </c>
      <c r="D148" s="92">
        <v>2.286295</v>
      </c>
      <c r="E148" s="92">
        <v>2.3282590000000001</v>
      </c>
      <c r="F148" s="92">
        <v>2.3705020000000001</v>
      </c>
      <c r="G148" s="92">
        <v>2.414231</v>
      </c>
      <c r="H148" s="92">
        <v>2.4601289999999998</v>
      </c>
      <c r="I148" s="92">
        <v>2.5065369999999998</v>
      </c>
      <c r="J148" s="92">
        <v>2.5488789999999999</v>
      </c>
      <c r="K148" s="92">
        <v>2.5876809999999999</v>
      </c>
      <c r="L148" s="92">
        <v>2.6220119999999998</v>
      </c>
      <c r="M148" s="92">
        <v>2.655789</v>
      </c>
      <c r="N148" s="92">
        <v>2.685311</v>
      </c>
      <c r="O148" s="92">
        <v>2.7116950000000002</v>
      </c>
      <c r="P148" s="92">
        <v>2.7389969999999999</v>
      </c>
      <c r="Q148" s="92">
        <v>2.7686130000000002</v>
      </c>
      <c r="R148" s="92">
        <v>2.7995800000000002</v>
      </c>
      <c r="S148" s="92">
        <v>2.8301050000000001</v>
      </c>
      <c r="T148" s="92">
        <v>2.8587389999999999</v>
      </c>
      <c r="U148" s="92">
        <v>2.8855249999999999</v>
      </c>
      <c r="V148" s="92">
        <v>2.9108130000000001</v>
      </c>
      <c r="W148" s="92">
        <v>2.9366029999999999</v>
      </c>
      <c r="X148" s="92">
        <v>2.96862</v>
      </c>
      <c r="Y148" s="92">
        <v>3.0048659999999998</v>
      </c>
      <c r="Z148" s="92">
        <v>3.0403660000000001</v>
      </c>
      <c r="AA148" s="92">
        <v>3.0729690000000001</v>
      </c>
      <c r="AB148" s="92">
        <v>3.1057389999999998</v>
      </c>
      <c r="AC148" s="92">
        <v>3.1385649999999998</v>
      </c>
      <c r="AD148" s="92">
        <v>3.1691940000000001</v>
      </c>
      <c r="AE148" s="92">
        <v>3.1979829999999998</v>
      </c>
      <c r="AF148" s="89">
        <v>1.2737E-2</v>
      </c>
      <c r="AG148" s="80"/>
    </row>
    <row r="149" spans="1:33" ht="12" customHeight="1" x14ac:dyDescent="0.25">
      <c r="A149" s="78" t="s">
        <v>445</v>
      </c>
      <c r="B149" s="87" t="s">
        <v>310</v>
      </c>
      <c r="C149" s="92">
        <v>1.5028010000000001</v>
      </c>
      <c r="D149" s="92">
        <v>1.5106599999999999</v>
      </c>
      <c r="E149" s="92">
        <v>1.521682</v>
      </c>
      <c r="F149" s="92">
        <v>1.536027</v>
      </c>
      <c r="G149" s="92">
        <v>1.553299</v>
      </c>
      <c r="H149" s="92">
        <v>1.5740670000000001</v>
      </c>
      <c r="I149" s="92">
        <v>1.595553</v>
      </c>
      <c r="J149" s="92">
        <v>1.615586</v>
      </c>
      <c r="K149" s="92">
        <v>1.634533</v>
      </c>
      <c r="L149" s="92">
        <v>1.6496409999999999</v>
      </c>
      <c r="M149" s="92">
        <v>1.6660779999999999</v>
      </c>
      <c r="N149" s="92">
        <v>1.679308</v>
      </c>
      <c r="O149" s="92">
        <v>1.691457</v>
      </c>
      <c r="P149" s="92">
        <v>1.7060569999999999</v>
      </c>
      <c r="Q149" s="92">
        <v>1.72157</v>
      </c>
      <c r="R149" s="92">
        <v>1.7378290000000001</v>
      </c>
      <c r="S149" s="92">
        <v>1.753844</v>
      </c>
      <c r="T149" s="92">
        <v>1.770923</v>
      </c>
      <c r="U149" s="92">
        <v>1.786276</v>
      </c>
      <c r="V149" s="92">
        <v>1.802689</v>
      </c>
      <c r="W149" s="92">
        <v>1.8201099999999999</v>
      </c>
      <c r="X149" s="92">
        <v>1.840473</v>
      </c>
      <c r="Y149" s="92">
        <v>1.862393</v>
      </c>
      <c r="Z149" s="92">
        <v>1.8824430000000001</v>
      </c>
      <c r="AA149" s="92">
        <v>1.900587</v>
      </c>
      <c r="AB149" s="92">
        <v>1.9178740000000001</v>
      </c>
      <c r="AC149" s="92">
        <v>1.9347449999999999</v>
      </c>
      <c r="AD149" s="92">
        <v>1.9508810000000001</v>
      </c>
      <c r="AE149" s="92">
        <v>1.9650270000000001</v>
      </c>
      <c r="AF149" s="89">
        <v>9.6240000000000006E-3</v>
      </c>
      <c r="AG149" s="80"/>
    </row>
    <row r="150" spans="1:33" ht="15" customHeight="1" x14ac:dyDescent="0.25">
      <c r="A150" s="78" t="s">
        <v>446</v>
      </c>
      <c r="B150" s="87" t="s">
        <v>312</v>
      </c>
      <c r="C150" s="92">
        <v>2.4919999999999999E-3</v>
      </c>
      <c r="D150" s="92">
        <v>2.5119999999999999E-3</v>
      </c>
      <c r="E150" s="92">
        <v>2.565E-3</v>
      </c>
      <c r="F150" s="92">
        <v>2.6389999999999999E-3</v>
      </c>
      <c r="G150" s="92">
        <v>2.7409999999999999E-3</v>
      </c>
      <c r="H150" s="92">
        <v>2.8609999999999998E-3</v>
      </c>
      <c r="I150" s="92">
        <v>2.9970000000000001E-3</v>
      </c>
      <c r="J150" s="92">
        <v>3.1280000000000001E-3</v>
      </c>
      <c r="K150" s="92">
        <v>3.2650000000000001E-3</v>
      </c>
      <c r="L150" s="92">
        <v>3.4060000000000002E-3</v>
      </c>
      <c r="M150" s="92">
        <v>3.5660000000000002E-3</v>
      </c>
      <c r="N150" s="92">
        <v>3.7569999999999999E-3</v>
      </c>
      <c r="O150" s="92">
        <v>3.9490000000000003E-3</v>
      </c>
      <c r="P150" s="92">
        <v>4.1520000000000003E-3</v>
      </c>
      <c r="Q150" s="92">
        <v>4.3949999999999996E-3</v>
      </c>
      <c r="R150" s="92">
        <v>4.6769999999999997E-3</v>
      </c>
      <c r="S150" s="92">
        <v>4.9950000000000003E-3</v>
      </c>
      <c r="T150" s="92">
        <v>5.3480000000000003E-3</v>
      </c>
      <c r="U150" s="92">
        <v>5.7359999999999998E-3</v>
      </c>
      <c r="V150" s="92">
        <v>6.1580000000000003E-3</v>
      </c>
      <c r="W150" s="92">
        <v>6.6080000000000002E-3</v>
      </c>
      <c r="X150" s="92">
        <v>7.0899999999999999E-3</v>
      </c>
      <c r="Y150" s="92">
        <v>7.5950000000000002E-3</v>
      </c>
      <c r="Z150" s="92">
        <v>8.116E-3</v>
      </c>
      <c r="AA150" s="92">
        <v>8.6529999999999992E-3</v>
      </c>
      <c r="AB150" s="92">
        <v>9.2040000000000004E-3</v>
      </c>
      <c r="AC150" s="92">
        <v>9.7710000000000002E-3</v>
      </c>
      <c r="AD150" s="92">
        <v>1.0267999999999999E-2</v>
      </c>
      <c r="AE150" s="92">
        <v>1.0788000000000001E-2</v>
      </c>
      <c r="AF150" s="89">
        <v>5.3726999999999997E-2</v>
      </c>
      <c r="AG150" s="80"/>
    </row>
    <row r="151" spans="1:33" ht="15" customHeight="1" x14ac:dyDescent="0.25">
      <c r="A151" s="78" t="s">
        <v>447</v>
      </c>
      <c r="B151" s="87" t="s">
        <v>314</v>
      </c>
      <c r="C151" s="92">
        <v>2.4350000000000001E-3</v>
      </c>
      <c r="D151" s="92">
        <v>2.467E-3</v>
      </c>
      <c r="E151" s="92">
        <v>2.4859999999999999E-3</v>
      </c>
      <c r="F151" s="92">
        <v>2.493E-3</v>
      </c>
      <c r="G151" s="92">
        <v>2.4880000000000002E-3</v>
      </c>
      <c r="H151" s="92">
        <v>2.4729999999999999E-3</v>
      </c>
      <c r="I151" s="92">
        <v>2.4499999999999999E-3</v>
      </c>
      <c r="J151" s="92">
        <v>2.4160000000000002E-3</v>
      </c>
      <c r="K151" s="92">
        <v>2.3749999999999999E-3</v>
      </c>
      <c r="L151" s="92">
        <v>2.3249999999999998E-3</v>
      </c>
      <c r="M151" s="92">
        <v>2.2680000000000001E-3</v>
      </c>
      <c r="N151" s="92">
        <v>2.2060000000000001E-3</v>
      </c>
      <c r="O151" s="92">
        <v>2.137E-3</v>
      </c>
      <c r="P151" s="92">
        <v>2.062E-3</v>
      </c>
      <c r="Q151" s="92">
        <v>1.977E-3</v>
      </c>
      <c r="R151" s="92">
        <v>1.89E-3</v>
      </c>
      <c r="S151" s="92">
        <v>1.802E-3</v>
      </c>
      <c r="T151" s="92">
        <v>1.719E-3</v>
      </c>
      <c r="U151" s="92">
        <v>1.6410000000000001E-3</v>
      </c>
      <c r="V151" s="92">
        <v>1.5510000000000001E-3</v>
      </c>
      <c r="W151" s="92">
        <v>1.47E-3</v>
      </c>
      <c r="X151" s="92">
        <v>1.3649999999999999E-3</v>
      </c>
      <c r="Y151" s="92">
        <v>1.2509999999999999E-3</v>
      </c>
      <c r="Z151" s="92">
        <v>1.158E-3</v>
      </c>
      <c r="AA151" s="92">
        <v>1.077E-3</v>
      </c>
      <c r="AB151" s="92">
        <v>9.9200000000000004E-4</v>
      </c>
      <c r="AC151" s="92">
        <v>9.0200000000000002E-4</v>
      </c>
      <c r="AD151" s="92">
        <v>8.1999999999999998E-4</v>
      </c>
      <c r="AE151" s="92">
        <v>7.5000000000000002E-4</v>
      </c>
      <c r="AF151" s="89">
        <v>-4.1189000000000003E-2</v>
      </c>
      <c r="AG151" s="80"/>
    </row>
    <row r="152" spans="1:33" ht="15" customHeight="1" x14ac:dyDescent="0.25">
      <c r="A152" s="78" t="s">
        <v>448</v>
      </c>
      <c r="B152" s="87" t="s">
        <v>316</v>
      </c>
      <c r="C152" s="92">
        <v>3.3721000000000001E-2</v>
      </c>
      <c r="D152" s="92">
        <v>3.7009E-2</v>
      </c>
      <c r="E152" s="92">
        <v>4.0771000000000002E-2</v>
      </c>
      <c r="F152" s="92">
        <v>4.4796000000000002E-2</v>
      </c>
      <c r="G152" s="92">
        <v>4.9252999999999998E-2</v>
      </c>
      <c r="H152" s="92">
        <v>5.4266000000000002E-2</v>
      </c>
      <c r="I152" s="92">
        <v>5.9671000000000002E-2</v>
      </c>
      <c r="J152" s="92">
        <v>6.5405000000000005E-2</v>
      </c>
      <c r="K152" s="92">
        <v>7.1421999999999999E-2</v>
      </c>
      <c r="L152" s="92">
        <v>7.7891000000000002E-2</v>
      </c>
      <c r="M152" s="92">
        <v>8.4977999999999998E-2</v>
      </c>
      <c r="N152" s="92">
        <v>9.2817999999999998E-2</v>
      </c>
      <c r="O152" s="92">
        <v>0.101296</v>
      </c>
      <c r="P152" s="92">
        <v>0.11043600000000001</v>
      </c>
      <c r="Q152" s="92">
        <v>0.120042</v>
      </c>
      <c r="R152" s="92">
        <v>0.13008800000000001</v>
      </c>
      <c r="S152" s="92">
        <v>0.140457</v>
      </c>
      <c r="T152" s="92">
        <v>0.15113299999999999</v>
      </c>
      <c r="U152" s="92">
        <v>0.16206599999999999</v>
      </c>
      <c r="V152" s="92">
        <v>0.17324300000000001</v>
      </c>
      <c r="W152" s="92">
        <v>0.184556</v>
      </c>
      <c r="X152" s="92">
        <v>0.19605900000000001</v>
      </c>
      <c r="Y152" s="92">
        <v>0.20741200000000001</v>
      </c>
      <c r="Z152" s="92">
        <v>0.21848600000000001</v>
      </c>
      <c r="AA152" s="92">
        <v>0.22906399999999999</v>
      </c>
      <c r="AB152" s="92">
        <v>0.239314</v>
      </c>
      <c r="AC152" s="92">
        <v>0.24909800000000001</v>
      </c>
      <c r="AD152" s="92">
        <v>0.25861600000000001</v>
      </c>
      <c r="AE152" s="92">
        <v>0.26780399999999999</v>
      </c>
      <c r="AF152" s="89">
        <v>7.6813000000000006E-2</v>
      </c>
      <c r="AG152" s="80"/>
    </row>
    <row r="153" spans="1:33" ht="15" customHeight="1" x14ac:dyDescent="0.25">
      <c r="A153" s="78" t="s">
        <v>449</v>
      </c>
      <c r="B153" s="87" t="s">
        <v>318</v>
      </c>
      <c r="C153" s="92">
        <v>2.4399999999999999E-4</v>
      </c>
      <c r="D153" s="92">
        <v>3.0200000000000002E-4</v>
      </c>
      <c r="E153" s="92">
        <v>3.5399999999999999E-4</v>
      </c>
      <c r="F153" s="92">
        <v>3.9800000000000002E-4</v>
      </c>
      <c r="G153" s="92">
        <v>4.3800000000000002E-4</v>
      </c>
      <c r="H153" s="92">
        <v>4.7199999999999998E-4</v>
      </c>
      <c r="I153" s="92">
        <v>5.0199999999999995E-4</v>
      </c>
      <c r="J153" s="92">
        <v>5.2599999999999999E-4</v>
      </c>
      <c r="K153" s="92">
        <v>5.4500000000000002E-4</v>
      </c>
      <c r="L153" s="92">
        <v>5.5900000000000004E-4</v>
      </c>
      <c r="M153" s="92">
        <v>5.6899999999999995E-4</v>
      </c>
      <c r="N153" s="92">
        <v>5.7600000000000001E-4</v>
      </c>
      <c r="O153" s="92">
        <v>5.7899999999999998E-4</v>
      </c>
      <c r="P153" s="92">
        <v>5.7899999999999998E-4</v>
      </c>
      <c r="Q153" s="92">
        <v>5.7700000000000004E-4</v>
      </c>
      <c r="R153" s="92">
        <v>5.71E-4</v>
      </c>
      <c r="S153" s="92">
        <v>5.6300000000000002E-4</v>
      </c>
      <c r="T153" s="92">
        <v>5.53E-4</v>
      </c>
      <c r="U153" s="92">
        <v>5.4100000000000003E-4</v>
      </c>
      <c r="V153" s="92">
        <v>5.2800000000000004E-4</v>
      </c>
      <c r="W153" s="92">
        <v>5.13E-4</v>
      </c>
      <c r="X153" s="92">
        <v>4.9700000000000005E-4</v>
      </c>
      <c r="Y153" s="92">
        <v>4.8000000000000001E-4</v>
      </c>
      <c r="Z153" s="92">
        <v>4.6200000000000001E-4</v>
      </c>
      <c r="AA153" s="92">
        <v>4.44E-4</v>
      </c>
      <c r="AB153" s="92">
        <v>4.26E-4</v>
      </c>
      <c r="AC153" s="92">
        <v>4.08E-4</v>
      </c>
      <c r="AD153" s="92">
        <v>3.8900000000000002E-4</v>
      </c>
      <c r="AE153" s="92">
        <v>3.7100000000000002E-4</v>
      </c>
      <c r="AF153" s="89">
        <v>1.5082E-2</v>
      </c>
      <c r="AG153" s="80"/>
    </row>
    <row r="154" spans="1:33" ht="15" customHeight="1" x14ac:dyDescent="0.25">
      <c r="A154" s="78" t="s">
        <v>450</v>
      </c>
      <c r="B154" s="87" t="s">
        <v>320</v>
      </c>
      <c r="C154" s="92">
        <v>0</v>
      </c>
      <c r="D154" s="92">
        <v>0</v>
      </c>
      <c r="E154" s="92">
        <v>2.2499999999999999E-4</v>
      </c>
      <c r="F154" s="92">
        <v>4.5199999999999998E-4</v>
      </c>
      <c r="G154" s="92">
        <v>6.8199999999999999E-4</v>
      </c>
      <c r="H154" s="92">
        <v>9.2100000000000005E-4</v>
      </c>
      <c r="I154" s="92">
        <v>1.1659999999999999E-3</v>
      </c>
      <c r="J154" s="92">
        <v>1.413E-3</v>
      </c>
      <c r="K154" s="92">
        <v>1.6570000000000001E-3</v>
      </c>
      <c r="L154" s="92">
        <v>1.9009999999999999E-3</v>
      </c>
      <c r="M154" s="92">
        <v>2.1510000000000001E-3</v>
      </c>
      <c r="N154" s="92">
        <v>2.4130000000000002E-3</v>
      </c>
      <c r="O154" s="92">
        <v>2.6849999999999999E-3</v>
      </c>
      <c r="P154" s="92">
        <v>2.9680000000000002E-3</v>
      </c>
      <c r="Q154" s="92">
        <v>3.264E-3</v>
      </c>
      <c r="R154" s="92">
        <v>3.5739999999999999E-3</v>
      </c>
      <c r="S154" s="92">
        <v>3.8990000000000001E-3</v>
      </c>
      <c r="T154" s="92">
        <v>4.241E-3</v>
      </c>
      <c r="U154" s="92">
        <v>4.6030000000000003E-3</v>
      </c>
      <c r="V154" s="92">
        <v>4.9880000000000002E-3</v>
      </c>
      <c r="W154" s="92">
        <v>5.3949999999999996E-3</v>
      </c>
      <c r="X154" s="92">
        <v>5.8279999999999998E-3</v>
      </c>
      <c r="Y154" s="92">
        <v>6.2830000000000004E-3</v>
      </c>
      <c r="Z154" s="92">
        <v>6.7559999999999999E-3</v>
      </c>
      <c r="AA154" s="92">
        <v>7.2459999999999998E-3</v>
      </c>
      <c r="AB154" s="92">
        <v>7.757E-3</v>
      </c>
      <c r="AC154" s="92">
        <v>8.2869999999999992E-3</v>
      </c>
      <c r="AD154" s="92">
        <v>8.8350000000000008E-3</v>
      </c>
      <c r="AE154" s="92">
        <v>9.3989999999999994E-3</v>
      </c>
      <c r="AF154" s="89" t="s">
        <v>321</v>
      </c>
      <c r="AG154" s="80"/>
    </row>
    <row r="155" spans="1:33" ht="15" customHeight="1" x14ac:dyDescent="0.25">
      <c r="A155" s="78" t="s">
        <v>451</v>
      </c>
      <c r="B155" s="87" t="s">
        <v>323</v>
      </c>
      <c r="C155" s="92">
        <v>0</v>
      </c>
      <c r="D155" s="92">
        <v>0</v>
      </c>
      <c r="E155" s="92">
        <v>2.1900000000000001E-4</v>
      </c>
      <c r="F155" s="92">
        <v>4.35E-4</v>
      </c>
      <c r="G155" s="92">
        <v>6.5200000000000002E-4</v>
      </c>
      <c r="H155" s="92">
        <v>8.7200000000000005E-4</v>
      </c>
      <c r="I155" s="92">
        <v>1.096E-3</v>
      </c>
      <c r="J155" s="92">
        <v>1.3179999999999999E-3</v>
      </c>
      <c r="K155" s="92">
        <v>1.539E-3</v>
      </c>
      <c r="L155" s="92">
        <v>1.7639999999999999E-3</v>
      </c>
      <c r="M155" s="92">
        <v>2.0010000000000002E-3</v>
      </c>
      <c r="N155" s="92">
        <v>2.2560000000000002E-3</v>
      </c>
      <c r="O155" s="92">
        <v>2.529E-3</v>
      </c>
      <c r="P155" s="92">
        <v>2.8219999999999999E-3</v>
      </c>
      <c r="Q155" s="92">
        <v>3.1380000000000002E-3</v>
      </c>
      <c r="R155" s="92">
        <v>3.48E-3</v>
      </c>
      <c r="S155" s="92">
        <v>3.8500000000000001E-3</v>
      </c>
      <c r="T155" s="92">
        <v>4.2529999999999998E-3</v>
      </c>
      <c r="U155" s="92">
        <v>4.6940000000000003E-3</v>
      </c>
      <c r="V155" s="92">
        <v>5.1770000000000002E-3</v>
      </c>
      <c r="W155" s="92">
        <v>5.7060000000000001E-3</v>
      </c>
      <c r="X155" s="92">
        <v>6.2849999999999998E-3</v>
      </c>
      <c r="Y155" s="92">
        <v>6.9100000000000003E-3</v>
      </c>
      <c r="Z155" s="92">
        <v>7.5719999999999997E-3</v>
      </c>
      <c r="AA155" s="92">
        <v>8.2699999999999996E-3</v>
      </c>
      <c r="AB155" s="92">
        <v>9.0060000000000001E-3</v>
      </c>
      <c r="AC155" s="92">
        <v>9.7789999999999995E-3</v>
      </c>
      <c r="AD155" s="92">
        <v>1.0584E-2</v>
      </c>
      <c r="AE155" s="92">
        <v>1.1415E-2</v>
      </c>
      <c r="AF155" s="89" t="s">
        <v>321</v>
      </c>
      <c r="AG155" s="80"/>
    </row>
    <row r="156" spans="1:33" ht="15" customHeight="1" x14ac:dyDescent="0.25">
      <c r="A156" s="78" t="s">
        <v>452</v>
      </c>
      <c r="B156" s="87" t="s">
        <v>325</v>
      </c>
      <c r="C156" s="92">
        <v>0</v>
      </c>
      <c r="D156" s="92">
        <v>0</v>
      </c>
      <c r="E156" s="92">
        <v>3.7599999999999998E-4</v>
      </c>
      <c r="F156" s="92">
        <v>7.5799999999999999E-4</v>
      </c>
      <c r="G156" s="92">
        <v>1.1509999999999999E-3</v>
      </c>
      <c r="H156" s="92">
        <v>1.5610000000000001E-3</v>
      </c>
      <c r="I156" s="92">
        <v>1.9840000000000001E-3</v>
      </c>
      <c r="J156" s="92">
        <v>2.4109999999999999E-3</v>
      </c>
      <c r="K156" s="92">
        <v>2.8349999999999998E-3</v>
      </c>
      <c r="L156" s="92">
        <v>3.2590000000000002E-3</v>
      </c>
      <c r="M156" s="92">
        <v>3.692E-3</v>
      </c>
      <c r="N156" s="92">
        <v>4.1390000000000003E-3</v>
      </c>
      <c r="O156" s="92">
        <v>4.6020000000000002E-3</v>
      </c>
      <c r="P156" s="92">
        <v>5.084E-3</v>
      </c>
      <c r="Q156" s="92">
        <v>5.5890000000000002E-3</v>
      </c>
      <c r="R156" s="92">
        <v>6.1209999999999997E-3</v>
      </c>
      <c r="S156" s="92">
        <v>6.6839999999999998E-3</v>
      </c>
      <c r="T156" s="92">
        <v>7.2820000000000003E-3</v>
      </c>
      <c r="U156" s="92">
        <v>7.9209999999999992E-3</v>
      </c>
      <c r="V156" s="92">
        <v>8.6079999999999993E-3</v>
      </c>
      <c r="W156" s="92">
        <v>9.3430000000000006E-3</v>
      </c>
      <c r="X156" s="92">
        <v>1.0130999999999999E-2</v>
      </c>
      <c r="Y156" s="92">
        <v>1.0968E-2</v>
      </c>
      <c r="Z156" s="92">
        <v>1.1842999999999999E-2</v>
      </c>
      <c r="AA156" s="92">
        <v>1.2758E-2</v>
      </c>
      <c r="AB156" s="92">
        <v>1.3715E-2</v>
      </c>
      <c r="AC156" s="92">
        <v>1.4716E-2</v>
      </c>
      <c r="AD156" s="92">
        <v>1.5751999999999999E-2</v>
      </c>
      <c r="AE156" s="92">
        <v>1.6823000000000001E-2</v>
      </c>
      <c r="AF156" s="89" t="s">
        <v>321</v>
      </c>
      <c r="AG156" s="80"/>
    </row>
    <row r="157" spans="1:33" ht="15" customHeight="1" x14ac:dyDescent="0.25">
      <c r="A157" s="78" t="s">
        <v>453</v>
      </c>
      <c r="B157" s="87" t="s">
        <v>339</v>
      </c>
      <c r="C157" s="92">
        <v>3.7854269999999999</v>
      </c>
      <c r="D157" s="92">
        <v>3.8392460000000002</v>
      </c>
      <c r="E157" s="92">
        <v>3.896935</v>
      </c>
      <c r="F157" s="92">
        <v>3.9585020000000002</v>
      </c>
      <c r="G157" s="92">
        <v>4.0249319999999997</v>
      </c>
      <c r="H157" s="92">
        <v>4.097626</v>
      </c>
      <c r="I157" s="92">
        <v>4.1719590000000002</v>
      </c>
      <c r="J157" s="92">
        <v>4.2410829999999997</v>
      </c>
      <c r="K157" s="92">
        <v>4.3058509999999997</v>
      </c>
      <c r="L157" s="92">
        <v>4.3627609999999999</v>
      </c>
      <c r="M157" s="92">
        <v>4.4210929999999999</v>
      </c>
      <c r="N157" s="92">
        <v>4.4727800000000002</v>
      </c>
      <c r="O157" s="92">
        <v>4.5209279999999996</v>
      </c>
      <c r="P157" s="92">
        <v>4.5731520000000003</v>
      </c>
      <c r="Q157" s="92">
        <v>4.6291640000000003</v>
      </c>
      <c r="R157" s="92">
        <v>4.6878130000000002</v>
      </c>
      <c r="S157" s="92">
        <v>4.7462020000000003</v>
      </c>
      <c r="T157" s="92">
        <v>4.8041939999999999</v>
      </c>
      <c r="U157" s="92">
        <v>4.8590020000000003</v>
      </c>
      <c r="V157" s="92">
        <v>4.9137469999999999</v>
      </c>
      <c r="W157" s="92">
        <v>4.9703020000000002</v>
      </c>
      <c r="X157" s="92">
        <v>5.0363410000000002</v>
      </c>
      <c r="Y157" s="92">
        <v>5.1081560000000001</v>
      </c>
      <c r="Z157" s="92">
        <v>5.1772010000000002</v>
      </c>
      <c r="AA157" s="92">
        <v>5.2410680000000003</v>
      </c>
      <c r="AB157" s="92">
        <v>5.3040250000000002</v>
      </c>
      <c r="AC157" s="92">
        <v>5.3662710000000002</v>
      </c>
      <c r="AD157" s="92">
        <v>5.4253349999999996</v>
      </c>
      <c r="AE157" s="92">
        <v>5.4803610000000003</v>
      </c>
      <c r="AF157" s="89">
        <v>1.3302E-2</v>
      </c>
      <c r="AG157" s="80"/>
    </row>
    <row r="158" spans="1:33" ht="15" customHeight="1" x14ac:dyDescent="0.25">
      <c r="B158" s="86" t="s">
        <v>340</v>
      </c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</row>
    <row r="159" spans="1:33" ht="15" customHeight="1" x14ac:dyDescent="0.25">
      <c r="A159" s="78" t="s">
        <v>454</v>
      </c>
      <c r="B159" s="87" t="s">
        <v>308</v>
      </c>
      <c r="C159" s="92">
        <v>5.2064019999999998</v>
      </c>
      <c r="D159" s="92">
        <v>5.2888780000000004</v>
      </c>
      <c r="E159" s="92">
        <v>5.3703010000000004</v>
      </c>
      <c r="F159" s="92">
        <v>5.4525410000000001</v>
      </c>
      <c r="G159" s="92">
        <v>5.5382790000000002</v>
      </c>
      <c r="H159" s="92">
        <v>5.627815</v>
      </c>
      <c r="I159" s="92">
        <v>5.7139410000000002</v>
      </c>
      <c r="J159" s="92">
        <v>5.7869250000000001</v>
      </c>
      <c r="K159" s="92">
        <v>5.8481120000000004</v>
      </c>
      <c r="L159" s="92">
        <v>5.9006040000000004</v>
      </c>
      <c r="M159" s="92">
        <v>5.9465589999999997</v>
      </c>
      <c r="N159" s="92">
        <v>5.9845050000000004</v>
      </c>
      <c r="O159" s="92">
        <v>6.0113009999999996</v>
      </c>
      <c r="P159" s="92">
        <v>6.0395349999999999</v>
      </c>
      <c r="Q159" s="92">
        <v>6.0732929999999996</v>
      </c>
      <c r="R159" s="92">
        <v>6.1074250000000001</v>
      </c>
      <c r="S159" s="92">
        <v>6.1398859999999997</v>
      </c>
      <c r="T159" s="92">
        <v>6.1630339999999997</v>
      </c>
      <c r="U159" s="92">
        <v>6.179583</v>
      </c>
      <c r="V159" s="92">
        <v>6.1844590000000004</v>
      </c>
      <c r="W159" s="92">
        <v>6.1998239999999996</v>
      </c>
      <c r="X159" s="92">
        <v>6.2213029999999998</v>
      </c>
      <c r="Y159" s="92">
        <v>6.2479550000000001</v>
      </c>
      <c r="Z159" s="92">
        <v>6.2727950000000003</v>
      </c>
      <c r="AA159" s="92">
        <v>6.2884719999999996</v>
      </c>
      <c r="AB159" s="92">
        <v>6.2973910000000002</v>
      </c>
      <c r="AC159" s="92">
        <v>6.3017019999999997</v>
      </c>
      <c r="AD159" s="92">
        <v>6.2968999999999999</v>
      </c>
      <c r="AE159" s="92">
        <v>6.2831700000000001</v>
      </c>
      <c r="AF159" s="89">
        <v>6.7359999999999998E-3</v>
      </c>
      <c r="AG159" s="80"/>
    </row>
    <row r="160" spans="1:33" ht="15" customHeight="1" x14ac:dyDescent="0.25">
      <c r="A160" s="78" t="s">
        <v>455</v>
      </c>
      <c r="B160" s="87" t="s">
        <v>310</v>
      </c>
      <c r="C160" s="92">
        <v>4.3720000000000002E-2</v>
      </c>
      <c r="D160" s="92">
        <v>3.9244000000000001E-2</v>
      </c>
      <c r="E160" s="92">
        <v>3.5563999999999998E-2</v>
      </c>
      <c r="F160" s="92">
        <v>3.2551999999999998E-2</v>
      </c>
      <c r="G160" s="92">
        <v>3.0339000000000001E-2</v>
      </c>
      <c r="H160" s="92">
        <v>2.8802999999999999E-2</v>
      </c>
      <c r="I160" s="92">
        <v>2.7737999999999999E-2</v>
      </c>
      <c r="J160" s="92">
        <v>2.6907E-2</v>
      </c>
      <c r="K160" s="92">
        <v>2.6339000000000001E-2</v>
      </c>
      <c r="L160" s="92">
        <v>2.5862E-2</v>
      </c>
      <c r="M160" s="92">
        <v>2.5571E-2</v>
      </c>
      <c r="N160" s="92">
        <v>2.5485000000000001E-2</v>
      </c>
      <c r="O160" s="92">
        <v>2.5562000000000001E-2</v>
      </c>
      <c r="P160" s="92">
        <v>2.5825000000000001E-2</v>
      </c>
      <c r="Q160" s="92">
        <v>2.6147E-2</v>
      </c>
      <c r="R160" s="92">
        <v>2.6608E-2</v>
      </c>
      <c r="S160" s="92">
        <v>2.7149E-2</v>
      </c>
      <c r="T160" s="92">
        <v>2.7682999999999999E-2</v>
      </c>
      <c r="U160" s="92">
        <v>2.8167000000000001E-2</v>
      </c>
      <c r="V160" s="92">
        <v>2.8698999999999999E-2</v>
      </c>
      <c r="W160" s="92">
        <v>2.913E-2</v>
      </c>
      <c r="X160" s="92">
        <v>2.9527000000000001E-2</v>
      </c>
      <c r="Y160" s="92">
        <v>2.9994E-2</v>
      </c>
      <c r="Z160" s="92">
        <v>3.0487E-2</v>
      </c>
      <c r="AA160" s="92">
        <v>3.0977000000000001E-2</v>
      </c>
      <c r="AB160" s="92">
        <v>3.1455999999999998E-2</v>
      </c>
      <c r="AC160" s="92">
        <v>3.1931000000000001E-2</v>
      </c>
      <c r="AD160" s="92">
        <v>3.2369000000000002E-2</v>
      </c>
      <c r="AE160" s="92">
        <v>3.2777000000000001E-2</v>
      </c>
      <c r="AF160" s="89">
        <v>-1.0236E-2</v>
      </c>
      <c r="AG160" s="80"/>
    </row>
    <row r="161" spans="1:33" ht="15" customHeight="1" x14ac:dyDescent="0.25">
      <c r="A161" s="78" t="s">
        <v>456</v>
      </c>
      <c r="B161" s="87" t="s">
        <v>312</v>
      </c>
      <c r="C161" s="92">
        <v>3.2079999999999999E-3</v>
      </c>
      <c r="D161" s="92">
        <v>3.1340000000000001E-3</v>
      </c>
      <c r="E161" s="92">
        <v>3.0799999999999998E-3</v>
      </c>
      <c r="F161" s="92">
        <v>3.0439999999999998E-3</v>
      </c>
      <c r="G161" s="92">
        <v>3.052E-3</v>
      </c>
      <c r="H161" s="92">
        <v>3.0769999999999999E-3</v>
      </c>
      <c r="I161" s="92">
        <v>3.0990000000000002E-3</v>
      </c>
      <c r="J161" s="92">
        <v>3.0829999999999998E-3</v>
      </c>
      <c r="K161" s="92">
        <v>3.075E-3</v>
      </c>
      <c r="L161" s="92">
        <v>3.068E-3</v>
      </c>
      <c r="M161" s="92">
        <v>3.058E-3</v>
      </c>
      <c r="N161" s="92">
        <v>3.0829999999999998E-3</v>
      </c>
      <c r="O161" s="92">
        <v>3.1280000000000001E-3</v>
      </c>
      <c r="P161" s="92">
        <v>3.1879999999999999E-3</v>
      </c>
      <c r="Q161" s="92">
        <v>3.2569999999999999E-3</v>
      </c>
      <c r="R161" s="92">
        <v>3.3300000000000001E-3</v>
      </c>
      <c r="S161" s="92">
        <v>3.405E-3</v>
      </c>
      <c r="T161" s="92">
        <v>3.4789999999999999E-3</v>
      </c>
      <c r="U161" s="92">
        <v>3.5530000000000002E-3</v>
      </c>
      <c r="V161" s="92">
        <v>3.6229999999999999E-3</v>
      </c>
      <c r="W161" s="92">
        <v>3.6909999999999998E-3</v>
      </c>
      <c r="X161" s="92">
        <v>3.7550000000000001E-3</v>
      </c>
      <c r="Y161" s="92">
        <v>3.8159999999999999E-3</v>
      </c>
      <c r="Z161" s="92">
        <v>3.8709999999999999E-3</v>
      </c>
      <c r="AA161" s="92">
        <v>3.921E-3</v>
      </c>
      <c r="AB161" s="92">
        <v>3.967E-3</v>
      </c>
      <c r="AC161" s="92">
        <v>4.0090000000000004E-3</v>
      </c>
      <c r="AD161" s="92">
        <v>4.0270000000000002E-3</v>
      </c>
      <c r="AE161" s="92">
        <v>4.0179999999999999E-3</v>
      </c>
      <c r="AF161" s="89">
        <v>8.071E-3</v>
      </c>
      <c r="AG161" s="80"/>
    </row>
    <row r="162" spans="1:33" ht="15" customHeight="1" x14ac:dyDescent="0.25">
      <c r="A162" s="78" t="s">
        <v>457</v>
      </c>
      <c r="B162" s="87" t="s">
        <v>314</v>
      </c>
      <c r="C162" s="92">
        <v>4.9806000000000003E-2</v>
      </c>
      <c r="D162" s="92">
        <v>5.3505999999999998E-2</v>
      </c>
      <c r="E162" s="92">
        <v>5.7007000000000002E-2</v>
      </c>
      <c r="F162" s="92">
        <v>6.0267000000000001E-2</v>
      </c>
      <c r="G162" s="92">
        <v>6.3335000000000002E-2</v>
      </c>
      <c r="H162" s="92">
        <v>6.6187999999999997E-2</v>
      </c>
      <c r="I162" s="92">
        <v>6.8793000000000007E-2</v>
      </c>
      <c r="J162" s="92">
        <v>7.1056999999999995E-2</v>
      </c>
      <c r="K162" s="92">
        <v>7.2950000000000001E-2</v>
      </c>
      <c r="L162" s="92">
        <v>7.4646000000000004E-2</v>
      </c>
      <c r="M162" s="92">
        <v>7.6287999999999995E-2</v>
      </c>
      <c r="N162" s="92">
        <v>7.7964000000000006E-2</v>
      </c>
      <c r="O162" s="92">
        <v>7.9705999999999999E-2</v>
      </c>
      <c r="P162" s="92">
        <v>8.1534999999999996E-2</v>
      </c>
      <c r="Q162" s="92">
        <v>8.3455000000000001E-2</v>
      </c>
      <c r="R162" s="92">
        <v>8.5483000000000003E-2</v>
      </c>
      <c r="S162" s="92">
        <v>8.7620000000000003E-2</v>
      </c>
      <c r="T162" s="92">
        <v>8.9883000000000005E-2</v>
      </c>
      <c r="U162" s="92">
        <v>9.2301999999999995E-2</v>
      </c>
      <c r="V162" s="92">
        <v>9.4889000000000001E-2</v>
      </c>
      <c r="W162" s="92">
        <v>9.7609000000000001E-2</v>
      </c>
      <c r="X162" s="92">
        <v>0.100438</v>
      </c>
      <c r="Y162" s="92">
        <v>0.103409</v>
      </c>
      <c r="Z162" s="92">
        <v>0.106421</v>
      </c>
      <c r="AA162" s="92">
        <v>0.109391</v>
      </c>
      <c r="AB162" s="92">
        <v>0.112428</v>
      </c>
      <c r="AC162" s="92">
        <v>0.11534700000000001</v>
      </c>
      <c r="AD162" s="92">
        <v>0.11822199999999999</v>
      </c>
      <c r="AE162" s="92">
        <v>0.12117</v>
      </c>
      <c r="AF162" s="89">
        <v>3.2260999999999998E-2</v>
      </c>
      <c r="AG162" s="80"/>
    </row>
    <row r="163" spans="1:33" ht="12" customHeight="1" x14ac:dyDescent="0.25">
      <c r="A163" s="78" t="s">
        <v>458</v>
      </c>
      <c r="B163" s="87" t="s">
        <v>316</v>
      </c>
      <c r="C163" s="92">
        <v>0</v>
      </c>
      <c r="D163" s="92">
        <v>0</v>
      </c>
      <c r="E163" s="92">
        <v>0</v>
      </c>
      <c r="F163" s="92">
        <v>0</v>
      </c>
      <c r="G163" s="92">
        <v>0</v>
      </c>
      <c r="H163" s="92">
        <v>0</v>
      </c>
      <c r="I163" s="92">
        <v>0</v>
      </c>
      <c r="J163" s="92">
        <v>0</v>
      </c>
      <c r="K163" s="92">
        <v>0</v>
      </c>
      <c r="L163" s="92">
        <v>0</v>
      </c>
      <c r="M163" s="92">
        <v>0</v>
      </c>
      <c r="N163" s="92">
        <v>0</v>
      </c>
      <c r="O163" s="92">
        <v>0</v>
      </c>
      <c r="P163" s="92">
        <v>0</v>
      </c>
      <c r="Q163" s="92">
        <v>0</v>
      </c>
      <c r="R163" s="92">
        <v>0</v>
      </c>
      <c r="S163" s="92">
        <v>0</v>
      </c>
      <c r="T163" s="92">
        <v>0</v>
      </c>
      <c r="U163" s="92">
        <v>0</v>
      </c>
      <c r="V163" s="92">
        <v>0</v>
      </c>
      <c r="W163" s="92">
        <v>0</v>
      </c>
      <c r="X163" s="92">
        <v>0</v>
      </c>
      <c r="Y163" s="92">
        <v>0</v>
      </c>
      <c r="Z163" s="92">
        <v>0</v>
      </c>
      <c r="AA163" s="92">
        <v>0</v>
      </c>
      <c r="AB163" s="92">
        <v>0</v>
      </c>
      <c r="AC163" s="92">
        <v>0</v>
      </c>
      <c r="AD163" s="92">
        <v>0</v>
      </c>
      <c r="AE163" s="92">
        <v>0</v>
      </c>
      <c r="AF163" s="89" t="s">
        <v>321</v>
      </c>
      <c r="AG163" s="80"/>
    </row>
    <row r="164" spans="1:33" ht="15" customHeight="1" x14ac:dyDescent="0.25">
      <c r="A164" s="78" t="s">
        <v>459</v>
      </c>
      <c r="B164" s="87" t="s">
        <v>318</v>
      </c>
      <c r="C164" s="92">
        <v>2.13E-4</v>
      </c>
      <c r="D164" s="92">
        <v>2.5500000000000002E-4</v>
      </c>
      <c r="E164" s="92">
        <v>2.92E-4</v>
      </c>
      <c r="F164" s="92">
        <v>3.2400000000000001E-4</v>
      </c>
      <c r="G164" s="92">
        <v>3.5199999999999999E-4</v>
      </c>
      <c r="H164" s="92">
        <v>3.77E-4</v>
      </c>
      <c r="I164" s="92">
        <v>3.9899999999999999E-4</v>
      </c>
      <c r="J164" s="92">
        <v>4.17E-4</v>
      </c>
      <c r="K164" s="92">
        <v>4.3100000000000001E-4</v>
      </c>
      <c r="L164" s="92">
        <v>4.4200000000000001E-4</v>
      </c>
      <c r="M164" s="92">
        <v>4.5100000000000001E-4</v>
      </c>
      <c r="N164" s="92">
        <v>4.57E-4</v>
      </c>
      <c r="O164" s="92">
        <v>4.6200000000000001E-4</v>
      </c>
      <c r="P164" s="92">
        <v>4.64E-4</v>
      </c>
      <c r="Q164" s="92">
        <v>4.64E-4</v>
      </c>
      <c r="R164" s="92">
        <v>4.6299999999999998E-4</v>
      </c>
      <c r="S164" s="92">
        <v>4.5899999999999999E-4</v>
      </c>
      <c r="T164" s="92">
        <v>4.55E-4</v>
      </c>
      <c r="U164" s="92">
        <v>4.4900000000000002E-4</v>
      </c>
      <c r="V164" s="92">
        <v>4.4200000000000001E-4</v>
      </c>
      <c r="W164" s="92">
        <v>4.3399999999999998E-4</v>
      </c>
      <c r="X164" s="92">
        <v>4.2499999999999998E-4</v>
      </c>
      <c r="Y164" s="92">
        <v>4.15E-4</v>
      </c>
      <c r="Z164" s="92">
        <v>4.0400000000000001E-4</v>
      </c>
      <c r="AA164" s="92">
        <v>3.9300000000000001E-4</v>
      </c>
      <c r="AB164" s="92">
        <v>3.8200000000000002E-4</v>
      </c>
      <c r="AC164" s="92">
        <v>3.6999999999999999E-4</v>
      </c>
      <c r="AD164" s="92">
        <v>3.5799999999999997E-4</v>
      </c>
      <c r="AE164" s="92">
        <v>3.4600000000000001E-4</v>
      </c>
      <c r="AF164" s="89">
        <v>1.7475000000000001E-2</v>
      </c>
      <c r="AG164" s="80"/>
    </row>
    <row r="165" spans="1:33" ht="15" customHeight="1" x14ac:dyDescent="0.25">
      <c r="A165" s="78" t="s">
        <v>460</v>
      </c>
      <c r="B165" s="87" t="s">
        <v>320</v>
      </c>
      <c r="C165" s="92">
        <v>0</v>
      </c>
      <c r="D165" s="92">
        <v>0</v>
      </c>
      <c r="E165" s="92">
        <v>1.2400000000000001E-4</v>
      </c>
      <c r="F165" s="92">
        <v>2.4699999999999999E-4</v>
      </c>
      <c r="G165" s="92">
        <v>3.7100000000000002E-4</v>
      </c>
      <c r="H165" s="92">
        <v>4.9700000000000005E-4</v>
      </c>
      <c r="I165" s="92">
        <v>6.2600000000000004E-4</v>
      </c>
      <c r="J165" s="92">
        <v>7.54E-4</v>
      </c>
      <c r="K165" s="92">
        <v>8.8099999999999995E-4</v>
      </c>
      <c r="L165" s="92">
        <v>1.0059999999999999E-3</v>
      </c>
      <c r="M165" s="92">
        <v>1.134E-3</v>
      </c>
      <c r="N165" s="92">
        <v>1.266E-3</v>
      </c>
      <c r="O165" s="92">
        <v>1.403E-3</v>
      </c>
      <c r="P165" s="92">
        <v>1.5430000000000001E-3</v>
      </c>
      <c r="Q165" s="92">
        <v>1.689E-3</v>
      </c>
      <c r="R165" s="92">
        <v>1.8400000000000001E-3</v>
      </c>
      <c r="S165" s="92">
        <v>1.9970000000000001E-3</v>
      </c>
      <c r="T165" s="92">
        <v>2.1589999999999999E-3</v>
      </c>
      <c r="U165" s="92">
        <v>2.33E-3</v>
      </c>
      <c r="V165" s="92">
        <v>2.5089999999999999E-3</v>
      </c>
      <c r="W165" s="92">
        <v>2.6970000000000002E-3</v>
      </c>
      <c r="X165" s="92">
        <v>2.8969999999999998E-3</v>
      </c>
      <c r="Y165" s="92">
        <v>3.1080000000000001E-3</v>
      </c>
      <c r="Z165" s="92">
        <v>3.3279999999999998E-3</v>
      </c>
      <c r="AA165" s="92">
        <v>3.5590000000000001E-3</v>
      </c>
      <c r="AB165" s="92">
        <v>3.803E-3</v>
      </c>
      <c r="AC165" s="92">
        <v>4.0629999999999998E-3</v>
      </c>
      <c r="AD165" s="92">
        <v>4.3379999999999998E-3</v>
      </c>
      <c r="AE165" s="92">
        <v>4.6299999999999996E-3</v>
      </c>
      <c r="AF165" s="89" t="s">
        <v>321</v>
      </c>
      <c r="AG165" s="80"/>
    </row>
    <row r="166" spans="1:33" ht="15" customHeight="1" x14ac:dyDescent="0.25">
      <c r="A166" s="78" t="s">
        <v>461</v>
      </c>
      <c r="B166" s="87" t="s">
        <v>323</v>
      </c>
      <c r="C166" s="92">
        <v>0</v>
      </c>
      <c r="D166" s="92">
        <v>0</v>
      </c>
      <c r="E166" s="92">
        <v>2.7500000000000002E-4</v>
      </c>
      <c r="F166" s="92">
        <v>5.44E-4</v>
      </c>
      <c r="G166" s="92">
        <v>8.0999999999999996E-4</v>
      </c>
      <c r="H166" s="92">
        <v>1.0790000000000001E-3</v>
      </c>
      <c r="I166" s="92">
        <v>1.348E-3</v>
      </c>
      <c r="J166" s="92">
        <v>1.6100000000000001E-3</v>
      </c>
      <c r="K166" s="92">
        <v>1.866E-3</v>
      </c>
      <c r="L166" s="92">
        <v>2.117E-3</v>
      </c>
      <c r="M166" s="92">
        <v>2.3709999999999998E-3</v>
      </c>
      <c r="N166" s="92">
        <v>2.6310000000000001E-3</v>
      </c>
      <c r="O166" s="92">
        <v>2.8960000000000001E-3</v>
      </c>
      <c r="P166" s="92">
        <v>3.166E-3</v>
      </c>
      <c r="Q166" s="92">
        <v>3.4429999999999999E-3</v>
      </c>
      <c r="R166" s="92">
        <v>3.7269999999999998E-3</v>
      </c>
      <c r="S166" s="92">
        <v>4.0179999999999999E-3</v>
      </c>
      <c r="T166" s="92">
        <v>4.3169999999999997E-3</v>
      </c>
      <c r="U166" s="92">
        <v>4.6259999999999999E-3</v>
      </c>
      <c r="V166" s="92">
        <v>4.9480000000000001E-3</v>
      </c>
      <c r="W166" s="92">
        <v>5.2830000000000004E-3</v>
      </c>
      <c r="X166" s="92">
        <v>5.6319999999999999E-3</v>
      </c>
      <c r="Y166" s="92">
        <v>5.9940000000000002E-3</v>
      </c>
      <c r="Z166" s="92">
        <v>6.3629999999999997E-3</v>
      </c>
      <c r="AA166" s="92">
        <v>6.7409999999999996E-3</v>
      </c>
      <c r="AB166" s="92">
        <v>7.1279999999999998E-3</v>
      </c>
      <c r="AC166" s="92">
        <v>7.5269999999999998E-3</v>
      </c>
      <c r="AD166" s="92">
        <v>7.9330000000000008E-3</v>
      </c>
      <c r="AE166" s="92">
        <v>8.3479999999999995E-3</v>
      </c>
      <c r="AF166" s="89" t="s">
        <v>321</v>
      </c>
      <c r="AG166" s="80"/>
    </row>
    <row r="167" spans="1:33" ht="15" customHeight="1" x14ac:dyDescent="0.25">
      <c r="A167" s="78" t="s">
        <v>462</v>
      </c>
      <c r="B167" s="87" t="s">
        <v>325</v>
      </c>
      <c r="C167" s="92">
        <v>0</v>
      </c>
      <c r="D167" s="92">
        <v>0</v>
      </c>
      <c r="E167" s="92">
        <v>4.0999999999999999E-4</v>
      </c>
      <c r="F167" s="92">
        <v>8.1999999999999998E-4</v>
      </c>
      <c r="G167" s="92">
        <v>1.2359999999999999E-3</v>
      </c>
      <c r="H167" s="92">
        <v>1.6659999999999999E-3</v>
      </c>
      <c r="I167" s="92">
        <v>2.1020000000000001E-3</v>
      </c>
      <c r="J167" s="92">
        <v>2.5360000000000001E-3</v>
      </c>
      <c r="K167" s="92">
        <v>2.9610000000000001E-3</v>
      </c>
      <c r="L167" s="92">
        <v>3.3800000000000002E-3</v>
      </c>
      <c r="M167" s="92">
        <v>3.7989999999999999E-3</v>
      </c>
      <c r="N167" s="92">
        <v>4.2220000000000001E-3</v>
      </c>
      <c r="O167" s="92">
        <v>4.6490000000000004E-3</v>
      </c>
      <c r="P167" s="92">
        <v>5.0800000000000003E-3</v>
      </c>
      <c r="Q167" s="92">
        <v>5.5160000000000001E-3</v>
      </c>
      <c r="R167" s="92">
        <v>5.9569999999999996E-3</v>
      </c>
      <c r="S167" s="92">
        <v>6.404E-3</v>
      </c>
      <c r="T167" s="92">
        <v>6.8560000000000001E-3</v>
      </c>
      <c r="U167" s="92">
        <v>7.3169999999999997E-3</v>
      </c>
      <c r="V167" s="92">
        <v>7.7889999999999999E-3</v>
      </c>
      <c r="W167" s="92">
        <v>8.2699999999999996E-3</v>
      </c>
      <c r="X167" s="92">
        <v>8.7650000000000002E-3</v>
      </c>
      <c r="Y167" s="92">
        <v>9.2700000000000005E-3</v>
      </c>
      <c r="Z167" s="92">
        <v>9.783E-3</v>
      </c>
      <c r="AA167" s="92">
        <v>1.0307E-2</v>
      </c>
      <c r="AB167" s="92">
        <v>1.0848999999999999E-2</v>
      </c>
      <c r="AC167" s="92">
        <v>1.1415E-2</v>
      </c>
      <c r="AD167" s="92">
        <v>1.2005E-2</v>
      </c>
      <c r="AE167" s="92">
        <v>1.2626E-2</v>
      </c>
      <c r="AF167" s="89" t="s">
        <v>321</v>
      </c>
      <c r="AG167" s="80"/>
    </row>
    <row r="168" spans="1:33" ht="15" customHeight="1" x14ac:dyDescent="0.25">
      <c r="A168" s="78" t="s">
        <v>463</v>
      </c>
      <c r="B168" s="87" t="s">
        <v>351</v>
      </c>
      <c r="C168" s="92">
        <v>5.3033510000000001</v>
      </c>
      <c r="D168" s="92">
        <v>5.3850160000000002</v>
      </c>
      <c r="E168" s="92">
        <v>5.4670500000000004</v>
      </c>
      <c r="F168" s="92">
        <v>5.5503419999999997</v>
      </c>
      <c r="G168" s="92">
        <v>5.6377740000000003</v>
      </c>
      <c r="H168" s="92">
        <v>5.7295040000000004</v>
      </c>
      <c r="I168" s="92">
        <v>5.8180490000000002</v>
      </c>
      <c r="J168" s="92">
        <v>5.8932869999999999</v>
      </c>
      <c r="K168" s="92">
        <v>5.9566129999999999</v>
      </c>
      <c r="L168" s="92">
        <v>6.011126</v>
      </c>
      <c r="M168" s="92">
        <v>6.0592329999999999</v>
      </c>
      <c r="N168" s="92">
        <v>6.0996160000000001</v>
      </c>
      <c r="O168" s="92">
        <v>6.1291029999999997</v>
      </c>
      <c r="P168" s="92">
        <v>6.1603370000000002</v>
      </c>
      <c r="Q168" s="92">
        <v>6.1972659999999999</v>
      </c>
      <c r="R168" s="92">
        <v>6.2348379999999999</v>
      </c>
      <c r="S168" s="92">
        <v>6.2709359999999998</v>
      </c>
      <c r="T168" s="92">
        <v>6.2978690000000004</v>
      </c>
      <c r="U168" s="92">
        <v>6.318327</v>
      </c>
      <c r="V168" s="92">
        <v>6.3273599999999997</v>
      </c>
      <c r="W168" s="92">
        <v>6.3469429999999996</v>
      </c>
      <c r="X168" s="92">
        <v>6.3727369999999999</v>
      </c>
      <c r="Y168" s="92">
        <v>6.4039590000000004</v>
      </c>
      <c r="Z168" s="92">
        <v>6.4334600000000002</v>
      </c>
      <c r="AA168" s="92">
        <v>6.4537589999999998</v>
      </c>
      <c r="AB168" s="92">
        <v>6.4674019999999999</v>
      </c>
      <c r="AC168" s="92">
        <v>6.4763640000000002</v>
      </c>
      <c r="AD168" s="92">
        <v>6.476153</v>
      </c>
      <c r="AE168" s="92">
        <v>6.4670829999999997</v>
      </c>
      <c r="AF168" s="89">
        <v>7.11E-3</v>
      </c>
      <c r="AG168" s="80"/>
    </row>
    <row r="169" spans="1:33" ht="15" customHeight="1" x14ac:dyDescent="0.25">
      <c r="A169" s="78" t="s">
        <v>464</v>
      </c>
      <c r="B169" s="86" t="s">
        <v>465</v>
      </c>
      <c r="C169" s="93">
        <v>13.646018</v>
      </c>
      <c r="D169" s="93">
        <v>13.95327</v>
      </c>
      <c r="E169" s="93">
        <v>14.276797999999999</v>
      </c>
      <c r="F169" s="93">
        <v>14.613163</v>
      </c>
      <c r="G169" s="93">
        <v>14.959908</v>
      </c>
      <c r="H169" s="93">
        <v>15.314479</v>
      </c>
      <c r="I169" s="93">
        <v>15.662544</v>
      </c>
      <c r="J169" s="93">
        <v>15.987280999999999</v>
      </c>
      <c r="K169" s="93">
        <v>16.291819</v>
      </c>
      <c r="L169" s="93">
        <v>16.574141999999998</v>
      </c>
      <c r="M169" s="93">
        <v>16.849737000000001</v>
      </c>
      <c r="N169" s="93">
        <v>17.100439000000001</v>
      </c>
      <c r="O169" s="93">
        <v>17.332543999999999</v>
      </c>
      <c r="P169" s="93">
        <v>17.566399000000001</v>
      </c>
      <c r="Q169" s="93">
        <v>17.811584</v>
      </c>
      <c r="R169" s="93">
        <v>18.061226000000001</v>
      </c>
      <c r="S169" s="93">
        <v>18.309864000000001</v>
      </c>
      <c r="T169" s="93">
        <v>18.546267</v>
      </c>
      <c r="U169" s="93">
        <v>18.770368999999999</v>
      </c>
      <c r="V169" s="93">
        <v>18.986908</v>
      </c>
      <c r="W169" s="93">
        <v>19.213488000000002</v>
      </c>
      <c r="X169" s="93">
        <v>19.465219000000001</v>
      </c>
      <c r="Y169" s="93">
        <v>19.735880000000002</v>
      </c>
      <c r="Z169" s="93">
        <v>19.999655000000001</v>
      </c>
      <c r="AA169" s="93">
        <v>20.24531</v>
      </c>
      <c r="AB169" s="93">
        <v>20.486383</v>
      </c>
      <c r="AC169" s="93">
        <v>20.722092</v>
      </c>
      <c r="AD169" s="93">
        <v>20.936222000000001</v>
      </c>
      <c r="AE169" s="93">
        <v>21.134900999999999</v>
      </c>
      <c r="AF169" s="91">
        <v>1.5747000000000001E-2</v>
      </c>
      <c r="AG169" s="80"/>
    </row>
    <row r="170" spans="1:33" ht="15" customHeight="1" x14ac:dyDescent="0.25"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</row>
    <row r="171" spans="1:33" ht="15" customHeight="1" x14ac:dyDescent="0.25">
      <c r="B171" s="86" t="s">
        <v>466</v>
      </c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80"/>
      <c r="AD171" s="80"/>
      <c r="AE171" s="80"/>
      <c r="AF171" s="80"/>
      <c r="AG171" s="80"/>
    </row>
    <row r="172" spans="1:33" ht="12" customHeight="1" x14ac:dyDescent="0.25"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</row>
    <row r="173" spans="1:33" ht="15" customHeight="1" x14ac:dyDescent="0.25">
      <c r="B173" s="86" t="s">
        <v>397</v>
      </c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</row>
    <row r="174" spans="1:33" ht="15" customHeight="1" x14ac:dyDescent="0.25">
      <c r="B174" s="86" t="s">
        <v>306</v>
      </c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</row>
    <row r="175" spans="1:33" ht="15" customHeight="1" x14ac:dyDescent="0.25">
      <c r="A175" s="78" t="s">
        <v>467</v>
      </c>
      <c r="B175" s="87" t="s">
        <v>308</v>
      </c>
      <c r="C175" s="88">
        <v>17.217651</v>
      </c>
      <c r="D175" s="88">
        <v>17.743234999999999</v>
      </c>
      <c r="E175" s="88">
        <v>18.596025000000001</v>
      </c>
      <c r="F175" s="88">
        <v>19.408501000000001</v>
      </c>
      <c r="G175" s="88">
        <v>19.821732999999998</v>
      </c>
      <c r="H175" s="88">
        <v>20.081854</v>
      </c>
      <c r="I175" s="88">
        <v>20.115541</v>
      </c>
      <c r="J175" s="88">
        <v>20.175732</v>
      </c>
      <c r="K175" s="88">
        <v>20.175187999999999</v>
      </c>
      <c r="L175" s="88">
        <v>20.160620000000002</v>
      </c>
      <c r="M175" s="88">
        <v>20.126877</v>
      </c>
      <c r="N175" s="88">
        <v>20.083185</v>
      </c>
      <c r="O175" s="88">
        <v>20.045784000000001</v>
      </c>
      <c r="P175" s="88">
        <v>20.013750000000002</v>
      </c>
      <c r="Q175" s="88">
        <v>19.985996</v>
      </c>
      <c r="R175" s="88">
        <v>19.962015000000001</v>
      </c>
      <c r="S175" s="88">
        <v>19.941241999999999</v>
      </c>
      <c r="T175" s="88">
        <v>19.923152999999999</v>
      </c>
      <c r="U175" s="88">
        <v>19.907523999999999</v>
      </c>
      <c r="V175" s="88">
        <v>19.893719000000001</v>
      </c>
      <c r="W175" s="88">
        <v>19.881819</v>
      </c>
      <c r="X175" s="88">
        <v>19.871511000000002</v>
      </c>
      <c r="Y175" s="88">
        <v>19.862354</v>
      </c>
      <c r="Z175" s="88">
        <v>19.854208</v>
      </c>
      <c r="AA175" s="88">
        <v>19.847239999999999</v>
      </c>
      <c r="AB175" s="88">
        <v>19.841653999999998</v>
      </c>
      <c r="AC175" s="88">
        <v>19.799841000000001</v>
      </c>
      <c r="AD175" s="88">
        <v>19.799527999999999</v>
      </c>
      <c r="AE175" s="88">
        <v>19.801586</v>
      </c>
      <c r="AF175" s="89">
        <v>5.006E-3</v>
      </c>
      <c r="AG175" s="80"/>
    </row>
    <row r="176" spans="1:33" ht="15" customHeight="1" x14ac:dyDescent="0.25">
      <c r="A176" s="78" t="s">
        <v>468</v>
      </c>
      <c r="B176" s="87" t="s">
        <v>310</v>
      </c>
      <c r="C176" s="88">
        <v>12.59516</v>
      </c>
      <c r="D176" s="88">
        <v>13.424738</v>
      </c>
      <c r="E176" s="88">
        <v>13.843267000000001</v>
      </c>
      <c r="F176" s="88">
        <v>14.275459</v>
      </c>
      <c r="G176" s="88">
        <v>14.428558000000001</v>
      </c>
      <c r="H176" s="88">
        <v>14.685053</v>
      </c>
      <c r="I176" s="88">
        <v>14.690815000000001</v>
      </c>
      <c r="J176" s="88">
        <v>14.856868</v>
      </c>
      <c r="K176" s="88">
        <v>14.931994</v>
      </c>
      <c r="L176" s="88">
        <v>14.986435</v>
      </c>
      <c r="M176" s="88">
        <v>14.919237000000001</v>
      </c>
      <c r="N176" s="88">
        <v>15.001118999999999</v>
      </c>
      <c r="O176" s="88">
        <v>15.069096999999999</v>
      </c>
      <c r="P176" s="88">
        <v>15.113496</v>
      </c>
      <c r="Q176" s="88">
        <v>15.145144</v>
      </c>
      <c r="R176" s="88">
        <v>15.166649</v>
      </c>
      <c r="S176" s="88">
        <v>15.177457</v>
      </c>
      <c r="T176" s="88">
        <v>15.176923</v>
      </c>
      <c r="U176" s="88">
        <v>15.17581</v>
      </c>
      <c r="V176" s="88">
        <v>15.174847</v>
      </c>
      <c r="W176" s="88">
        <v>15.174041000000001</v>
      </c>
      <c r="X176" s="88">
        <v>15.173346</v>
      </c>
      <c r="Y176" s="88">
        <v>15.172763</v>
      </c>
      <c r="Z176" s="88">
        <v>15.172198</v>
      </c>
      <c r="AA176" s="88">
        <v>15.171754</v>
      </c>
      <c r="AB176" s="88">
        <v>15.171353999999999</v>
      </c>
      <c r="AC176" s="88">
        <v>15.171044</v>
      </c>
      <c r="AD176" s="88">
        <v>15.170722</v>
      </c>
      <c r="AE176" s="88">
        <v>15.170489999999999</v>
      </c>
      <c r="AF176" s="89">
        <v>6.6660000000000001E-3</v>
      </c>
      <c r="AG176" s="80"/>
    </row>
    <row r="177" spans="1:33" ht="15" customHeight="1" x14ac:dyDescent="0.25">
      <c r="A177" s="78" t="s">
        <v>469</v>
      </c>
      <c r="B177" s="87" t="s">
        <v>312</v>
      </c>
      <c r="C177" s="88">
        <v>12.370099</v>
      </c>
      <c r="D177" s="88">
        <v>12.423861</v>
      </c>
      <c r="E177" s="88">
        <v>12.630001999999999</v>
      </c>
      <c r="F177" s="88">
        <v>12.778555000000001</v>
      </c>
      <c r="G177" s="88">
        <v>12.863218</v>
      </c>
      <c r="H177" s="88">
        <v>13.019094000000001</v>
      </c>
      <c r="I177" s="88">
        <v>13.145066</v>
      </c>
      <c r="J177" s="88">
        <v>13.360619</v>
      </c>
      <c r="K177" s="88">
        <v>13.615053</v>
      </c>
      <c r="L177" s="88">
        <v>13.851718</v>
      </c>
      <c r="M177" s="88">
        <v>14.074310000000001</v>
      </c>
      <c r="N177" s="88">
        <v>14.236444000000001</v>
      </c>
      <c r="O177" s="88">
        <v>14.328803000000001</v>
      </c>
      <c r="P177" s="88">
        <v>14.355442</v>
      </c>
      <c r="Q177" s="88">
        <v>14.372279000000001</v>
      </c>
      <c r="R177" s="88">
        <v>14.372299</v>
      </c>
      <c r="S177" s="88">
        <v>14.369871</v>
      </c>
      <c r="T177" s="88">
        <v>14.368024999999999</v>
      </c>
      <c r="U177" s="88">
        <v>14.366300000000001</v>
      </c>
      <c r="V177" s="88">
        <v>14.365119999999999</v>
      </c>
      <c r="W177" s="88">
        <v>14.364024000000001</v>
      </c>
      <c r="X177" s="88">
        <v>14.363379999999999</v>
      </c>
      <c r="Y177" s="88">
        <v>14.362422</v>
      </c>
      <c r="Z177" s="88">
        <v>14.361484000000001</v>
      </c>
      <c r="AA177" s="88">
        <v>14.3536</v>
      </c>
      <c r="AB177" s="88">
        <v>14.353339</v>
      </c>
      <c r="AC177" s="88">
        <v>14.353724</v>
      </c>
      <c r="AD177" s="88">
        <v>14.355268000000001</v>
      </c>
      <c r="AE177" s="88">
        <v>14.357434</v>
      </c>
      <c r="AF177" s="89">
        <v>5.3350000000000003E-3</v>
      </c>
      <c r="AG177" s="80"/>
    </row>
    <row r="178" spans="1:33" ht="15" customHeight="1" x14ac:dyDescent="0.25">
      <c r="A178" s="78" t="s">
        <v>470</v>
      </c>
      <c r="B178" s="87" t="s">
        <v>314</v>
      </c>
      <c r="C178" s="88">
        <v>12.486860999999999</v>
      </c>
      <c r="D178" s="88">
        <v>12.486863</v>
      </c>
      <c r="E178" s="88">
        <v>12.48686</v>
      </c>
      <c r="F178" s="88">
        <v>12.486863</v>
      </c>
      <c r="G178" s="88">
        <v>12.486863</v>
      </c>
      <c r="H178" s="88">
        <v>12.486863</v>
      </c>
      <c r="I178" s="88">
        <v>12.486860999999999</v>
      </c>
      <c r="J178" s="88">
        <v>12.486864000000001</v>
      </c>
      <c r="K178" s="88">
        <v>12.486863</v>
      </c>
      <c r="L178" s="88">
        <v>12.486863</v>
      </c>
      <c r="M178" s="88">
        <v>12.486863</v>
      </c>
      <c r="N178" s="88">
        <v>12.486863</v>
      </c>
      <c r="O178" s="88">
        <v>12.486860999999999</v>
      </c>
      <c r="P178" s="88">
        <v>12.486860999999999</v>
      </c>
      <c r="Q178" s="88">
        <v>12.486860999999999</v>
      </c>
      <c r="R178" s="88">
        <v>12.486863</v>
      </c>
      <c r="S178" s="88">
        <v>12.48686</v>
      </c>
      <c r="T178" s="88">
        <v>12.48686</v>
      </c>
      <c r="U178" s="88">
        <v>12.486860999999999</v>
      </c>
      <c r="V178" s="88">
        <v>12.48686</v>
      </c>
      <c r="W178" s="88">
        <v>12.486863</v>
      </c>
      <c r="X178" s="88">
        <v>12.486863</v>
      </c>
      <c r="Y178" s="88">
        <v>12.486860999999999</v>
      </c>
      <c r="Z178" s="88">
        <v>12.486863</v>
      </c>
      <c r="AA178" s="88">
        <v>12.48686</v>
      </c>
      <c r="AB178" s="88">
        <v>12.486863</v>
      </c>
      <c r="AC178" s="88">
        <v>12.486860999999999</v>
      </c>
      <c r="AD178" s="88">
        <v>12.486863</v>
      </c>
      <c r="AE178" s="88">
        <v>12.486863</v>
      </c>
      <c r="AF178" s="89">
        <v>0</v>
      </c>
      <c r="AG178" s="80"/>
    </row>
    <row r="179" spans="1:33" ht="15" customHeight="1" x14ac:dyDescent="0.25">
      <c r="A179" s="78" t="s">
        <v>471</v>
      </c>
      <c r="B179" s="87" t="s">
        <v>316</v>
      </c>
      <c r="C179" s="88">
        <v>12.846411</v>
      </c>
      <c r="D179" s="88">
        <v>13.218121999999999</v>
      </c>
      <c r="E179" s="88">
        <v>13.627822999999999</v>
      </c>
      <c r="F179" s="88">
        <v>14.042638999999999</v>
      </c>
      <c r="G179" s="88">
        <v>14.186604000000001</v>
      </c>
      <c r="H179" s="88">
        <v>14.434004</v>
      </c>
      <c r="I179" s="88">
        <v>14.442583000000001</v>
      </c>
      <c r="J179" s="88">
        <v>14.608980000000001</v>
      </c>
      <c r="K179" s="88">
        <v>14.684302000000001</v>
      </c>
      <c r="L179" s="88">
        <v>14.735426</v>
      </c>
      <c r="M179" s="88">
        <v>14.661357000000001</v>
      </c>
      <c r="N179" s="88">
        <v>14.739395</v>
      </c>
      <c r="O179" s="88">
        <v>14.804073000000001</v>
      </c>
      <c r="P179" s="88">
        <v>14.848421</v>
      </c>
      <c r="Q179" s="88">
        <v>14.881249</v>
      </c>
      <c r="R179" s="88">
        <v>14.904825000000001</v>
      </c>
      <c r="S179" s="88">
        <v>14.916617</v>
      </c>
      <c r="T179" s="88">
        <v>14.917142</v>
      </c>
      <c r="U179" s="88">
        <v>14.915953</v>
      </c>
      <c r="V179" s="88">
        <v>14.915247000000001</v>
      </c>
      <c r="W179" s="88">
        <v>14.914173</v>
      </c>
      <c r="X179" s="88">
        <v>14.913214999999999</v>
      </c>
      <c r="Y179" s="88">
        <v>14.911542000000001</v>
      </c>
      <c r="Z179" s="88">
        <v>14.911346999999999</v>
      </c>
      <c r="AA179" s="88">
        <v>14.910938</v>
      </c>
      <c r="AB179" s="88">
        <v>14.912041</v>
      </c>
      <c r="AC179" s="88">
        <v>14.912226</v>
      </c>
      <c r="AD179" s="88">
        <v>14.913921999999999</v>
      </c>
      <c r="AE179" s="88">
        <v>14.914241000000001</v>
      </c>
      <c r="AF179" s="89">
        <v>5.3449999999999999E-3</v>
      </c>
      <c r="AG179" s="80"/>
    </row>
    <row r="180" spans="1:33" ht="15" customHeight="1" x14ac:dyDescent="0.25">
      <c r="A180" s="78" t="s">
        <v>472</v>
      </c>
      <c r="B180" s="87" t="s">
        <v>318</v>
      </c>
      <c r="C180" s="88">
        <v>27.219131000000001</v>
      </c>
      <c r="D180" s="88">
        <v>27.246206000000001</v>
      </c>
      <c r="E180" s="88">
        <v>27.281466000000002</v>
      </c>
      <c r="F180" s="88">
        <v>27.325966000000001</v>
      </c>
      <c r="G180" s="88">
        <v>27.380199000000001</v>
      </c>
      <c r="H180" s="88">
        <v>27.443327</v>
      </c>
      <c r="I180" s="88">
        <v>27.474117</v>
      </c>
      <c r="J180" s="88">
        <v>27.529731999999999</v>
      </c>
      <c r="K180" s="88">
        <v>27.583223</v>
      </c>
      <c r="L180" s="88">
        <v>27.632815999999998</v>
      </c>
      <c r="M180" s="88">
        <v>27.676708000000001</v>
      </c>
      <c r="N180" s="88">
        <v>27.703455000000002</v>
      </c>
      <c r="O180" s="88">
        <v>27.712814000000002</v>
      </c>
      <c r="P180" s="88">
        <v>27.721041</v>
      </c>
      <c r="Q180" s="88">
        <v>27.722708000000001</v>
      </c>
      <c r="R180" s="88">
        <v>27.722674999999999</v>
      </c>
      <c r="S180" s="88">
        <v>27.722640999999999</v>
      </c>
      <c r="T180" s="88">
        <v>27.722618000000001</v>
      </c>
      <c r="U180" s="88">
        <v>27.722601000000001</v>
      </c>
      <c r="V180" s="88">
        <v>27.722587999999998</v>
      </c>
      <c r="W180" s="88">
        <v>27.722577999999999</v>
      </c>
      <c r="X180" s="88">
        <v>27.722570000000001</v>
      </c>
      <c r="Y180" s="88">
        <v>27.722560999999999</v>
      </c>
      <c r="Z180" s="88">
        <v>27.722559</v>
      </c>
      <c r="AA180" s="88">
        <v>27.722549000000001</v>
      </c>
      <c r="AB180" s="88">
        <v>27.722548</v>
      </c>
      <c r="AC180" s="88">
        <v>27.722542000000001</v>
      </c>
      <c r="AD180" s="88">
        <v>27.722543999999999</v>
      </c>
      <c r="AE180" s="88">
        <v>27.722542000000001</v>
      </c>
      <c r="AF180" s="89">
        <v>6.5499999999999998E-4</v>
      </c>
      <c r="AG180" s="80"/>
    </row>
    <row r="181" spans="1:33" ht="12" customHeight="1" x14ac:dyDescent="0.25">
      <c r="A181" s="78" t="s">
        <v>473</v>
      </c>
      <c r="B181" s="87" t="s">
        <v>320</v>
      </c>
      <c r="C181" s="88">
        <v>0</v>
      </c>
      <c r="D181" s="88">
        <v>23.149469</v>
      </c>
      <c r="E181" s="88">
        <v>23.788757</v>
      </c>
      <c r="F181" s="88">
        <v>24.201412000000001</v>
      </c>
      <c r="G181" s="88">
        <v>24.593264000000001</v>
      </c>
      <c r="H181" s="88">
        <v>25.140753</v>
      </c>
      <c r="I181" s="88">
        <v>25.620788999999998</v>
      </c>
      <c r="J181" s="88">
        <v>26.339625999999999</v>
      </c>
      <c r="K181" s="88">
        <v>27.120087000000002</v>
      </c>
      <c r="L181" s="88">
        <v>27.894962</v>
      </c>
      <c r="M181" s="88">
        <v>28.583632999999999</v>
      </c>
      <c r="N181" s="88">
        <v>28.93169</v>
      </c>
      <c r="O181" s="88">
        <v>29.087039999999998</v>
      </c>
      <c r="P181" s="88">
        <v>29.106612999999999</v>
      </c>
      <c r="Q181" s="88">
        <v>29.125404</v>
      </c>
      <c r="R181" s="88">
        <v>29.129776</v>
      </c>
      <c r="S181" s="88">
        <v>29.124500000000001</v>
      </c>
      <c r="T181" s="88">
        <v>29.119802</v>
      </c>
      <c r="U181" s="88">
        <v>29.115503</v>
      </c>
      <c r="V181" s="88">
        <v>29.111118000000001</v>
      </c>
      <c r="W181" s="88">
        <v>29.106992999999999</v>
      </c>
      <c r="X181" s="88">
        <v>29.103442999999999</v>
      </c>
      <c r="Y181" s="88">
        <v>29.100300000000001</v>
      </c>
      <c r="Z181" s="88">
        <v>29.097477000000001</v>
      </c>
      <c r="AA181" s="88">
        <v>29.095098</v>
      </c>
      <c r="AB181" s="88">
        <v>29.093209999999999</v>
      </c>
      <c r="AC181" s="88">
        <v>29.091781999999998</v>
      </c>
      <c r="AD181" s="88">
        <v>29.083096000000001</v>
      </c>
      <c r="AE181" s="88">
        <v>29.086570999999999</v>
      </c>
      <c r="AF181" s="89" t="s">
        <v>321</v>
      </c>
      <c r="AG181" s="80"/>
    </row>
    <row r="182" spans="1:33" ht="12" customHeight="1" x14ac:dyDescent="0.25">
      <c r="A182" s="78" t="s">
        <v>474</v>
      </c>
      <c r="B182" s="87" t="s">
        <v>323</v>
      </c>
      <c r="C182" s="88">
        <v>0</v>
      </c>
      <c r="D182" s="88">
        <v>18.959845000000001</v>
      </c>
      <c r="E182" s="88">
        <v>19.230974</v>
      </c>
      <c r="F182" s="88">
        <v>19.473016999999999</v>
      </c>
      <c r="G182" s="88">
        <v>19.562275</v>
      </c>
      <c r="H182" s="88">
        <v>19.736988</v>
      </c>
      <c r="I182" s="88">
        <v>19.864495999999999</v>
      </c>
      <c r="J182" s="88">
        <v>20.069866000000001</v>
      </c>
      <c r="K182" s="88">
        <v>20.301096000000001</v>
      </c>
      <c r="L182" s="88">
        <v>20.525687999999999</v>
      </c>
      <c r="M182" s="88">
        <v>20.728285</v>
      </c>
      <c r="N182" s="88">
        <v>20.866682000000001</v>
      </c>
      <c r="O182" s="88">
        <v>20.968336000000001</v>
      </c>
      <c r="P182" s="88">
        <v>21.002409</v>
      </c>
      <c r="Q182" s="88">
        <v>21.046901999999999</v>
      </c>
      <c r="R182" s="88">
        <v>21.067965999999998</v>
      </c>
      <c r="S182" s="88">
        <v>21.064533000000001</v>
      </c>
      <c r="T182" s="88">
        <v>21.062408000000001</v>
      </c>
      <c r="U182" s="88">
        <v>21.060576999999999</v>
      </c>
      <c r="V182" s="88">
        <v>21.057089000000001</v>
      </c>
      <c r="W182" s="88">
        <v>21.059256000000001</v>
      </c>
      <c r="X182" s="88">
        <v>21.063654</v>
      </c>
      <c r="Y182" s="88">
        <v>21.017776000000001</v>
      </c>
      <c r="Z182" s="88">
        <v>21.046399999999998</v>
      </c>
      <c r="AA182" s="88">
        <v>21.070132999999998</v>
      </c>
      <c r="AB182" s="88">
        <v>21.104872</v>
      </c>
      <c r="AC182" s="88">
        <v>21.148212000000001</v>
      </c>
      <c r="AD182" s="88">
        <v>21.199916999999999</v>
      </c>
      <c r="AE182" s="88">
        <v>21.257977</v>
      </c>
      <c r="AF182" s="89" t="s">
        <v>321</v>
      </c>
      <c r="AG182" s="80"/>
    </row>
    <row r="183" spans="1:33" ht="15" customHeight="1" x14ac:dyDescent="0.25">
      <c r="A183" s="78" t="s">
        <v>475</v>
      </c>
      <c r="B183" s="87" t="s">
        <v>325</v>
      </c>
      <c r="C183" s="88">
        <v>0</v>
      </c>
      <c r="D183" s="88">
        <v>0</v>
      </c>
      <c r="E183" s="88">
        <v>18.589186000000002</v>
      </c>
      <c r="F183" s="88">
        <v>16.244858000000001</v>
      </c>
      <c r="G183" s="88">
        <v>16.244858000000001</v>
      </c>
      <c r="H183" s="88">
        <v>16.244858000000001</v>
      </c>
      <c r="I183" s="88">
        <v>16.244858000000001</v>
      </c>
      <c r="J183" s="88">
        <v>16.244858000000001</v>
      </c>
      <c r="K183" s="88">
        <v>16.244858000000001</v>
      </c>
      <c r="L183" s="88">
        <v>16.244858000000001</v>
      </c>
      <c r="M183" s="88">
        <v>16.244858000000001</v>
      </c>
      <c r="N183" s="88">
        <v>16.244858000000001</v>
      </c>
      <c r="O183" s="88">
        <v>16.244858000000001</v>
      </c>
      <c r="P183" s="88">
        <v>16.244858000000001</v>
      </c>
      <c r="Q183" s="88">
        <v>16.244858000000001</v>
      </c>
      <c r="R183" s="88">
        <v>16.244858000000001</v>
      </c>
      <c r="S183" s="88">
        <v>16.244858000000001</v>
      </c>
      <c r="T183" s="88">
        <v>16.244858000000001</v>
      </c>
      <c r="U183" s="88">
        <v>16.244858000000001</v>
      </c>
      <c r="V183" s="88">
        <v>16.244858000000001</v>
      </c>
      <c r="W183" s="88">
        <v>16.244858000000001</v>
      </c>
      <c r="X183" s="88">
        <v>16.244858000000001</v>
      </c>
      <c r="Y183" s="88">
        <v>16.244858000000001</v>
      </c>
      <c r="Z183" s="88">
        <v>16.244858000000001</v>
      </c>
      <c r="AA183" s="88">
        <v>16.244858000000001</v>
      </c>
      <c r="AB183" s="88">
        <v>16.244858000000001</v>
      </c>
      <c r="AC183" s="88">
        <v>16.244858000000001</v>
      </c>
      <c r="AD183" s="88">
        <v>16.244858000000001</v>
      </c>
      <c r="AE183" s="88">
        <v>16.244858000000001</v>
      </c>
      <c r="AF183" s="89" t="s">
        <v>321</v>
      </c>
      <c r="AG183" s="80"/>
    </row>
    <row r="184" spans="1:33" ht="15" customHeight="1" x14ac:dyDescent="0.25">
      <c r="A184" s="78" t="s">
        <v>476</v>
      </c>
      <c r="B184" s="87" t="s">
        <v>408</v>
      </c>
      <c r="C184" s="88">
        <v>15.487391000000001</v>
      </c>
      <c r="D184" s="88">
        <v>16.165934</v>
      </c>
      <c r="E184" s="88">
        <v>16.852744999999999</v>
      </c>
      <c r="F184" s="88">
        <v>17.521813999999999</v>
      </c>
      <c r="G184" s="88">
        <v>17.836521000000001</v>
      </c>
      <c r="H184" s="88">
        <v>18.110120999999999</v>
      </c>
      <c r="I184" s="88">
        <v>18.140739</v>
      </c>
      <c r="J184" s="88">
        <v>18.257238000000001</v>
      </c>
      <c r="K184" s="88">
        <v>18.297186</v>
      </c>
      <c r="L184" s="88">
        <v>18.318868999999999</v>
      </c>
      <c r="M184" s="88">
        <v>18.275967000000001</v>
      </c>
      <c r="N184" s="88">
        <v>18.290842000000001</v>
      </c>
      <c r="O184" s="88">
        <v>18.302257999999998</v>
      </c>
      <c r="P184" s="88">
        <v>18.305890999999999</v>
      </c>
      <c r="Q184" s="88">
        <v>18.306034</v>
      </c>
      <c r="R184" s="88">
        <v>18.303612000000001</v>
      </c>
      <c r="S184" s="88">
        <v>18.298258000000001</v>
      </c>
      <c r="T184" s="88">
        <v>18.289453999999999</v>
      </c>
      <c r="U184" s="88">
        <v>18.281590000000001</v>
      </c>
      <c r="V184" s="88">
        <v>18.27459</v>
      </c>
      <c r="W184" s="88">
        <v>18.26857</v>
      </c>
      <c r="X184" s="88">
        <v>18.263286999999998</v>
      </c>
      <c r="Y184" s="88">
        <v>18.258537</v>
      </c>
      <c r="Z184" s="88">
        <v>18.25423</v>
      </c>
      <c r="AA184" s="88">
        <v>18.250519000000001</v>
      </c>
      <c r="AB184" s="88">
        <v>18.247578000000001</v>
      </c>
      <c r="AC184" s="88">
        <v>18.222587999999998</v>
      </c>
      <c r="AD184" s="88">
        <v>18.222778000000002</v>
      </c>
      <c r="AE184" s="88">
        <v>18.224402999999999</v>
      </c>
      <c r="AF184" s="89">
        <v>5.829E-3</v>
      </c>
      <c r="AG184" s="80"/>
    </row>
    <row r="185" spans="1:33" ht="15" customHeight="1" x14ac:dyDescent="0.25">
      <c r="B185" s="86" t="s">
        <v>328</v>
      </c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</row>
    <row r="186" spans="1:33" ht="15" customHeight="1" x14ac:dyDescent="0.25">
      <c r="A186" s="78" t="s">
        <v>477</v>
      </c>
      <c r="B186" s="87" t="s">
        <v>308</v>
      </c>
      <c r="C186" s="88">
        <v>10.573097000000001</v>
      </c>
      <c r="D186" s="88">
        <v>11.142485000000001</v>
      </c>
      <c r="E186" s="88">
        <v>11.550504999999999</v>
      </c>
      <c r="F186" s="88">
        <v>11.977176</v>
      </c>
      <c r="G186" s="88">
        <v>12.42301</v>
      </c>
      <c r="H186" s="88">
        <v>12.830263</v>
      </c>
      <c r="I186" s="88">
        <v>12.987424000000001</v>
      </c>
      <c r="J186" s="88">
        <v>13.305011</v>
      </c>
      <c r="K186" s="88">
        <v>13.589658</v>
      </c>
      <c r="L186" s="88">
        <v>13.852079</v>
      </c>
      <c r="M186" s="88">
        <v>13.977544999999999</v>
      </c>
      <c r="N186" s="88">
        <v>13.952327</v>
      </c>
      <c r="O186" s="88">
        <v>13.932137000000001</v>
      </c>
      <c r="P186" s="88">
        <v>13.905892</v>
      </c>
      <c r="Q186" s="88">
        <v>13.899329</v>
      </c>
      <c r="R186" s="88">
        <v>13.892861</v>
      </c>
      <c r="S186" s="88">
        <v>13.886645</v>
      </c>
      <c r="T186" s="88">
        <v>13.880846999999999</v>
      </c>
      <c r="U186" s="88">
        <v>13.875050999999999</v>
      </c>
      <c r="V186" s="88">
        <v>13.869313</v>
      </c>
      <c r="W186" s="88">
        <v>13.864424</v>
      </c>
      <c r="X186" s="88">
        <v>13.860239</v>
      </c>
      <c r="Y186" s="88">
        <v>13.8566</v>
      </c>
      <c r="Z186" s="88">
        <v>13.853432</v>
      </c>
      <c r="AA186" s="88">
        <v>13.850702</v>
      </c>
      <c r="AB186" s="88">
        <v>13.848376999999999</v>
      </c>
      <c r="AC186" s="88">
        <v>13.846394</v>
      </c>
      <c r="AD186" s="88">
        <v>13.844652999999999</v>
      </c>
      <c r="AE186" s="88">
        <v>13.843116999999999</v>
      </c>
      <c r="AF186" s="89">
        <v>9.6710000000000008E-3</v>
      </c>
      <c r="AG186" s="80"/>
    </row>
    <row r="187" spans="1:33" ht="15" customHeight="1" x14ac:dyDescent="0.25">
      <c r="A187" s="78" t="s">
        <v>478</v>
      </c>
      <c r="B187" s="87" t="s">
        <v>310</v>
      </c>
      <c r="C187" s="88">
        <v>7.5911910000000002</v>
      </c>
      <c r="D187" s="88">
        <v>7.6611630000000002</v>
      </c>
      <c r="E187" s="88">
        <v>7.8782069999999997</v>
      </c>
      <c r="F187" s="88">
        <v>8.1282580000000006</v>
      </c>
      <c r="G187" s="88">
        <v>8.4002669999999995</v>
      </c>
      <c r="H187" s="88">
        <v>8.6649030000000007</v>
      </c>
      <c r="I187" s="88">
        <v>8.7525060000000003</v>
      </c>
      <c r="J187" s="88">
        <v>8.9603819999999992</v>
      </c>
      <c r="K187" s="88">
        <v>9.1422589999999992</v>
      </c>
      <c r="L187" s="88">
        <v>9.3097940000000001</v>
      </c>
      <c r="M187" s="88">
        <v>9.4206289999999999</v>
      </c>
      <c r="N187" s="88">
        <v>9.4643309999999996</v>
      </c>
      <c r="O187" s="88">
        <v>9.4966589999999993</v>
      </c>
      <c r="P187" s="88">
        <v>9.5174789999999998</v>
      </c>
      <c r="Q187" s="88">
        <v>9.5179650000000002</v>
      </c>
      <c r="R187" s="88">
        <v>9.5173430000000003</v>
      </c>
      <c r="S187" s="88">
        <v>9.5168689999999998</v>
      </c>
      <c r="T187" s="88">
        <v>9.5165019999999991</v>
      </c>
      <c r="U187" s="88">
        <v>9.5162209999999998</v>
      </c>
      <c r="V187" s="88">
        <v>9.516</v>
      </c>
      <c r="W187" s="88">
        <v>9.5158260000000006</v>
      </c>
      <c r="X187" s="88">
        <v>9.5156919999999996</v>
      </c>
      <c r="Y187" s="88">
        <v>9.5155860000000008</v>
      </c>
      <c r="Z187" s="88">
        <v>9.5155010000000004</v>
      </c>
      <c r="AA187" s="88">
        <v>9.5154379999999996</v>
      </c>
      <c r="AB187" s="88">
        <v>9.51539</v>
      </c>
      <c r="AC187" s="88">
        <v>9.5153510000000008</v>
      </c>
      <c r="AD187" s="88">
        <v>9.5153219999999994</v>
      </c>
      <c r="AE187" s="88">
        <v>9.5152990000000006</v>
      </c>
      <c r="AF187" s="89">
        <v>8.1010000000000006E-3</v>
      </c>
      <c r="AG187" s="80"/>
    </row>
    <row r="188" spans="1:33" ht="12" customHeight="1" x14ac:dyDescent="0.25">
      <c r="A188" s="78" t="s">
        <v>479</v>
      </c>
      <c r="B188" s="87" t="s">
        <v>312</v>
      </c>
      <c r="C188" s="88">
        <v>7.1242470000000004</v>
      </c>
      <c r="D188" s="88">
        <v>7.2168130000000001</v>
      </c>
      <c r="E188" s="88">
        <v>7.3563900000000002</v>
      </c>
      <c r="F188" s="88">
        <v>7.5275650000000001</v>
      </c>
      <c r="G188" s="88">
        <v>7.7367249999999999</v>
      </c>
      <c r="H188" s="88">
        <v>7.9800310000000003</v>
      </c>
      <c r="I188" s="88">
        <v>8.1323980000000002</v>
      </c>
      <c r="J188" s="88">
        <v>8.3864009999999993</v>
      </c>
      <c r="K188" s="88">
        <v>8.6378269999999997</v>
      </c>
      <c r="L188" s="88">
        <v>8.8904259999999997</v>
      </c>
      <c r="M188" s="88">
        <v>9.1115209999999998</v>
      </c>
      <c r="N188" s="88">
        <v>9.2799289999999992</v>
      </c>
      <c r="O188" s="88">
        <v>9.3770019999999992</v>
      </c>
      <c r="P188" s="88">
        <v>9.4107590000000005</v>
      </c>
      <c r="Q188" s="88">
        <v>9.4246560000000006</v>
      </c>
      <c r="R188" s="88">
        <v>9.4245020000000004</v>
      </c>
      <c r="S188" s="88">
        <v>9.4241159999999997</v>
      </c>
      <c r="T188" s="88">
        <v>9.4238</v>
      </c>
      <c r="U188" s="88">
        <v>9.4235679999999995</v>
      </c>
      <c r="V188" s="88">
        <v>9.4233779999999996</v>
      </c>
      <c r="W188" s="88">
        <v>9.4232479999999992</v>
      </c>
      <c r="X188" s="88">
        <v>9.4231280000000002</v>
      </c>
      <c r="Y188" s="88">
        <v>9.4230619999999998</v>
      </c>
      <c r="Z188" s="88">
        <v>9.423019</v>
      </c>
      <c r="AA188" s="88">
        <v>9.4229979999999998</v>
      </c>
      <c r="AB188" s="88">
        <v>9.4229979999999998</v>
      </c>
      <c r="AC188" s="88">
        <v>9.4230040000000006</v>
      </c>
      <c r="AD188" s="88">
        <v>9.4230070000000001</v>
      </c>
      <c r="AE188" s="88">
        <v>9.4230029999999996</v>
      </c>
      <c r="AF188" s="89">
        <v>1.0038E-2</v>
      </c>
      <c r="AG188" s="80"/>
    </row>
    <row r="189" spans="1:33" ht="15" customHeight="1" x14ac:dyDescent="0.25">
      <c r="A189" s="78" t="s">
        <v>480</v>
      </c>
      <c r="B189" s="87" t="s">
        <v>314</v>
      </c>
      <c r="C189" s="88">
        <v>7.292211</v>
      </c>
      <c r="D189" s="88">
        <v>7.4884079999999997</v>
      </c>
      <c r="E189" s="88">
        <v>7.6983680000000003</v>
      </c>
      <c r="F189" s="88">
        <v>7.9397979999999997</v>
      </c>
      <c r="G189" s="88">
        <v>8.1937759999999997</v>
      </c>
      <c r="H189" s="88">
        <v>8.4428420000000006</v>
      </c>
      <c r="I189" s="88">
        <v>8.5494730000000008</v>
      </c>
      <c r="J189" s="88">
        <v>8.7347490000000008</v>
      </c>
      <c r="K189" s="88">
        <v>8.8995069999999998</v>
      </c>
      <c r="L189" s="88">
        <v>9.0537989999999997</v>
      </c>
      <c r="M189" s="88">
        <v>9.1548890000000007</v>
      </c>
      <c r="N189" s="88">
        <v>9.1676400000000005</v>
      </c>
      <c r="O189" s="88">
        <v>9.1625399999999999</v>
      </c>
      <c r="P189" s="88">
        <v>9.1586540000000003</v>
      </c>
      <c r="Q189" s="88">
        <v>9.1556639999999998</v>
      </c>
      <c r="R189" s="88">
        <v>9.1533379999999998</v>
      </c>
      <c r="S189" s="88">
        <v>9.1515199999999997</v>
      </c>
      <c r="T189" s="88">
        <v>9.1500839999999997</v>
      </c>
      <c r="U189" s="88">
        <v>9.1489410000000007</v>
      </c>
      <c r="V189" s="88">
        <v>9.1480250000000005</v>
      </c>
      <c r="W189" s="88">
        <v>9.1472890000000007</v>
      </c>
      <c r="X189" s="88">
        <v>9.1466879999999993</v>
      </c>
      <c r="Y189" s="88">
        <v>9.1461900000000007</v>
      </c>
      <c r="Z189" s="88">
        <v>9.1457750000000004</v>
      </c>
      <c r="AA189" s="88">
        <v>9.1454409999999999</v>
      </c>
      <c r="AB189" s="88">
        <v>9.1451709999999995</v>
      </c>
      <c r="AC189" s="88">
        <v>9.1449479999999994</v>
      </c>
      <c r="AD189" s="88">
        <v>9.1447570000000002</v>
      </c>
      <c r="AE189" s="88">
        <v>9.1445919999999994</v>
      </c>
      <c r="AF189" s="89">
        <v>8.1169999999999992E-3</v>
      </c>
      <c r="AG189" s="80"/>
    </row>
    <row r="190" spans="1:33" ht="15" customHeight="1" x14ac:dyDescent="0.25">
      <c r="A190" s="78" t="s">
        <v>481</v>
      </c>
      <c r="B190" s="87" t="s">
        <v>316</v>
      </c>
      <c r="C190" s="88">
        <v>7.268243</v>
      </c>
      <c r="D190" s="88">
        <v>7.4635480000000003</v>
      </c>
      <c r="E190" s="88">
        <v>7.6750480000000003</v>
      </c>
      <c r="F190" s="88">
        <v>7.9198219999999999</v>
      </c>
      <c r="G190" s="88">
        <v>8.185416</v>
      </c>
      <c r="H190" s="88">
        <v>8.4430309999999995</v>
      </c>
      <c r="I190" s="88">
        <v>8.5276650000000007</v>
      </c>
      <c r="J190" s="88">
        <v>8.7294079999999994</v>
      </c>
      <c r="K190" s="88">
        <v>8.9058630000000001</v>
      </c>
      <c r="L190" s="88">
        <v>9.0684369999999994</v>
      </c>
      <c r="M190" s="88">
        <v>9.1760070000000002</v>
      </c>
      <c r="N190" s="88">
        <v>9.2184139999999992</v>
      </c>
      <c r="O190" s="88">
        <v>9.2498050000000003</v>
      </c>
      <c r="P190" s="88">
        <v>9.2703319999999998</v>
      </c>
      <c r="Q190" s="88">
        <v>9.2718019999999992</v>
      </c>
      <c r="R190" s="88">
        <v>9.2710109999999997</v>
      </c>
      <c r="S190" s="88">
        <v>9.2704079999999998</v>
      </c>
      <c r="T190" s="88">
        <v>9.269933</v>
      </c>
      <c r="U190" s="88">
        <v>9.2696070000000006</v>
      </c>
      <c r="V190" s="88">
        <v>9.2693589999999997</v>
      </c>
      <c r="W190" s="88">
        <v>9.2692110000000003</v>
      </c>
      <c r="X190" s="88">
        <v>9.2690979999999996</v>
      </c>
      <c r="Y190" s="88">
        <v>9.2690529999999995</v>
      </c>
      <c r="Z190" s="88">
        <v>9.2689599999999999</v>
      </c>
      <c r="AA190" s="88">
        <v>9.2688970000000008</v>
      </c>
      <c r="AB190" s="88">
        <v>9.2687869999999997</v>
      </c>
      <c r="AC190" s="88">
        <v>9.2687290000000004</v>
      </c>
      <c r="AD190" s="88">
        <v>9.2686460000000004</v>
      </c>
      <c r="AE190" s="88">
        <v>9.2686039999999998</v>
      </c>
      <c r="AF190" s="89">
        <v>8.7209999999999996E-3</v>
      </c>
      <c r="AG190" s="80"/>
    </row>
    <row r="191" spans="1:33" ht="15" customHeight="1" x14ac:dyDescent="0.25">
      <c r="A191" s="78" t="s">
        <v>482</v>
      </c>
      <c r="B191" s="87" t="s">
        <v>318</v>
      </c>
      <c r="C191" s="88">
        <v>17.261649999999999</v>
      </c>
      <c r="D191" s="88">
        <v>17.508261000000001</v>
      </c>
      <c r="E191" s="88">
        <v>17.854417999999999</v>
      </c>
      <c r="F191" s="88">
        <v>18.277363000000001</v>
      </c>
      <c r="G191" s="88">
        <v>18.790918000000001</v>
      </c>
      <c r="H191" s="88">
        <v>19.316697999999999</v>
      </c>
      <c r="I191" s="88">
        <v>19.565182</v>
      </c>
      <c r="J191" s="88">
        <v>20.084275999999999</v>
      </c>
      <c r="K191" s="88">
        <v>20.588906999999999</v>
      </c>
      <c r="L191" s="88">
        <v>21.061657</v>
      </c>
      <c r="M191" s="88">
        <v>21.391763999999998</v>
      </c>
      <c r="N191" s="88">
        <v>21.534663999999999</v>
      </c>
      <c r="O191" s="88">
        <v>21.618568</v>
      </c>
      <c r="P191" s="88">
        <v>21.688912999999999</v>
      </c>
      <c r="Q191" s="88">
        <v>21.743261</v>
      </c>
      <c r="R191" s="88">
        <v>21.778696</v>
      </c>
      <c r="S191" s="88">
        <v>21.801825000000001</v>
      </c>
      <c r="T191" s="88">
        <v>21.804839999999999</v>
      </c>
      <c r="U191" s="88">
        <v>21.806774000000001</v>
      </c>
      <c r="V191" s="88">
        <v>21.808716</v>
      </c>
      <c r="W191" s="88">
        <v>21.810666999999999</v>
      </c>
      <c r="X191" s="88">
        <v>21.812643000000001</v>
      </c>
      <c r="Y191" s="88">
        <v>21.814662999999999</v>
      </c>
      <c r="Z191" s="88">
        <v>21.816706</v>
      </c>
      <c r="AA191" s="88">
        <v>21.818787</v>
      </c>
      <c r="AB191" s="88">
        <v>21.821026</v>
      </c>
      <c r="AC191" s="88">
        <v>21.823440999999999</v>
      </c>
      <c r="AD191" s="88">
        <v>21.825979</v>
      </c>
      <c r="AE191" s="88">
        <v>21.828533</v>
      </c>
      <c r="AF191" s="89">
        <v>8.4180000000000001E-3</v>
      </c>
      <c r="AG191" s="80"/>
    </row>
    <row r="192" spans="1:33" ht="15" customHeight="1" x14ac:dyDescent="0.25">
      <c r="A192" s="78" t="s">
        <v>483</v>
      </c>
      <c r="B192" s="87" t="s">
        <v>320</v>
      </c>
      <c r="C192" s="88">
        <v>0</v>
      </c>
      <c r="D192" s="88">
        <v>0</v>
      </c>
      <c r="E192" s="88">
        <v>14.553951</v>
      </c>
      <c r="F192" s="88">
        <v>15.06725</v>
      </c>
      <c r="G192" s="88">
        <v>15.341901</v>
      </c>
      <c r="H192" s="88">
        <v>15.710222999999999</v>
      </c>
      <c r="I192" s="88">
        <v>15.970879</v>
      </c>
      <c r="J192" s="88">
        <v>16.342666999999999</v>
      </c>
      <c r="K192" s="88">
        <v>16.697527000000001</v>
      </c>
      <c r="L192" s="88">
        <v>17.096664000000001</v>
      </c>
      <c r="M192" s="88">
        <v>17.514284</v>
      </c>
      <c r="N192" s="88">
        <v>17.923280999999999</v>
      </c>
      <c r="O192" s="88">
        <v>18.248905000000001</v>
      </c>
      <c r="P192" s="88">
        <v>18.335930000000001</v>
      </c>
      <c r="Q192" s="88">
        <v>18.547796000000002</v>
      </c>
      <c r="R192" s="88">
        <v>18.661673</v>
      </c>
      <c r="S192" s="88">
        <v>18.668140000000001</v>
      </c>
      <c r="T192" s="88">
        <v>18.668623</v>
      </c>
      <c r="U192" s="88">
        <v>18.665022</v>
      </c>
      <c r="V192" s="88">
        <v>18.661655</v>
      </c>
      <c r="W192" s="88">
        <v>18.658579</v>
      </c>
      <c r="X192" s="88">
        <v>18.654143999999999</v>
      </c>
      <c r="Y192" s="88">
        <v>18.648935000000002</v>
      </c>
      <c r="Z192" s="88">
        <v>18.644413</v>
      </c>
      <c r="AA192" s="88">
        <v>18.640536999999998</v>
      </c>
      <c r="AB192" s="88">
        <v>18.637250999999999</v>
      </c>
      <c r="AC192" s="88">
        <v>18.63447</v>
      </c>
      <c r="AD192" s="88">
        <v>18.632059000000002</v>
      </c>
      <c r="AE192" s="88">
        <v>18.629958999999999</v>
      </c>
      <c r="AF192" s="89" t="s">
        <v>321</v>
      </c>
      <c r="AG192" s="80"/>
    </row>
    <row r="193" spans="1:33" ht="15" customHeight="1" x14ac:dyDescent="0.25">
      <c r="A193" s="78" t="s">
        <v>484</v>
      </c>
      <c r="B193" s="87" t="s">
        <v>323</v>
      </c>
      <c r="C193" s="88">
        <v>0</v>
      </c>
      <c r="D193" s="88">
        <v>0</v>
      </c>
      <c r="E193" s="88">
        <v>10.500607</v>
      </c>
      <c r="F193" s="88">
        <v>10.816065</v>
      </c>
      <c r="G193" s="88">
        <v>10.962262000000001</v>
      </c>
      <c r="H193" s="88">
        <v>11.156472000000001</v>
      </c>
      <c r="I193" s="88">
        <v>11.301285999999999</v>
      </c>
      <c r="J193" s="88">
        <v>11.561089000000001</v>
      </c>
      <c r="K193" s="88">
        <v>11.822108999999999</v>
      </c>
      <c r="L193" s="88">
        <v>12.112679</v>
      </c>
      <c r="M193" s="88">
        <v>12.419242000000001</v>
      </c>
      <c r="N193" s="88">
        <v>12.713984999999999</v>
      </c>
      <c r="O193" s="88">
        <v>12.972481999999999</v>
      </c>
      <c r="P193" s="88">
        <v>13.026942</v>
      </c>
      <c r="Q193" s="88">
        <v>13.184941</v>
      </c>
      <c r="R193" s="88">
        <v>13.26976</v>
      </c>
      <c r="S193" s="88">
        <v>13.268578</v>
      </c>
      <c r="T193" s="88">
        <v>13.262771000000001</v>
      </c>
      <c r="U193" s="88">
        <v>13.254457</v>
      </c>
      <c r="V193" s="88">
        <v>13.247040999999999</v>
      </c>
      <c r="W193" s="88">
        <v>13.24062</v>
      </c>
      <c r="X193" s="88">
        <v>13.234921999999999</v>
      </c>
      <c r="Y193" s="88">
        <v>13.230038</v>
      </c>
      <c r="Z193" s="88">
        <v>13.225935</v>
      </c>
      <c r="AA193" s="88">
        <v>13.222815000000001</v>
      </c>
      <c r="AB193" s="88">
        <v>13.220615</v>
      </c>
      <c r="AC193" s="88">
        <v>13.219594000000001</v>
      </c>
      <c r="AD193" s="88">
        <v>13.219208999999999</v>
      </c>
      <c r="AE193" s="88">
        <v>13.183807</v>
      </c>
      <c r="AF193" s="89" t="s">
        <v>321</v>
      </c>
      <c r="AG193" s="80"/>
    </row>
    <row r="194" spans="1:33" ht="12" customHeight="1" x14ac:dyDescent="0.25">
      <c r="A194" s="78" t="s">
        <v>485</v>
      </c>
      <c r="B194" s="87" t="s">
        <v>325</v>
      </c>
      <c r="C194" s="88">
        <v>0</v>
      </c>
      <c r="D194" s="88">
        <v>0</v>
      </c>
      <c r="E194" s="88">
        <v>11.516576000000001</v>
      </c>
      <c r="F194" s="88">
        <v>11.5169</v>
      </c>
      <c r="G194" s="88">
        <v>11.51685</v>
      </c>
      <c r="H194" s="88">
        <v>11.516837000000001</v>
      </c>
      <c r="I194" s="88">
        <v>11.516859</v>
      </c>
      <c r="J194" s="88">
        <v>11.51688</v>
      </c>
      <c r="K194" s="88">
        <v>11.516907</v>
      </c>
      <c r="L194" s="88">
        <v>11.516935</v>
      </c>
      <c r="M194" s="88">
        <v>11.516961999999999</v>
      </c>
      <c r="N194" s="88">
        <v>11.516977000000001</v>
      </c>
      <c r="O194" s="88">
        <v>11.516978999999999</v>
      </c>
      <c r="P194" s="88">
        <v>11.51695</v>
      </c>
      <c r="Q194" s="88">
        <v>11.51689</v>
      </c>
      <c r="R194" s="88">
        <v>11.516907</v>
      </c>
      <c r="S194" s="88">
        <v>11.516923999999999</v>
      </c>
      <c r="T194" s="88">
        <v>11.516938</v>
      </c>
      <c r="U194" s="88">
        <v>11.516947999999999</v>
      </c>
      <c r="V194" s="88">
        <v>11.516954999999999</v>
      </c>
      <c r="W194" s="88">
        <v>11.516959999999999</v>
      </c>
      <c r="X194" s="88">
        <v>11.516964</v>
      </c>
      <c r="Y194" s="88">
        <v>11.516964</v>
      </c>
      <c r="Z194" s="88">
        <v>11.516968</v>
      </c>
      <c r="AA194" s="88">
        <v>11.516969</v>
      </c>
      <c r="AB194" s="88">
        <v>11.516973</v>
      </c>
      <c r="AC194" s="88">
        <v>11.516973999999999</v>
      </c>
      <c r="AD194" s="88">
        <v>11.516978</v>
      </c>
      <c r="AE194" s="88">
        <v>11.516980999999999</v>
      </c>
      <c r="AF194" s="89" t="s">
        <v>321</v>
      </c>
      <c r="AG194" s="80"/>
    </row>
    <row r="195" spans="1:33" ht="15" customHeight="1" x14ac:dyDescent="0.25">
      <c r="A195" s="78" t="s">
        <v>486</v>
      </c>
      <c r="B195" s="87" t="s">
        <v>419</v>
      </c>
      <c r="C195" s="88">
        <v>9.5247820000000001</v>
      </c>
      <c r="D195" s="88">
        <v>9.8885430000000003</v>
      </c>
      <c r="E195" s="88">
        <v>10.224921</v>
      </c>
      <c r="F195" s="88">
        <v>10.587244999999999</v>
      </c>
      <c r="G195" s="88">
        <v>10.97054</v>
      </c>
      <c r="H195" s="88">
        <v>11.328587000000001</v>
      </c>
      <c r="I195" s="88">
        <v>11.461983</v>
      </c>
      <c r="J195" s="88">
        <v>11.742497999999999</v>
      </c>
      <c r="K195" s="88">
        <v>11.992036000000001</v>
      </c>
      <c r="L195" s="88">
        <v>12.222080999999999</v>
      </c>
      <c r="M195" s="88">
        <v>12.347753000000001</v>
      </c>
      <c r="N195" s="88">
        <v>12.356037000000001</v>
      </c>
      <c r="O195" s="88">
        <v>12.361373</v>
      </c>
      <c r="P195" s="88">
        <v>12.357457</v>
      </c>
      <c r="Q195" s="88">
        <v>12.355285</v>
      </c>
      <c r="R195" s="88">
        <v>12.352421</v>
      </c>
      <c r="S195" s="88">
        <v>12.349617</v>
      </c>
      <c r="T195" s="88">
        <v>12.34694</v>
      </c>
      <c r="U195" s="88">
        <v>12.344196</v>
      </c>
      <c r="V195" s="88">
        <v>12.341397000000001</v>
      </c>
      <c r="W195" s="88">
        <v>12.33905</v>
      </c>
      <c r="X195" s="88">
        <v>12.337028</v>
      </c>
      <c r="Y195" s="88">
        <v>12.335281999999999</v>
      </c>
      <c r="Z195" s="88">
        <v>12.333774</v>
      </c>
      <c r="AA195" s="88">
        <v>12.332497999999999</v>
      </c>
      <c r="AB195" s="88">
        <v>12.33145</v>
      </c>
      <c r="AC195" s="88">
        <v>12.330605</v>
      </c>
      <c r="AD195" s="88">
        <v>12.329912999999999</v>
      </c>
      <c r="AE195" s="88">
        <v>12.329328</v>
      </c>
      <c r="AF195" s="89">
        <v>9.2599999999999991E-3</v>
      </c>
      <c r="AG195" s="80"/>
    </row>
    <row r="196" spans="1:33" ht="15" customHeight="1" x14ac:dyDescent="0.25">
      <c r="B196" s="86" t="s">
        <v>340</v>
      </c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80"/>
      <c r="AD196" s="80"/>
      <c r="AE196" s="80"/>
      <c r="AF196" s="80"/>
      <c r="AG196" s="80"/>
    </row>
    <row r="197" spans="1:33" ht="15" customHeight="1" x14ac:dyDescent="0.25">
      <c r="A197" s="78" t="s">
        <v>487</v>
      </c>
      <c r="B197" s="87" t="s">
        <v>308</v>
      </c>
      <c r="C197" s="88">
        <v>6.6741390000000003</v>
      </c>
      <c r="D197" s="88">
        <v>6.8852849999999997</v>
      </c>
      <c r="E197" s="88">
        <v>7.1006530000000003</v>
      </c>
      <c r="F197" s="88">
        <v>7.3028760000000004</v>
      </c>
      <c r="G197" s="88">
        <v>7.4948119999999996</v>
      </c>
      <c r="H197" s="88">
        <v>7.663227</v>
      </c>
      <c r="I197" s="88">
        <v>7.7350300000000001</v>
      </c>
      <c r="J197" s="88">
        <v>7.8437489999999999</v>
      </c>
      <c r="K197" s="88">
        <v>7.9559100000000003</v>
      </c>
      <c r="L197" s="88">
        <v>8.0614980000000003</v>
      </c>
      <c r="M197" s="88">
        <v>8.1245209999999997</v>
      </c>
      <c r="N197" s="88">
        <v>8.1302219999999998</v>
      </c>
      <c r="O197" s="88">
        <v>8.1312309999999997</v>
      </c>
      <c r="P197" s="88">
        <v>8.1314919999999997</v>
      </c>
      <c r="Q197" s="88">
        <v>8.1320390000000007</v>
      </c>
      <c r="R197" s="88">
        <v>8.132225</v>
      </c>
      <c r="S197" s="88">
        <v>8.1321949999999994</v>
      </c>
      <c r="T197" s="88">
        <v>8.1307700000000001</v>
      </c>
      <c r="U197" s="88">
        <v>8.1306799999999999</v>
      </c>
      <c r="V197" s="88">
        <v>8.1299430000000008</v>
      </c>
      <c r="W197" s="88">
        <v>8.1248360000000002</v>
      </c>
      <c r="X197" s="88">
        <v>8.1218679999999992</v>
      </c>
      <c r="Y197" s="88">
        <v>8.1227850000000004</v>
      </c>
      <c r="Z197" s="88">
        <v>8.1243200000000009</v>
      </c>
      <c r="AA197" s="88">
        <v>8.1272590000000005</v>
      </c>
      <c r="AB197" s="88">
        <v>8.1302529999999997</v>
      </c>
      <c r="AC197" s="88">
        <v>8.1340679999999992</v>
      </c>
      <c r="AD197" s="88">
        <v>8.1372649999999993</v>
      </c>
      <c r="AE197" s="88">
        <v>8.1407100000000003</v>
      </c>
      <c r="AF197" s="89">
        <v>7.1190000000000003E-3</v>
      </c>
      <c r="AG197" s="80"/>
    </row>
    <row r="198" spans="1:33" ht="15" customHeight="1" x14ac:dyDescent="0.25">
      <c r="A198" s="78" t="s">
        <v>488</v>
      </c>
      <c r="B198" s="87" t="s">
        <v>310</v>
      </c>
      <c r="C198" s="88">
        <v>6.9596289999999996</v>
      </c>
      <c r="D198" s="88">
        <v>5.9529370000000004</v>
      </c>
      <c r="E198" s="88">
        <v>6.0073610000000004</v>
      </c>
      <c r="F198" s="88">
        <v>6.0720479999999997</v>
      </c>
      <c r="G198" s="88">
        <v>6.1373980000000001</v>
      </c>
      <c r="H198" s="88">
        <v>6.2228519999999996</v>
      </c>
      <c r="I198" s="88">
        <v>6.2788729999999999</v>
      </c>
      <c r="J198" s="88">
        <v>6.3708169999999997</v>
      </c>
      <c r="K198" s="88">
        <v>6.4585290000000004</v>
      </c>
      <c r="L198" s="88">
        <v>6.5475839999999996</v>
      </c>
      <c r="M198" s="88">
        <v>6.6296109999999997</v>
      </c>
      <c r="N198" s="88">
        <v>6.6995250000000004</v>
      </c>
      <c r="O198" s="88">
        <v>6.7108980000000003</v>
      </c>
      <c r="P198" s="88">
        <v>6.7106630000000003</v>
      </c>
      <c r="Q198" s="88">
        <v>6.7066330000000001</v>
      </c>
      <c r="R198" s="88">
        <v>6.7053219999999998</v>
      </c>
      <c r="S198" s="88">
        <v>6.7082680000000003</v>
      </c>
      <c r="T198" s="88">
        <v>6.711773</v>
      </c>
      <c r="U198" s="88">
        <v>6.7035689999999999</v>
      </c>
      <c r="V198" s="88">
        <v>6.7096999999999998</v>
      </c>
      <c r="W198" s="88">
        <v>6.7159459999999997</v>
      </c>
      <c r="X198" s="88">
        <v>6.7233270000000003</v>
      </c>
      <c r="Y198" s="88">
        <v>6.7327940000000002</v>
      </c>
      <c r="Z198" s="88">
        <v>6.7314930000000004</v>
      </c>
      <c r="AA198" s="88">
        <v>6.7413860000000003</v>
      </c>
      <c r="AB198" s="88">
        <v>6.7536569999999996</v>
      </c>
      <c r="AC198" s="88">
        <v>6.7673569999999996</v>
      </c>
      <c r="AD198" s="88">
        <v>6.7780480000000001</v>
      </c>
      <c r="AE198" s="88">
        <v>6.7935040000000004</v>
      </c>
      <c r="AF198" s="89">
        <v>-8.6200000000000003E-4</v>
      </c>
      <c r="AG198" s="80"/>
    </row>
    <row r="199" spans="1:33" ht="15" customHeight="1" x14ac:dyDescent="0.25">
      <c r="A199" s="78" t="s">
        <v>489</v>
      </c>
      <c r="B199" s="87" t="s">
        <v>312</v>
      </c>
      <c r="C199" s="88">
        <v>6.8185469999999997</v>
      </c>
      <c r="D199" s="88">
        <v>5.9032249999999999</v>
      </c>
      <c r="E199" s="88">
        <v>5.9652900000000004</v>
      </c>
      <c r="F199" s="88">
        <v>6.0359860000000003</v>
      </c>
      <c r="G199" s="88">
        <v>6.1126189999999996</v>
      </c>
      <c r="H199" s="88">
        <v>6.2137469999999997</v>
      </c>
      <c r="I199" s="88">
        <v>6.279903</v>
      </c>
      <c r="J199" s="88">
        <v>6.3897709999999996</v>
      </c>
      <c r="K199" s="88">
        <v>6.5028079999999999</v>
      </c>
      <c r="L199" s="88">
        <v>6.6191000000000004</v>
      </c>
      <c r="M199" s="88">
        <v>6.7335399999999996</v>
      </c>
      <c r="N199" s="88">
        <v>6.8337839999999996</v>
      </c>
      <c r="O199" s="88">
        <v>6.8738299999999999</v>
      </c>
      <c r="P199" s="88">
        <v>6.8977680000000001</v>
      </c>
      <c r="Q199" s="88">
        <v>6.9141079999999997</v>
      </c>
      <c r="R199" s="88">
        <v>6.9316990000000001</v>
      </c>
      <c r="S199" s="88">
        <v>6.9468240000000003</v>
      </c>
      <c r="T199" s="88">
        <v>6.9481419999999998</v>
      </c>
      <c r="U199" s="88">
        <v>6.9544230000000002</v>
      </c>
      <c r="V199" s="88">
        <v>6.9588419999999998</v>
      </c>
      <c r="W199" s="88">
        <v>6.9626419999999998</v>
      </c>
      <c r="X199" s="88">
        <v>6.9627559999999997</v>
      </c>
      <c r="Y199" s="88">
        <v>6.967187</v>
      </c>
      <c r="Z199" s="88">
        <v>6.9683719999999996</v>
      </c>
      <c r="AA199" s="88">
        <v>6.9689730000000001</v>
      </c>
      <c r="AB199" s="88">
        <v>6.9715740000000004</v>
      </c>
      <c r="AC199" s="88">
        <v>6.9744000000000002</v>
      </c>
      <c r="AD199" s="88">
        <v>6.9764480000000004</v>
      </c>
      <c r="AE199" s="88">
        <v>6.9796610000000001</v>
      </c>
      <c r="AF199" s="89">
        <v>8.34E-4</v>
      </c>
      <c r="AG199" s="80"/>
    </row>
    <row r="200" spans="1:33" ht="12" customHeight="1" x14ac:dyDescent="0.25">
      <c r="A200" s="78" t="s">
        <v>490</v>
      </c>
      <c r="B200" s="87" t="s">
        <v>314</v>
      </c>
      <c r="C200" s="88">
        <v>6.2555990000000001</v>
      </c>
      <c r="D200" s="88">
        <v>6.4593990000000003</v>
      </c>
      <c r="E200" s="88">
        <v>6.6792319999999998</v>
      </c>
      <c r="F200" s="88">
        <v>6.8722630000000002</v>
      </c>
      <c r="G200" s="88">
        <v>7.0303750000000003</v>
      </c>
      <c r="H200" s="88">
        <v>7.197673</v>
      </c>
      <c r="I200" s="88">
        <v>7.2429790000000001</v>
      </c>
      <c r="J200" s="88">
        <v>7.3378269999999999</v>
      </c>
      <c r="K200" s="88">
        <v>7.4347209999999997</v>
      </c>
      <c r="L200" s="88">
        <v>7.5286330000000001</v>
      </c>
      <c r="M200" s="88">
        <v>7.5792349999999997</v>
      </c>
      <c r="N200" s="88">
        <v>7.5904689999999997</v>
      </c>
      <c r="O200" s="88">
        <v>7.592085</v>
      </c>
      <c r="P200" s="88">
        <v>7.5954969999999999</v>
      </c>
      <c r="Q200" s="88">
        <v>7.5945070000000001</v>
      </c>
      <c r="R200" s="88">
        <v>7.5939490000000003</v>
      </c>
      <c r="S200" s="88">
        <v>7.5919169999999996</v>
      </c>
      <c r="T200" s="88">
        <v>7.5879479999999999</v>
      </c>
      <c r="U200" s="88">
        <v>7.5832319999999998</v>
      </c>
      <c r="V200" s="88">
        <v>7.5789249999999999</v>
      </c>
      <c r="W200" s="88">
        <v>7.5766530000000003</v>
      </c>
      <c r="X200" s="88">
        <v>7.5721049999999996</v>
      </c>
      <c r="Y200" s="88">
        <v>7.5735400000000004</v>
      </c>
      <c r="Z200" s="88">
        <v>7.5757190000000003</v>
      </c>
      <c r="AA200" s="88">
        <v>7.5675840000000001</v>
      </c>
      <c r="AB200" s="88">
        <v>7.5741889999999996</v>
      </c>
      <c r="AC200" s="88">
        <v>7.5766689999999999</v>
      </c>
      <c r="AD200" s="88">
        <v>7.5783950000000004</v>
      </c>
      <c r="AE200" s="88">
        <v>7.5872270000000004</v>
      </c>
      <c r="AF200" s="89">
        <v>6.9160000000000003E-3</v>
      </c>
      <c r="AG200" s="80"/>
    </row>
    <row r="201" spans="1:33" ht="15" customHeight="1" x14ac:dyDescent="0.25">
      <c r="A201" s="78" t="s">
        <v>491</v>
      </c>
      <c r="B201" s="87" t="s">
        <v>316</v>
      </c>
      <c r="C201" s="88">
        <v>0</v>
      </c>
      <c r="D201" s="88">
        <v>0</v>
      </c>
      <c r="E201" s="88">
        <v>0</v>
      </c>
      <c r="F201" s="88">
        <v>0</v>
      </c>
      <c r="G201" s="88">
        <v>0</v>
      </c>
      <c r="H201" s="88">
        <v>0</v>
      </c>
      <c r="I201" s="88">
        <v>0</v>
      </c>
      <c r="J201" s="88">
        <v>0</v>
      </c>
      <c r="K201" s="88">
        <v>0</v>
      </c>
      <c r="L201" s="88">
        <v>0</v>
      </c>
      <c r="M201" s="88">
        <v>0</v>
      </c>
      <c r="N201" s="88">
        <v>0</v>
      </c>
      <c r="O201" s="88">
        <v>0</v>
      </c>
      <c r="P201" s="88">
        <v>0</v>
      </c>
      <c r="Q201" s="88">
        <v>0</v>
      </c>
      <c r="R201" s="88">
        <v>0</v>
      </c>
      <c r="S201" s="88">
        <v>0</v>
      </c>
      <c r="T201" s="88">
        <v>0</v>
      </c>
      <c r="U201" s="88">
        <v>0</v>
      </c>
      <c r="V201" s="88">
        <v>0</v>
      </c>
      <c r="W201" s="88">
        <v>0</v>
      </c>
      <c r="X201" s="88">
        <v>0</v>
      </c>
      <c r="Y201" s="88">
        <v>0</v>
      </c>
      <c r="Z201" s="88">
        <v>0</v>
      </c>
      <c r="AA201" s="88">
        <v>0</v>
      </c>
      <c r="AB201" s="88">
        <v>0</v>
      </c>
      <c r="AC201" s="88">
        <v>0</v>
      </c>
      <c r="AD201" s="88">
        <v>0</v>
      </c>
      <c r="AE201" s="88">
        <v>0</v>
      </c>
      <c r="AF201" s="89" t="s">
        <v>321</v>
      </c>
      <c r="AG201" s="80"/>
    </row>
    <row r="202" spans="1:33" ht="15" customHeight="1" x14ac:dyDescent="0.25">
      <c r="A202" s="78" t="s">
        <v>492</v>
      </c>
      <c r="B202" s="87" t="s">
        <v>318</v>
      </c>
      <c r="C202" s="88">
        <v>10.834061999999999</v>
      </c>
      <c r="D202" s="88">
        <v>10.882393</v>
      </c>
      <c r="E202" s="88">
        <v>10.964416999999999</v>
      </c>
      <c r="F202" s="88">
        <v>11.061455</v>
      </c>
      <c r="G202" s="88">
        <v>11.153900999999999</v>
      </c>
      <c r="H202" s="88">
        <v>11.253285</v>
      </c>
      <c r="I202" s="88">
        <v>11.296942</v>
      </c>
      <c r="J202" s="88">
        <v>11.379332</v>
      </c>
      <c r="K202" s="88">
        <v>11.454438</v>
      </c>
      <c r="L202" s="88">
        <v>11.507104</v>
      </c>
      <c r="M202" s="88">
        <v>11.546773</v>
      </c>
      <c r="N202" s="88">
        <v>11.565410999999999</v>
      </c>
      <c r="O202" s="88">
        <v>11.569518</v>
      </c>
      <c r="P202" s="88">
        <v>11.570686</v>
      </c>
      <c r="Q202" s="88">
        <v>11.571607</v>
      </c>
      <c r="R202" s="88">
        <v>11.572569</v>
      </c>
      <c r="S202" s="88">
        <v>11.573530999999999</v>
      </c>
      <c r="T202" s="88">
        <v>11.574866</v>
      </c>
      <c r="U202" s="88">
        <v>11.57612</v>
      </c>
      <c r="V202" s="88">
        <v>11.575917</v>
      </c>
      <c r="W202" s="88">
        <v>11.578455</v>
      </c>
      <c r="X202" s="88">
        <v>11.581327</v>
      </c>
      <c r="Y202" s="88">
        <v>11.584543</v>
      </c>
      <c r="Z202" s="88">
        <v>11.58811</v>
      </c>
      <c r="AA202" s="88">
        <v>11.592025</v>
      </c>
      <c r="AB202" s="88">
        <v>11.596264</v>
      </c>
      <c r="AC202" s="88">
        <v>11.600784000000001</v>
      </c>
      <c r="AD202" s="88">
        <v>11.605504</v>
      </c>
      <c r="AE202" s="88">
        <v>11.610388</v>
      </c>
      <c r="AF202" s="89">
        <v>2.4750000000000002E-3</v>
      </c>
      <c r="AG202" s="80"/>
    </row>
    <row r="203" spans="1:33" ht="15" customHeight="1" x14ac:dyDescent="0.25">
      <c r="A203" s="78" t="s">
        <v>493</v>
      </c>
      <c r="B203" s="87" t="s">
        <v>320</v>
      </c>
      <c r="C203" s="88">
        <v>0</v>
      </c>
      <c r="D203" s="88">
        <v>0</v>
      </c>
      <c r="E203" s="88">
        <v>1.546108</v>
      </c>
      <c r="F203" s="88">
        <v>9.1605530000000002</v>
      </c>
      <c r="G203" s="88">
        <v>9.3005800000000001</v>
      </c>
      <c r="H203" s="88">
        <v>9.4671909999999997</v>
      </c>
      <c r="I203" s="88">
        <v>9.5727759999999993</v>
      </c>
      <c r="J203" s="88">
        <v>9.7524759999999997</v>
      </c>
      <c r="K203" s="88">
        <v>9.9656310000000001</v>
      </c>
      <c r="L203" s="88">
        <v>10.195888999999999</v>
      </c>
      <c r="M203" s="88">
        <v>10.426992</v>
      </c>
      <c r="N203" s="88">
        <v>10.635256999999999</v>
      </c>
      <c r="O203" s="88">
        <v>10.808609000000001</v>
      </c>
      <c r="P203" s="88">
        <v>10.854663</v>
      </c>
      <c r="Q203" s="88">
        <v>10.974729</v>
      </c>
      <c r="R203" s="88">
        <v>11.053928000000001</v>
      </c>
      <c r="S203" s="88">
        <v>11.057185</v>
      </c>
      <c r="T203" s="88">
        <v>11.058393000000001</v>
      </c>
      <c r="U203" s="88">
        <v>11.058843</v>
      </c>
      <c r="V203" s="88">
        <v>11.059227999999999</v>
      </c>
      <c r="W203" s="88">
        <v>11.059545999999999</v>
      </c>
      <c r="X203" s="88">
        <v>11.059043000000001</v>
      </c>
      <c r="Y203" s="88">
        <v>11.057752000000001</v>
      </c>
      <c r="Z203" s="88">
        <v>11.056799</v>
      </c>
      <c r="AA203" s="88">
        <v>11.056058999999999</v>
      </c>
      <c r="AB203" s="88">
        <v>11.055630000000001</v>
      </c>
      <c r="AC203" s="88">
        <v>11.055448999999999</v>
      </c>
      <c r="AD203" s="88">
        <v>11.055422999999999</v>
      </c>
      <c r="AE203" s="88">
        <v>11.055533</v>
      </c>
      <c r="AF203" s="89" t="s">
        <v>321</v>
      </c>
      <c r="AG203" s="80"/>
    </row>
    <row r="204" spans="1:33" ht="12" customHeight="1" x14ac:dyDescent="0.25">
      <c r="A204" s="78" t="s">
        <v>494</v>
      </c>
      <c r="B204" s="87" t="s">
        <v>323</v>
      </c>
      <c r="C204" s="88">
        <v>0</v>
      </c>
      <c r="D204" s="88">
        <v>0</v>
      </c>
      <c r="E204" s="88">
        <v>1.475894</v>
      </c>
      <c r="F204" s="88">
        <v>9.1378389999999996</v>
      </c>
      <c r="G204" s="88">
        <v>9.2392439999999993</v>
      </c>
      <c r="H204" s="88">
        <v>9.3649430000000002</v>
      </c>
      <c r="I204" s="88">
        <v>9.4529390000000006</v>
      </c>
      <c r="J204" s="88">
        <v>9.6037499999999998</v>
      </c>
      <c r="K204" s="88">
        <v>9.7867789999999992</v>
      </c>
      <c r="L204" s="88">
        <v>9.9874130000000001</v>
      </c>
      <c r="M204" s="88">
        <v>10.191250999999999</v>
      </c>
      <c r="N204" s="88">
        <v>10.398272</v>
      </c>
      <c r="O204" s="88">
        <v>10.578143000000001</v>
      </c>
      <c r="P204" s="88">
        <v>10.638639</v>
      </c>
      <c r="Q204" s="88">
        <v>10.754894</v>
      </c>
      <c r="R204" s="88">
        <v>10.829401000000001</v>
      </c>
      <c r="S204" s="88">
        <v>10.826708999999999</v>
      </c>
      <c r="T204" s="88">
        <v>10.823515</v>
      </c>
      <c r="U204" s="88">
        <v>10.820962</v>
      </c>
      <c r="V204" s="88">
        <v>10.818721999999999</v>
      </c>
      <c r="W204" s="88">
        <v>10.816976</v>
      </c>
      <c r="X204" s="88">
        <v>10.815467999999999</v>
      </c>
      <c r="Y204" s="88">
        <v>10.814412000000001</v>
      </c>
      <c r="Z204" s="88">
        <v>10.81321</v>
      </c>
      <c r="AA204" s="88">
        <v>10.812366000000001</v>
      </c>
      <c r="AB204" s="88">
        <v>10.811446</v>
      </c>
      <c r="AC204" s="88">
        <v>10.811028</v>
      </c>
      <c r="AD204" s="88">
        <v>10.810542</v>
      </c>
      <c r="AE204" s="88">
        <v>10.81532</v>
      </c>
      <c r="AF204" s="89" t="s">
        <v>321</v>
      </c>
      <c r="AG204" s="80"/>
    </row>
    <row r="205" spans="1:33" ht="15" customHeight="1" x14ac:dyDescent="0.25">
      <c r="A205" s="78" t="s">
        <v>495</v>
      </c>
      <c r="B205" s="87" t="s">
        <v>325</v>
      </c>
      <c r="C205" s="88">
        <v>0</v>
      </c>
      <c r="D205" s="88">
        <v>0</v>
      </c>
      <c r="E205" s="88">
        <v>7.1006340000000003</v>
      </c>
      <c r="F205" s="88">
        <v>7.1107129999999996</v>
      </c>
      <c r="G205" s="88">
        <v>7.1105650000000002</v>
      </c>
      <c r="H205" s="88">
        <v>7.1104979999999998</v>
      </c>
      <c r="I205" s="88">
        <v>7.1103259999999997</v>
      </c>
      <c r="J205" s="88">
        <v>7.1101960000000002</v>
      </c>
      <c r="K205" s="88">
        <v>7.1098470000000002</v>
      </c>
      <c r="L205" s="88">
        <v>7.1094480000000004</v>
      </c>
      <c r="M205" s="88">
        <v>7.1093760000000001</v>
      </c>
      <c r="N205" s="88">
        <v>7.1094819999999999</v>
      </c>
      <c r="O205" s="88">
        <v>7.1096539999999999</v>
      </c>
      <c r="P205" s="88">
        <v>7.1098749999999997</v>
      </c>
      <c r="Q205" s="88">
        <v>7.1101169999999998</v>
      </c>
      <c r="R205" s="88">
        <v>7.110366</v>
      </c>
      <c r="S205" s="88">
        <v>7.110633</v>
      </c>
      <c r="T205" s="88">
        <v>7.1109080000000002</v>
      </c>
      <c r="U205" s="88">
        <v>7.1111890000000004</v>
      </c>
      <c r="V205" s="88">
        <v>7.1114670000000002</v>
      </c>
      <c r="W205" s="88">
        <v>7.1117710000000001</v>
      </c>
      <c r="X205" s="88">
        <v>7.112063</v>
      </c>
      <c r="Y205" s="88">
        <v>7.1123690000000002</v>
      </c>
      <c r="Z205" s="88">
        <v>7.1126670000000001</v>
      </c>
      <c r="AA205" s="88">
        <v>7.1129499999999997</v>
      </c>
      <c r="AB205" s="88">
        <v>7.1132410000000004</v>
      </c>
      <c r="AC205" s="88">
        <v>7.113537</v>
      </c>
      <c r="AD205" s="88">
        <v>7.1138349999999999</v>
      </c>
      <c r="AE205" s="88">
        <v>7.1141290000000001</v>
      </c>
      <c r="AF205" s="89" t="s">
        <v>321</v>
      </c>
      <c r="AG205" s="80"/>
    </row>
    <row r="206" spans="1:33" ht="15" customHeight="1" x14ac:dyDescent="0.25">
      <c r="A206" s="78" t="s">
        <v>496</v>
      </c>
      <c r="B206" s="87" t="s">
        <v>430</v>
      </c>
      <c r="C206" s="88">
        <v>6.6682579999999998</v>
      </c>
      <c r="D206" s="88">
        <v>6.8778709999999998</v>
      </c>
      <c r="E206" s="88">
        <v>7.093121</v>
      </c>
      <c r="F206" s="88">
        <v>7.29514</v>
      </c>
      <c r="G206" s="88">
        <v>7.4865729999999999</v>
      </c>
      <c r="H206" s="88">
        <v>7.6551429999999998</v>
      </c>
      <c r="I206" s="88">
        <v>7.7268739999999996</v>
      </c>
      <c r="J206" s="88">
        <v>7.8356810000000001</v>
      </c>
      <c r="K206" s="88">
        <v>7.9478730000000004</v>
      </c>
      <c r="L206" s="88">
        <v>8.0532990000000009</v>
      </c>
      <c r="M206" s="88">
        <v>8.1160700000000006</v>
      </c>
      <c r="N206" s="88">
        <v>8.1216530000000002</v>
      </c>
      <c r="O206" s="88">
        <v>8.1223130000000001</v>
      </c>
      <c r="P206" s="88">
        <v>8.1222189999999994</v>
      </c>
      <c r="Q206" s="88">
        <v>8.1223200000000002</v>
      </c>
      <c r="R206" s="88">
        <v>8.1220510000000008</v>
      </c>
      <c r="S206" s="88">
        <v>8.1215309999999992</v>
      </c>
      <c r="T206" s="88">
        <v>8.1195880000000002</v>
      </c>
      <c r="U206" s="88">
        <v>8.1188830000000003</v>
      </c>
      <c r="V206" s="88">
        <v>8.1175420000000003</v>
      </c>
      <c r="W206" s="88">
        <v>8.1119409999999998</v>
      </c>
      <c r="X206" s="88">
        <v>8.1083350000000003</v>
      </c>
      <c r="Y206" s="88">
        <v>8.1086290000000005</v>
      </c>
      <c r="Z206" s="88">
        <v>8.1095199999999998</v>
      </c>
      <c r="AA206" s="88">
        <v>8.1115200000000005</v>
      </c>
      <c r="AB206" s="88">
        <v>8.1139039999999998</v>
      </c>
      <c r="AC206" s="88">
        <v>8.1169639999999994</v>
      </c>
      <c r="AD206" s="88">
        <v>8.1193819999999999</v>
      </c>
      <c r="AE206" s="88">
        <v>8.1222469999999998</v>
      </c>
      <c r="AF206" s="89">
        <v>7.0689999999999998E-3</v>
      </c>
      <c r="AG206" s="80"/>
    </row>
    <row r="207" spans="1:33" ht="15" customHeight="1" x14ac:dyDescent="0.25">
      <c r="A207" s="78" t="s">
        <v>497</v>
      </c>
      <c r="B207" s="86" t="s">
        <v>432</v>
      </c>
      <c r="C207" s="90">
        <v>7.9143220000000003</v>
      </c>
      <c r="D207" s="90">
        <v>8.2052589999999999</v>
      </c>
      <c r="E207" s="90">
        <v>8.5296900000000004</v>
      </c>
      <c r="F207" s="90">
        <v>8.8359380000000005</v>
      </c>
      <c r="G207" s="90">
        <v>9.0870700000000006</v>
      </c>
      <c r="H207" s="90">
        <v>9.2903500000000001</v>
      </c>
      <c r="I207" s="90">
        <v>9.3778360000000003</v>
      </c>
      <c r="J207" s="90">
        <v>9.5450739999999996</v>
      </c>
      <c r="K207" s="90">
        <v>9.7218040000000006</v>
      </c>
      <c r="L207" s="90">
        <v>9.8842239999999997</v>
      </c>
      <c r="M207" s="90">
        <v>9.9741850000000003</v>
      </c>
      <c r="N207" s="90">
        <v>9.9937349999999991</v>
      </c>
      <c r="O207" s="90">
        <v>10.014434</v>
      </c>
      <c r="P207" s="90">
        <v>10.036740999999999</v>
      </c>
      <c r="Q207" s="90">
        <v>10.062286</v>
      </c>
      <c r="R207" s="90">
        <v>10.086017</v>
      </c>
      <c r="S207" s="90">
        <v>10.112781999999999</v>
      </c>
      <c r="T207" s="90">
        <v>10.137606</v>
      </c>
      <c r="U207" s="90">
        <v>10.162179999999999</v>
      </c>
      <c r="V207" s="90">
        <v>10.179931</v>
      </c>
      <c r="W207" s="90">
        <v>10.198067999999999</v>
      </c>
      <c r="X207" s="90">
        <v>10.214041</v>
      </c>
      <c r="Y207" s="90">
        <v>10.242611</v>
      </c>
      <c r="Z207" s="90">
        <v>10.288869</v>
      </c>
      <c r="AA207" s="90">
        <v>10.332796999999999</v>
      </c>
      <c r="AB207" s="90">
        <v>10.365648999999999</v>
      </c>
      <c r="AC207" s="90">
        <v>10.388572999999999</v>
      </c>
      <c r="AD207" s="90">
        <v>10.421341999999999</v>
      </c>
      <c r="AE207" s="90">
        <v>10.451606999999999</v>
      </c>
      <c r="AF207" s="91">
        <v>9.9810000000000003E-3</v>
      </c>
      <c r="AG207" s="80"/>
    </row>
    <row r="208" spans="1:33" ht="15" customHeight="1" x14ac:dyDescent="0.25"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</row>
    <row r="209" spans="1:33" ht="12" customHeight="1" x14ac:dyDescent="0.25">
      <c r="B209" s="86" t="s">
        <v>498</v>
      </c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80"/>
      <c r="AD209" s="80"/>
      <c r="AE209" s="80"/>
      <c r="AF209" s="80"/>
      <c r="AG209" s="80"/>
    </row>
    <row r="210" spans="1:33" ht="15" customHeight="1" x14ac:dyDescent="0.25">
      <c r="B210" s="86" t="s">
        <v>306</v>
      </c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</row>
    <row r="211" spans="1:33" ht="15" customHeight="1" x14ac:dyDescent="0.25">
      <c r="A211" s="78" t="s">
        <v>499</v>
      </c>
      <c r="B211" s="87" t="s">
        <v>308</v>
      </c>
      <c r="C211" s="88">
        <v>136.77049299999999</v>
      </c>
      <c r="D211" s="88">
        <v>142.56779499999999</v>
      </c>
      <c r="E211" s="88">
        <v>150.771683</v>
      </c>
      <c r="F211" s="88">
        <v>157.08109999999999</v>
      </c>
      <c r="G211" s="88">
        <v>160.30355800000001</v>
      </c>
      <c r="H211" s="88">
        <v>162.00412</v>
      </c>
      <c r="I211" s="88">
        <v>163.38394199999999</v>
      </c>
      <c r="J211" s="88">
        <v>165.319534</v>
      </c>
      <c r="K211" s="88">
        <v>166.83865399999999</v>
      </c>
      <c r="L211" s="88">
        <v>168.393936</v>
      </c>
      <c r="M211" s="88">
        <v>170.32385300000001</v>
      </c>
      <c r="N211" s="88">
        <v>171.88102699999999</v>
      </c>
      <c r="O211" s="88">
        <v>174.06727599999999</v>
      </c>
      <c r="P211" s="88">
        <v>177.34086600000001</v>
      </c>
      <c r="Q211" s="88">
        <v>181.10180700000001</v>
      </c>
      <c r="R211" s="88">
        <v>184.59545900000001</v>
      </c>
      <c r="S211" s="88">
        <v>188.38859600000001</v>
      </c>
      <c r="T211" s="88">
        <v>191.97610499999999</v>
      </c>
      <c r="U211" s="88">
        <v>195.80365</v>
      </c>
      <c r="V211" s="88">
        <v>198.572205</v>
      </c>
      <c r="W211" s="88">
        <v>201.28009</v>
      </c>
      <c r="X211" s="88">
        <v>203.783401</v>
      </c>
      <c r="Y211" s="88">
        <v>206.34025600000001</v>
      </c>
      <c r="Z211" s="88">
        <v>210.204849</v>
      </c>
      <c r="AA211" s="88">
        <v>213.990906</v>
      </c>
      <c r="AB211" s="88">
        <v>217.19418300000001</v>
      </c>
      <c r="AC211" s="88">
        <v>219.837097</v>
      </c>
      <c r="AD211" s="88">
        <v>223.46331799999999</v>
      </c>
      <c r="AE211" s="88">
        <v>227.60270700000001</v>
      </c>
      <c r="AF211" s="89">
        <v>1.8356000000000001E-2</v>
      </c>
      <c r="AG211" s="80"/>
    </row>
    <row r="212" spans="1:33" ht="15" customHeight="1" x14ac:dyDescent="0.25">
      <c r="A212" s="78" t="s">
        <v>500</v>
      </c>
      <c r="B212" s="87" t="s">
        <v>310</v>
      </c>
      <c r="C212" s="88">
        <v>103.59671</v>
      </c>
      <c r="D212" s="88">
        <v>106.848747</v>
      </c>
      <c r="E212" s="88">
        <v>111.904686</v>
      </c>
      <c r="F212" s="88">
        <v>115.554222</v>
      </c>
      <c r="G212" s="88">
        <v>116.96676600000001</v>
      </c>
      <c r="H212" s="88">
        <v>117.32727800000001</v>
      </c>
      <c r="I212" s="88">
        <v>117.518852</v>
      </c>
      <c r="J212" s="88">
        <v>118.16703</v>
      </c>
      <c r="K212" s="88">
        <v>118.568787</v>
      </c>
      <c r="L212" s="88">
        <v>119.044769</v>
      </c>
      <c r="M212" s="88">
        <v>119.82862900000001</v>
      </c>
      <c r="N212" s="88">
        <v>120.389702</v>
      </c>
      <c r="O212" s="88">
        <v>121.42692599999999</v>
      </c>
      <c r="P212" s="88">
        <v>123.25087000000001</v>
      </c>
      <c r="Q212" s="88">
        <v>125.43590500000001</v>
      </c>
      <c r="R212" s="88">
        <v>127.456306</v>
      </c>
      <c r="S212" s="88">
        <v>129.702652</v>
      </c>
      <c r="T212" s="88">
        <v>131.82530199999999</v>
      </c>
      <c r="U212" s="88">
        <v>134.129547</v>
      </c>
      <c r="V212" s="88">
        <v>135.72537199999999</v>
      </c>
      <c r="W212" s="88">
        <v>137.29719499999999</v>
      </c>
      <c r="X212" s="88">
        <v>138.74612400000001</v>
      </c>
      <c r="Y212" s="88">
        <v>140.24710099999999</v>
      </c>
      <c r="Z212" s="88">
        <v>142.65003999999999</v>
      </c>
      <c r="AA212" s="88">
        <v>145.01057399999999</v>
      </c>
      <c r="AB212" s="88">
        <v>146.987076</v>
      </c>
      <c r="AC212" s="88">
        <v>148.59549000000001</v>
      </c>
      <c r="AD212" s="88">
        <v>150.87861599999999</v>
      </c>
      <c r="AE212" s="88">
        <v>153.516571</v>
      </c>
      <c r="AF212" s="89">
        <v>1.4146000000000001E-2</v>
      </c>
      <c r="AG212" s="80"/>
    </row>
    <row r="213" spans="1:33" ht="15" customHeight="1" x14ac:dyDescent="0.25">
      <c r="A213" s="78" t="s">
        <v>501</v>
      </c>
      <c r="B213" s="87" t="s">
        <v>312</v>
      </c>
      <c r="C213" s="88">
        <v>0</v>
      </c>
      <c r="D213" s="88">
        <v>0.27569399999999999</v>
      </c>
      <c r="E213" s="88">
        <v>0.28487499999999999</v>
      </c>
      <c r="F213" s="88">
        <v>0.28564000000000001</v>
      </c>
      <c r="G213" s="88">
        <v>0.29235</v>
      </c>
      <c r="H213" s="88">
        <v>0.29807899999999998</v>
      </c>
      <c r="I213" s="88">
        <v>0.303676</v>
      </c>
      <c r="J213" s="88">
        <v>0.31213600000000002</v>
      </c>
      <c r="K213" s="88">
        <v>0.32277899999999998</v>
      </c>
      <c r="L213" s="88">
        <v>0.33666600000000002</v>
      </c>
      <c r="M213" s="88">
        <v>0.35173100000000002</v>
      </c>
      <c r="N213" s="88">
        <v>0.36679499999999998</v>
      </c>
      <c r="O213" s="88">
        <v>0.38325999999999999</v>
      </c>
      <c r="P213" s="88">
        <v>0.40495500000000001</v>
      </c>
      <c r="Q213" s="88">
        <v>0.43248700000000001</v>
      </c>
      <c r="R213" s="88">
        <v>0.46502100000000002</v>
      </c>
      <c r="S213" s="88">
        <v>0.50168199999999996</v>
      </c>
      <c r="T213" s="88">
        <v>0.54403000000000001</v>
      </c>
      <c r="U213" s="88">
        <v>0.59080999999999995</v>
      </c>
      <c r="V213" s="88">
        <v>0.64069900000000002</v>
      </c>
      <c r="W213" s="88">
        <v>0.693214</v>
      </c>
      <c r="X213" s="88">
        <v>0.75207100000000005</v>
      </c>
      <c r="Y213" s="88">
        <v>0.81472999999999995</v>
      </c>
      <c r="Z213" s="88">
        <v>0.88600299999999999</v>
      </c>
      <c r="AA213" s="88">
        <v>0.95893600000000001</v>
      </c>
      <c r="AB213" s="88">
        <v>1.030097</v>
      </c>
      <c r="AC213" s="88">
        <v>1.0986610000000001</v>
      </c>
      <c r="AD213" s="88">
        <v>1.166161</v>
      </c>
      <c r="AE213" s="88">
        <v>1.234235</v>
      </c>
      <c r="AF213" s="89" t="s">
        <v>321</v>
      </c>
      <c r="AG213" s="80"/>
    </row>
    <row r="214" spans="1:33" ht="15" customHeight="1" x14ac:dyDescent="0.25">
      <c r="A214" s="78" t="s">
        <v>502</v>
      </c>
      <c r="B214" s="87" t="s">
        <v>314</v>
      </c>
      <c r="C214" s="88">
        <v>0</v>
      </c>
      <c r="D214" s="88">
        <v>0</v>
      </c>
      <c r="E214" s="88">
        <v>0</v>
      </c>
      <c r="F214" s="88">
        <v>0</v>
      </c>
      <c r="G214" s="88">
        <v>0</v>
      </c>
      <c r="H214" s="88">
        <v>0</v>
      </c>
      <c r="I214" s="88">
        <v>0</v>
      </c>
      <c r="J214" s="88">
        <v>0</v>
      </c>
      <c r="K214" s="88">
        <v>0</v>
      </c>
      <c r="L214" s="88">
        <v>0</v>
      </c>
      <c r="M214" s="88">
        <v>0</v>
      </c>
      <c r="N214" s="88">
        <v>0</v>
      </c>
      <c r="O214" s="88">
        <v>0</v>
      </c>
      <c r="P214" s="88">
        <v>0</v>
      </c>
      <c r="Q214" s="88">
        <v>0</v>
      </c>
      <c r="R214" s="88">
        <v>0</v>
      </c>
      <c r="S214" s="88">
        <v>0</v>
      </c>
      <c r="T214" s="88">
        <v>0</v>
      </c>
      <c r="U214" s="88">
        <v>0</v>
      </c>
      <c r="V214" s="88">
        <v>0</v>
      </c>
      <c r="W214" s="88">
        <v>0</v>
      </c>
      <c r="X214" s="88">
        <v>0</v>
      </c>
      <c r="Y214" s="88">
        <v>0</v>
      </c>
      <c r="Z214" s="88">
        <v>0</v>
      </c>
      <c r="AA214" s="88">
        <v>0</v>
      </c>
      <c r="AB214" s="88">
        <v>0</v>
      </c>
      <c r="AC214" s="88">
        <v>0</v>
      </c>
      <c r="AD214" s="88">
        <v>0</v>
      </c>
      <c r="AE214" s="88">
        <v>0</v>
      </c>
      <c r="AF214" s="89" t="s">
        <v>321</v>
      </c>
      <c r="AG214" s="80"/>
    </row>
    <row r="215" spans="1:33" ht="15" customHeight="1" x14ac:dyDescent="0.25">
      <c r="A215" s="78" t="s">
        <v>503</v>
      </c>
      <c r="B215" s="87" t="s">
        <v>316</v>
      </c>
      <c r="C215" s="88">
        <v>11.755768</v>
      </c>
      <c r="D215" s="88">
        <v>11.862360000000001</v>
      </c>
      <c r="E215" s="88">
        <v>12.543434</v>
      </c>
      <c r="F215" s="88">
        <v>12.408045</v>
      </c>
      <c r="G215" s="88">
        <v>12.201530999999999</v>
      </c>
      <c r="H215" s="88">
        <v>12.086430999999999</v>
      </c>
      <c r="I215" s="88">
        <v>11.693008000000001</v>
      </c>
      <c r="J215" s="88">
        <v>11.609571000000001</v>
      </c>
      <c r="K215" s="88">
        <v>11.587203000000001</v>
      </c>
      <c r="L215" s="88">
        <v>11.766098</v>
      </c>
      <c r="M215" s="88">
        <v>11.835867</v>
      </c>
      <c r="N215" s="88">
        <v>12.092966000000001</v>
      </c>
      <c r="O215" s="88">
        <v>12.317826999999999</v>
      </c>
      <c r="P215" s="88">
        <v>12.631629</v>
      </c>
      <c r="Q215" s="88">
        <v>12.885059999999999</v>
      </c>
      <c r="R215" s="88">
        <v>13.143001999999999</v>
      </c>
      <c r="S215" s="88">
        <v>13.377981</v>
      </c>
      <c r="T215" s="88">
        <v>13.633929999999999</v>
      </c>
      <c r="U215" s="88">
        <v>13.884437</v>
      </c>
      <c r="V215" s="88">
        <v>14.094258</v>
      </c>
      <c r="W215" s="88">
        <v>14.300129999999999</v>
      </c>
      <c r="X215" s="88">
        <v>14.546765000000001</v>
      </c>
      <c r="Y215" s="88">
        <v>14.697861</v>
      </c>
      <c r="Z215" s="88">
        <v>14.965305000000001</v>
      </c>
      <c r="AA215" s="88">
        <v>15.107173</v>
      </c>
      <c r="AB215" s="88">
        <v>15.276312000000001</v>
      </c>
      <c r="AC215" s="88">
        <v>15.38072</v>
      </c>
      <c r="AD215" s="88">
        <v>15.579879</v>
      </c>
      <c r="AE215" s="88">
        <v>15.731930999999999</v>
      </c>
      <c r="AF215" s="89">
        <v>1.0460000000000001E-2</v>
      </c>
      <c r="AG215" s="80"/>
    </row>
    <row r="216" spans="1:33" ht="15" customHeight="1" x14ac:dyDescent="0.25">
      <c r="A216" s="78" t="s">
        <v>504</v>
      </c>
      <c r="B216" s="87" t="s">
        <v>318</v>
      </c>
      <c r="C216" s="88">
        <v>0</v>
      </c>
      <c r="D216" s="88">
        <v>0</v>
      </c>
      <c r="E216" s="88">
        <v>0</v>
      </c>
      <c r="F216" s="88">
        <v>0</v>
      </c>
      <c r="G216" s="88">
        <v>0</v>
      </c>
      <c r="H216" s="88">
        <v>0</v>
      </c>
      <c r="I216" s="88">
        <v>0</v>
      </c>
      <c r="J216" s="88">
        <v>0</v>
      </c>
      <c r="K216" s="88">
        <v>0</v>
      </c>
      <c r="L216" s="88">
        <v>0</v>
      </c>
      <c r="M216" s="88">
        <v>0</v>
      </c>
      <c r="N216" s="88">
        <v>0</v>
      </c>
      <c r="O216" s="88">
        <v>0</v>
      </c>
      <c r="P216" s="88">
        <v>0</v>
      </c>
      <c r="Q216" s="88">
        <v>0</v>
      </c>
      <c r="R216" s="88">
        <v>0</v>
      </c>
      <c r="S216" s="88">
        <v>0</v>
      </c>
      <c r="T216" s="88">
        <v>0</v>
      </c>
      <c r="U216" s="88">
        <v>0</v>
      </c>
      <c r="V216" s="88">
        <v>0</v>
      </c>
      <c r="W216" s="88">
        <v>0</v>
      </c>
      <c r="X216" s="88">
        <v>0</v>
      </c>
      <c r="Y216" s="88">
        <v>0</v>
      </c>
      <c r="Z216" s="88">
        <v>0</v>
      </c>
      <c r="AA216" s="88">
        <v>0</v>
      </c>
      <c r="AB216" s="88">
        <v>0</v>
      </c>
      <c r="AC216" s="88">
        <v>0</v>
      </c>
      <c r="AD216" s="88">
        <v>0</v>
      </c>
      <c r="AE216" s="88">
        <v>0</v>
      </c>
      <c r="AF216" s="89" t="s">
        <v>321</v>
      </c>
      <c r="AG216" s="80"/>
    </row>
    <row r="217" spans="1:33" ht="15" customHeight="1" x14ac:dyDescent="0.25">
      <c r="A217" s="78" t="s">
        <v>505</v>
      </c>
      <c r="B217" s="87" t="s">
        <v>320</v>
      </c>
      <c r="C217" s="88">
        <v>0</v>
      </c>
      <c r="D217" s="88">
        <v>0.31605299999999997</v>
      </c>
      <c r="E217" s="88">
        <v>0.33107700000000001</v>
      </c>
      <c r="F217" s="88">
        <v>0.34040199999999998</v>
      </c>
      <c r="G217" s="88">
        <v>0.349107</v>
      </c>
      <c r="H217" s="88">
        <v>0.35911599999999999</v>
      </c>
      <c r="I217" s="88">
        <v>0.37227199999999999</v>
      </c>
      <c r="J217" s="88">
        <v>0.39096999999999998</v>
      </c>
      <c r="K217" s="88">
        <v>0.41283500000000001</v>
      </c>
      <c r="L217" s="88">
        <v>0.43845699999999999</v>
      </c>
      <c r="M217" s="88">
        <v>0.46888299999999999</v>
      </c>
      <c r="N217" s="88">
        <v>0.50065899999999997</v>
      </c>
      <c r="O217" s="88">
        <v>0.53854100000000005</v>
      </c>
      <c r="P217" s="88">
        <v>0.585642</v>
      </c>
      <c r="Q217" s="88">
        <v>0.64264399999999999</v>
      </c>
      <c r="R217" s="88">
        <v>0.70755999999999997</v>
      </c>
      <c r="S217" s="88">
        <v>0.78264699999999998</v>
      </c>
      <c r="T217" s="88">
        <v>0.86579399999999995</v>
      </c>
      <c r="U217" s="88">
        <v>0.95799100000000004</v>
      </c>
      <c r="V217" s="88">
        <v>1.0510919999999999</v>
      </c>
      <c r="W217" s="88">
        <v>1.1473150000000001</v>
      </c>
      <c r="X217" s="88">
        <v>1.243325</v>
      </c>
      <c r="Y217" s="88">
        <v>1.3379430000000001</v>
      </c>
      <c r="Z217" s="88">
        <v>1.437713</v>
      </c>
      <c r="AA217" s="88">
        <v>1.532467</v>
      </c>
      <c r="AB217" s="88">
        <v>1.6170869999999999</v>
      </c>
      <c r="AC217" s="88">
        <v>1.6923090000000001</v>
      </c>
      <c r="AD217" s="88">
        <v>1.7661230000000001</v>
      </c>
      <c r="AE217" s="88">
        <v>1.8381050000000001</v>
      </c>
      <c r="AF217" s="89" t="s">
        <v>321</v>
      </c>
      <c r="AG217" s="80"/>
    </row>
    <row r="218" spans="1:33" ht="15" customHeight="1" x14ac:dyDescent="0.25">
      <c r="A218" s="78" t="s">
        <v>506</v>
      </c>
      <c r="B218" s="87" t="s">
        <v>323</v>
      </c>
      <c r="C218" s="88">
        <v>0</v>
      </c>
      <c r="D218" s="88">
        <v>0.32879999999999998</v>
      </c>
      <c r="E218" s="88">
        <v>0.34547</v>
      </c>
      <c r="F218" s="88">
        <v>0.34941499999999998</v>
      </c>
      <c r="G218" s="88">
        <v>0.35311300000000001</v>
      </c>
      <c r="H218" s="88">
        <v>0.35725600000000002</v>
      </c>
      <c r="I218" s="88">
        <v>0.36241400000000001</v>
      </c>
      <c r="J218" s="88">
        <v>0.37389899999999998</v>
      </c>
      <c r="K218" s="88">
        <v>0.391291</v>
      </c>
      <c r="L218" s="88">
        <v>0.41677700000000001</v>
      </c>
      <c r="M218" s="88">
        <v>0.44823800000000003</v>
      </c>
      <c r="N218" s="88">
        <v>0.48479499999999998</v>
      </c>
      <c r="O218" s="88">
        <v>0.52864800000000001</v>
      </c>
      <c r="P218" s="88">
        <v>0.58403799999999995</v>
      </c>
      <c r="Q218" s="88">
        <v>0.64941700000000002</v>
      </c>
      <c r="R218" s="88">
        <v>0.72499999999999998</v>
      </c>
      <c r="S218" s="88">
        <v>0.81109100000000001</v>
      </c>
      <c r="T218" s="88">
        <v>0.90827100000000005</v>
      </c>
      <c r="U218" s="88">
        <v>1.0153730000000001</v>
      </c>
      <c r="V218" s="88">
        <v>1.125429</v>
      </c>
      <c r="W218" s="88">
        <v>1.239638</v>
      </c>
      <c r="X218" s="88">
        <v>1.3565320000000001</v>
      </c>
      <c r="Y218" s="88">
        <v>1.4644839999999999</v>
      </c>
      <c r="Z218" s="88">
        <v>1.5821670000000001</v>
      </c>
      <c r="AA218" s="88">
        <v>1.6880930000000001</v>
      </c>
      <c r="AB218" s="88">
        <v>1.7864690000000001</v>
      </c>
      <c r="AC218" s="88">
        <v>1.8713010000000001</v>
      </c>
      <c r="AD218" s="88">
        <v>1.9580740000000001</v>
      </c>
      <c r="AE218" s="88">
        <v>2.0376029999999998</v>
      </c>
      <c r="AF218" s="89" t="s">
        <v>321</v>
      </c>
      <c r="AG218" s="80"/>
    </row>
    <row r="219" spans="1:33" ht="15" customHeight="1" x14ac:dyDescent="0.25">
      <c r="A219" s="78" t="s">
        <v>507</v>
      </c>
      <c r="B219" s="87" t="s">
        <v>325</v>
      </c>
      <c r="C219" s="88">
        <v>0</v>
      </c>
      <c r="D219" s="88">
        <v>0</v>
      </c>
      <c r="E219" s="88">
        <v>1.0399999999999999E-4</v>
      </c>
      <c r="F219" s="88">
        <v>1.07E-4</v>
      </c>
      <c r="G219" s="88">
        <v>1.0900000000000001E-4</v>
      </c>
      <c r="H219" s="88">
        <v>1.0900000000000001E-4</v>
      </c>
      <c r="I219" s="88">
        <v>1.0900000000000001E-4</v>
      </c>
      <c r="J219" s="88">
        <v>1.1E-4</v>
      </c>
      <c r="K219" s="88">
        <v>1.1E-4</v>
      </c>
      <c r="L219" s="88">
        <v>1.1E-4</v>
      </c>
      <c r="M219" s="88">
        <v>1.1E-4</v>
      </c>
      <c r="N219" s="88">
        <v>1.0900000000000001E-4</v>
      </c>
      <c r="O219" s="88">
        <v>1.0900000000000001E-4</v>
      </c>
      <c r="P219" s="88">
        <v>1.0900000000000001E-4</v>
      </c>
      <c r="Q219" s="88">
        <v>1.08E-4</v>
      </c>
      <c r="R219" s="88">
        <v>1.07E-4</v>
      </c>
      <c r="S219" s="88">
        <v>1.06E-4</v>
      </c>
      <c r="T219" s="88">
        <v>1.0399999999999999E-4</v>
      </c>
      <c r="U219" s="88">
        <v>1.01E-4</v>
      </c>
      <c r="V219" s="88">
        <v>9.7E-5</v>
      </c>
      <c r="W219" s="88">
        <v>9.2E-5</v>
      </c>
      <c r="X219" s="88">
        <v>8.6000000000000003E-5</v>
      </c>
      <c r="Y219" s="88">
        <v>8.0000000000000007E-5</v>
      </c>
      <c r="Z219" s="88">
        <v>7.3999999999999996E-5</v>
      </c>
      <c r="AA219" s="88">
        <v>6.7999999999999999E-5</v>
      </c>
      <c r="AB219" s="88">
        <v>6.0999999999999999E-5</v>
      </c>
      <c r="AC219" s="88">
        <v>5.3999999999999998E-5</v>
      </c>
      <c r="AD219" s="88">
        <v>4.8000000000000001E-5</v>
      </c>
      <c r="AE219" s="88">
        <v>4.1999999999999998E-5</v>
      </c>
      <c r="AF219" s="89" t="s">
        <v>321</v>
      </c>
      <c r="AG219" s="80"/>
    </row>
    <row r="220" spans="1:33" ht="15" customHeight="1" x14ac:dyDescent="0.25">
      <c r="A220" s="78" t="s">
        <v>508</v>
      </c>
      <c r="B220" s="87" t="s">
        <v>327</v>
      </c>
      <c r="C220" s="88">
        <v>252.12297100000001</v>
      </c>
      <c r="D220" s="88">
        <v>262.199432</v>
      </c>
      <c r="E220" s="88">
        <v>276.18127399999997</v>
      </c>
      <c r="F220" s="88">
        <v>286.01892099999998</v>
      </c>
      <c r="G220" s="88">
        <v>290.46655299999998</v>
      </c>
      <c r="H220" s="88">
        <v>292.43240400000002</v>
      </c>
      <c r="I220" s="88">
        <v>293.63424700000002</v>
      </c>
      <c r="J220" s="88">
        <v>296.173248</v>
      </c>
      <c r="K220" s="88">
        <v>298.12170400000002</v>
      </c>
      <c r="L220" s="88">
        <v>300.39685100000003</v>
      </c>
      <c r="M220" s="88">
        <v>303.257294</v>
      </c>
      <c r="N220" s="88">
        <v>305.71603399999998</v>
      </c>
      <c r="O220" s="88">
        <v>309.26257299999997</v>
      </c>
      <c r="P220" s="88">
        <v>314.79812600000002</v>
      </c>
      <c r="Q220" s="88">
        <v>321.14746100000002</v>
      </c>
      <c r="R220" s="88">
        <v>327.09249899999998</v>
      </c>
      <c r="S220" s="88">
        <v>333.56478900000002</v>
      </c>
      <c r="T220" s="88">
        <v>339.75351000000001</v>
      </c>
      <c r="U220" s="88">
        <v>346.38189699999998</v>
      </c>
      <c r="V220" s="88">
        <v>351.209137</v>
      </c>
      <c r="W220" s="88">
        <v>355.95761099999999</v>
      </c>
      <c r="X220" s="88">
        <v>360.42837500000002</v>
      </c>
      <c r="Y220" s="88">
        <v>364.902466</v>
      </c>
      <c r="Z220" s="88">
        <v>371.72610500000002</v>
      </c>
      <c r="AA220" s="88">
        <v>378.28823899999998</v>
      </c>
      <c r="AB220" s="88">
        <v>383.89129600000001</v>
      </c>
      <c r="AC220" s="88">
        <v>388.47567700000002</v>
      </c>
      <c r="AD220" s="88">
        <v>394.81222500000001</v>
      </c>
      <c r="AE220" s="88">
        <v>401.96115099999997</v>
      </c>
      <c r="AF220" s="89">
        <v>1.6798E-2</v>
      </c>
      <c r="AG220" s="80"/>
    </row>
    <row r="221" spans="1:33" ht="15" customHeight="1" x14ac:dyDescent="0.25">
      <c r="B221" s="86" t="s">
        <v>328</v>
      </c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</row>
    <row r="222" spans="1:33" ht="15" customHeight="1" x14ac:dyDescent="0.25">
      <c r="A222" s="78" t="s">
        <v>509</v>
      </c>
      <c r="B222" s="87" t="s">
        <v>308</v>
      </c>
      <c r="C222" s="88">
        <v>108.315331</v>
      </c>
      <c r="D222" s="88">
        <v>111.86180899999999</v>
      </c>
      <c r="E222" s="88">
        <v>112.663895</v>
      </c>
      <c r="F222" s="88">
        <v>113.75501300000001</v>
      </c>
      <c r="G222" s="88">
        <v>116.360794</v>
      </c>
      <c r="H222" s="88">
        <v>120.664314</v>
      </c>
      <c r="I222" s="88">
        <v>123.277176</v>
      </c>
      <c r="J222" s="88">
        <v>123.222191</v>
      </c>
      <c r="K222" s="88">
        <v>121.07485200000001</v>
      </c>
      <c r="L222" s="88">
        <v>119.570702</v>
      </c>
      <c r="M222" s="88">
        <v>120.336288</v>
      </c>
      <c r="N222" s="88">
        <v>121.886032</v>
      </c>
      <c r="O222" s="88">
        <v>123.167618</v>
      </c>
      <c r="P222" s="88">
        <v>124.72809599999999</v>
      </c>
      <c r="Q222" s="88">
        <v>126.319824</v>
      </c>
      <c r="R222" s="88">
        <v>127.848488</v>
      </c>
      <c r="S222" s="88">
        <v>129.178223</v>
      </c>
      <c r="T222" s="88">
        <v>130.386765</v>
      </c>
      <c r="U222" s="88">
        <v>131.92759699999999</v>
      </c>
      <c r="V222" s="88">
        <v>133.48138399999999</v>
      </c>
      <c r="W222" s="88">
        <v>134.51525899999999</v>
      </c>
      <c r="X222" s="88">
        <v>135.85908499999999</v>
      </c>
      <c r="Y222" s="88">
        <v>136.21057099999999</v>
      </c>
      <c r="Z222" s="88">
        <v>135.419983</v>
      </c>
      <c r="AA222" s="88">
        <v>135.072632</v>
      </c>
      <c r="AB222" s="88">
        <v>135.62127699999999</v>
      </c>
      <c r="AC222" s="88">
        <v>136.81350699999999</v>
      </c>
      <c r="AD222" s="88">
        <v>137.64428699999999</v>
      </c>
      <c r="AE222" s="88">
        <v>139.15571600000001</v>
      </c>
      <c r="AF222" s="89">
        <v>8.9879999999999995E-3</v>
      </c>
      <c r="AG222" s="80"/>
    </row>
    <row r="223" spans="1:33" ht="15" customHeight="1" x14ac:dyDescent="0.25">
      <c r="A223" s="78" t="s">
        <v>510</v>
      </c>
      <c r="B223" s="87" t="s">
        <v>310</v>
      </c>
      <c r="C223" s="88">
        <v>68.839256000000006</v>
      </c>
      <c r="D223" s="88">
        <v>70.735229000000004</v>
      </c>
      <c r="E223" s="88">
        <v>70.912659000000005</v>
      </c>
      <c r="F223" s="88">
        <v>71.294334000000006</v>
      </c>
      <c r="G223" s="88">
        <v>72.641609000000003</v>
      </c>
      <c r="H223" s="88">
        <v>75.056540999999996</v>
      </c>
      <c r="I223" s="88">
        <v>76.427368000000001</v>
      </c>
      <c r="J223" s="88">
        <v>76.160088000000002</v>
      </c>
      <c r="K223" s="88">
        <v>74.622658000000001</v>
      </c>
      <c r="L223" s="88">
        <v>73.505134999999996</v>
      </c>
      <c r="M223" s="88">
        <v>73.799858</v>
      </c>
      <c r="N223" s="88">
        <v>74.586723000000006</v>
      </c>
      <c r="O223" s="88">
        <v>75.219261000000003</v>
      </c>
      <c r="P223" s="88">
        <v>76.031173999999993</v>
      </c>
      <c r="Q223" s="88">
        <v>76.870277000000002</v>
      </c>
      <c r="R223" s="88">
        <v>77.678650000000005</v>
      </c>
      <c r="S223" s="88">
        <v>78.373497</v>
      </c>
      <c r="T223" s="88">
        <v>79.001953</v>
      </c>
      <c r="U223" s="88">
        <v>79.838211000000001</v>
      </c>
      <c r="V223" s="88">
        <v>80.688086999999996</v>
      </c>
      <c r="W223" s="88">
        <v>81.229370000000003</v>
      </c>
      <c r="X223" s="88">
        <v>81.963241999999994</v>
      </c>
      <c r="Y223" s="88">
        <v>82.103797999999998</v>
      </c>
      <c r="Z223" s="88">
        <v>81.561913000000004</v>
      </c>
      <c r="AA223" s="88">
        <v>81.292777999999998</v>
      </c>
      <c r="AB223" s="88">
        <v>81.567595999999995</v>
      </c>
      <c r="AC223" s="88">
        <v>82.233161999999993</v>
      </c>
      <c r="AD223" s="88">
        <v>82.684783999999993</v>
      </c>
      <c r="AE223" s="88">
        <v>83.548218000000006</v>
      </c>
      <c r="AF223" s="89">
        <v>6.94E-3</v>
      </c>
      <c r="AG223" s="80"/>
    </row>
    <row r="224" spans="1:33" ht="15" customHeight="1" x14ac:dyDescent="0.25">
      <c r="A224" s="78" t="s">
        <v>511</v>
      </c>
      <c r="B224" s="87" t="s">
        <v>312</v>
      </c>
      <c r="C224" s="88">
        <v>0.19042999999999999</v>
      </c>
      <c r="D224" s="88">
        <v>0.19422300000000001</v>
      </c>
      <c r="E224" s="88">
        <v>0.19656999999999999</v>
      </c>
      <c r="F224" s="88">
        <v>0.196077</v>
      </c>
      <c r="G224" s="88">
        <v>0.20480999999999999</v>
      </c>
      <c r="H224" s="88">
        <v>0.21737600000000001</v>
      </c>
      <c r="I224" s="88">
        <v>0.22798099999999999</v>
      </c>
      <c r="J224" s="88">
        <v>0.23441400000000001</v>
      </c>
      <c r="K224" s="88">
        <v>0.23872599999999999</v>
      </c>
      <c r="L224" s="88">
        <v>0.247721</v>
      </c>
      <c r="M224" s="88">
        <v>0.263905</v>
      </c>
      <c r="N224" s="88">
        <v>0.28577399999999997</v>
      </c>
      <c r="O224" s="88">
        <v>0.307006</v>
      </c>
      <c r="P224" s="88">
        <v>0.33141100000000001</v>
      </c>
      <c r="Q224" s="88">
        <v>0.35905500000000001</v>
      </c>
      <c r="R224" s="88">
        <v>0.39071699999999998</v>
      </c>
      <c r="S224" s="88">
        <v>0.42327700000000001</v>
      </c>
      <c r="T224" s="88">
        <v>0.45851599999999998</v>
      </c>
      <c r="U224" s="88">
        <v>0.49489499999999997</v>
      </c>
      <c r="V224" s="88">
        <v>0.53306299999999995</v>
      </c>
      <c r="W224" s="88">
        <v>0.56726100000000002</v>
      </c>
      <c r="X224" s="88">
        <v>0.60443800000000003</v>
      </c>
      <c r="Y224" s="88">
        <v>0.63577700000000004</v>
      </c>
      <c r="Z224" s="88">
        <v>0.65985499999999997</v>
      </c>
      <c r="AA224" s="88">
        <v>0.68360100000000001</v>
      </c>
      <c r="AB224" s="88">
        <v>0.70903000000000005</v>
      </c>
      <c r="AC224" s="88">
        <v>0.73458299999999999</v>
      </c>
      <c r="AD224" s="88">
        <v>0.75465000000000004</v>
      </c>
      <c r="AE224" s="88">
        <v>0.77672799999999997</v>
      </c>
      <c r="AF224" s="89">
        <v>5.1489E-2</v>
      </c>
      <c r="AG224" s="80"/>
    </row>
    <row r="225" spans="1:33" ht="15" customHeight="1" x14ac:dyDescent="0.25">
      <c r="A225" s="78" t="s">
        <v>512</v>
      </c>
      <c r="B225" s="87" t="s">
        <v>314</v>
      </c>
      <c r="C225" s="88">
        <v>8.8756000000000002E-2</v>
      </c>
      <c r="D225" s="88">
        <v>8.0241000000000007E-2</v>
      </c>
      <c r="E225" s="88">
        <v>7.1048E-2</v>
      </c>
      <c r="F225" s="88">
        <v>6.2378000000000003E-2</v>
      </c>
      <c r="G225" s="88">
        <v>5.543E-2</v>
      </c>
      <c r="H225" s="88">
        <v>4.9847000000000002E-2</v>
      </c>
      <c r="I225" s="88">
        <v>4.4072E-2</v>
      </c>
      <c r="J225" s="88">
        <v>3.8059999999999997E-2</v>
      </c>
      <c r="K225" s="88">
        <v>3.2244000000000002E-2</v>
      </c>
      <c r="L225" s="88">
        <v>2.7390000000000001E-2</v>
      </c>
      <c r="M225" s="88">
        <v>2.3635E-2</v>
      </c>
      <c r="N225" s="88">
        <v>2.0455000000000001E-2</v>
      </c>
      <c r="O225" s="88">
        <v>1.7596000000000001E-2</v>
      </c>
      <c r="P225" s="88">
        <v>1.512E-2</v>
      </c>
      <c r="Q225" s="88">
        <v>1.2947999999999999E-2</v>
      </c>
      <c r="R225" s="88">
        <v>1.1051E-2</v>
      </c>
      <c r="S225" s="88">
        <v>9.3919999999999993E-3</v>
      </c>
      <c r="T225" s="88">
        <v>7.9559999999999995E-3</v>
      </c>
      <c r="U225" s="88">
        <v>6.7409999999999996E-3</v>
      </c>
      <c r="V225" s="88">
        <v>5.7010000000000003E-3</v>
      </c>
      <c r="W225" s="88">
        <v>4.7920000000000003E-3</v>
      </c>
      <c r="X225" s="88">
        <v>4.0299999999999997E-3</v>
      </c>
      <c r="Y225" s="88">
        <v>3.3570000000000002E-3</v>
      </c>
      <c r="Z225" s="88">
        <v>2.7699999999999999E-3</v>
      </c>
      <c r="AA225" s="88">
        <v>2.2889999999999998E-3</v>
      </c>
      <c r="AB225" s="88">
        <v>1.9040000000000001E-3</v>
      </c>
      <c r="AC225" s="88">
        <v>1.5900000000000001E-3</v>
      </c>
      <c r="AD225" s="88">
        <v>1.323E-3</v>
      </c>
      <c r="AE225" s="88">
        <v>1.106E-3</v>
      </c>
      <c r="AF225" s="89">
        <v>-0.144952</v>
      </c>
      <c r="AG225" s="80"/>
    </row>
    <row r="226" spans="1:33" ht="15" customHeight="1" x14ac:dyDescent="0.25">
      <c r="A226" s="78" t="s">
        <v>513</v>
      </c>
      <c r="B226" s="87" t="s">
        <v>316</v>
      </c>
      <c r="C226" s="88">
        <v>3.1209169999999999</v>
      </c>
      <c r="D226" s="88">
        <v>3.562824</v>
      </c>
      <c r="E226" s="88">
        <v>4.1059590000000004</v>
      </c>
      <c r="F226" s="88">
        <v>4.4477089999999997</v>
      </c>
      <c r="G226" s="88">
        <v>4.9635889999999998</v>
      </c>
      <c r="H226" s="88">
        <v>5.6116510000000002</v>
      </c>
      <c r="I226" s="88">
        <v>6.101458</v>
      </c>
      <c r="J226" s="88">
        <v>6.5357409999999998</v>
      </c>
      <c r="K226" s="88">
        <v>6.9304500000000004</v>
      </c>
      <c r="L226" s="88">
        <v>7.5008939999999997</v>
      </c>
      <c r="M226" s="88">
        <v>8.2456250000000004</v>
      </c>
      <c r="N226" s="88">
        <v>9.1310850000000006</v>
      </c>
      <c r="O226" s="88">
        <v>9.9110980000000009</v>
      </c>
      <c r="P226" s="88">
        <v>10.721723000000001</v>
      </c>
      <c r="Q226" s="88">
        <v>11.346403</v>
      </c>
      <c r="R226" s="88">
        <v>11.955226</v>
      </c>
      <c r="S226" s="88">
        <v>12.458663</v>
      </c>
      <c r="T226" s="88">
        <v>12.958193</v>
      </c>
      <c r="U226" s="88">
        <v>13.419568999999999</v>
      </c>
      <c r="V226" s="88">
        <v>13.88363</v>
      </c>
      <c r="W226" s="88">
        <v>14.252980000000001</v>
      </c>
      <c r="X226" s="88">
        <v>14.691565000000001</v>
      </c>
      <c r="Y226" s="88">
        <v>14.861463000000001</v>
      </c>
      <c r="Z226" s="88">
        <v>14.905587000000001</v>
      </c>
      <c r="AA226" s="88">
        <v>14.814135</v>
      </c>
      <c r="AB226" s="88">
        <v>14.890703999999999</v>
      </c>
      <c r="AC226" s="88">
        <v>14.942218</v>
      </c>
      <c r="AD226" s="88">
        <v>15.033702999999999</v>
      </c>
      <c r="AE226" s="88">
        <v>15.088609</v>
      </c>
      <c r="AF226" s="89">
        <v>5.7893E-2</v>
      </c>
      <c r="AG226" s="80"/>
    </row>
    <row r="227" spans="1:33" ht="15" customHeight="1" x14ac:dyDescent="0.25">
      <c r="A227" s="78" t="s">
        <v>514</v>
      </c>
      <c r="B227" s="87" t="s">
        <v>318</v>
      </c>
      <c r="C227" s="88">
        <v>6.5137E-2</v>
      </c>
      <c r="D227" s="88">
        <v>5.9175999999999999E-2</v>
      </c>
      <c r="E227" s="88">
        <v>5.2366000000000003E-2</v>
      </c>
      <c r="F227" s="88">
        <v>4.6144999999999999E-2</v>
      </c>
      <c r="G227" s="88">
        <v>4.1158E-2</v>
      </c>
      <c r="H227" s="88">
        <v>3.7145999999999998E-2</v>
      </c>
      <c r="I227" s="88">
        <v>3.2967000000000003E-2</v>
      </c>
      <c r="J227" s="88">
        <v>2.8586E-2</v>
      </c>
      <c r="K227" s="88">
        <v>2.4323000000000001E-2</v>
      </c>
      <c r="L227" s="88">
        <v>2.0753000000000001E-2</v>
      </c>
      <c r="M227" s="88">
        <v>1.7988000000000001E-2</v>
      </c>
      <c r="N227" s="88">
        <v>1.5639E-2</v>
      </c>
      <c r="O227" s="88">
        <v>1.3513000000000001E-2</v>
      </c>
      <c r="P227" s="88">
        <v>1.1663E-2</v>
      </c>
      <c r="Q227" s="88">
        <v>1.0030000000000001E-2</v>
      </c>
      <c r="R227" s="88">
        <v>8.5970000000000005E-3</v>
      </c>
      <c r="S227" s="88">
        <v>7.3359999999999996E-3</v>
      </c>
      <c r="T227" s="88">
        <v>6.241E-3</v>
      </c>
      <c r="U227" s="88">
        <v>5.3090000000000004E-3</v>
      </c>
      <c r="V227" s="88">
        <v>4.5069999999999997E-3</v>
      </c>
      <c r="W227" s="88">
        <v>3.8040000000000001E-3</v>
      </c>
      <c r="X227" s="88">
        <v>3.212E-3</v>
      </c>
      <c r="Y227" s="88">
        <v>2.6870000000000002E-3</v>
      </c>
      <c r="Z227" s="88">
        <v>2.2260000000000001E-3</v>
      </c>
      <c r="AA227" s="88">
        <v>1.8489999999999999E-3</v>
      </c>
      <c r="AB227" s="88">
        <v>1.5460000000000001E-3</v>
      </c>
      <c r="AC227" s="88">
        <v>1.2979999999999999E-3</v>
      </c>
      <c r="AD227" s="88">
        <v>1.0870000000000001E-3</v>
      </c>
      <c r="AE227" s="88">
        <v>9.1399999999999999E-4</v>
      </c>
      <c r="AF227" s="89">
        <v>-0.141343</v>
      </c>
      <c r="AG227" s="80"/>
    </row>
    <row r="228" spans="1:33" ht="15" customHeight="1" x14ac:dyDescent="0.25">
      <c r="A228" s="78" t="s">
        <v>515</v>
      </c>
      <c r="B228" s="87" t="s">
        <v>320</v>
      </c>
      <c r="C228" s="88">
        <v>0</v>
      </c>
      <c r="D228" s="88">
        <v>0</v>
      </c>
      <c r="E228" s="88">
        <v>0.22504299999999999</v>
      </c>
      <c r="F228" s="88">
        <v>0.22714799999999999</v>
      </c>
      <c r="G228" s="88">
        <v>0.23027900000000001</v>
      </c>
      <c r="H228" s="88">
        <v>0.23857500000000001</v>
      </c>
      <c r="I228" s="88">
        <v>0.24623999999999999</v>
      </c>
      <c r="J228" s="88">
        <v>0.24834500000000001</v>
      </c>
      <c r="K228" s="88">
        <v>0.247229</v>
      </c>
      <c r="L228" s="88">
        <v>0.249005</v>
      </c>
      <c r="M228" s="88">
        <v>0.25837700000000002</v>
      </c>
      <c r="N228" s="88">
        <v>0.27263700000000002</v>
      </c>
      <c r="O228" s="88">
        <v>0.28715600000000002</v>
      </c>
      <c r="P228" s="88">
        <v>0.30215799999999998</v>
      </c>
      <c r="Q228" s="88">
        <v>0.320687</v>
      </c>
      <c r="R228" s="88">
        <v>0.34081499999999998</v>
      </c>
      <c r="S228" s="88">
        <v>0.36212299999999997</v>
      </c>
      <c r="T228" s="88">
        <v>0.38599099999999997</v>
      </c>
      <c r="U228" s="88">
        <v>0.41384599999999999</v>
      </c>
      <c r="V228" s="88">
        <v>0.44478200000000001</v>
      </c>
      <c r="W228" s="88">
        <v>0.47659899999999999</v>
      </c>
      <c r="X228" s="88">
        <v>0.51157799999999998</v>
      </c>
      <c r="Y228" s="88">
        <v>0.54397300000000004</v>
      </c>
      <c r="Z228" s="88">
        <v>0.57172999999999996</v>
      </c>
      <c r="AA228" s="88">
        <v>0.60040700000000002</v>
      </c>
      <c r="AB228" s="88">
        <v>0.631637</v>
      </c>
      <c r="AC228" s="88">
        <v>0.66413</v>
      </c>
      <c r="AD228" s="88">
        <v>0.69267100000000004</v>
      </c>
      <c r="AE228" s="88">
        <v>0.72231699999999999</v>
      </c>
      <c r="AF228" s="89" t="s">
        <v>321</v>
      </c>
      <c r="AG228" s="80"/>
    </row>
    <row r="229" spans="1:33" ht="15" customHeight="1" x14ac:dyDescent="0.25">
      <c r="A229" s="78" t="s">
        <v>516</v>
      </c>
      <c r="B229" s="87" t="s">
        <v>323</v>
      </c>
      <c r="C229" s="88">
        <v>0</v>
      </c>
      <c r="D229" s="88">
        <v>0</v>
      </c>
      <c r="E229" s="88">
        <v>0.21895000000000001</v>
      </c>
      <c r="F229" s="88">
        <v>0.21643299999999999</v>
      </c>
      <c r="G229" s="88">
        <v>0.21639600000000001</v>
      </c>
      <c r="H229" s="88">
        <v>0.22101599999999999</v>
      </c>
      <c r="I229" s="88">
        <v>0.22417100000000001</v>
      </c>
      <c r="J229" s="88">
        <v>0.224302</v>
      </c>
      <c r="K229" s="88">
        <v>0.22405600000000001</v>
      </c>
      <c r="L229" s="88">
        <v>0.22989499999999999</v>
      </c>
      <c r="M229" s="88">
        <v>0.244149</v>
      </c>
      <c r="N229" s="88">
        <v>0.265212</v>
      </c>
      <c r="O229" s="88">
        <v>0.28737600000000002</v>
      </c>
      <c r="P229" s="88">
        <v>0.31066100000000002</v>
      </c>
      <c r="Q229" s="88">
        <v>0.33900400000000003</v>
      </c>
      <c r="R229" s="88">
        <v>0.37101699999999999</v>
      </c>
      <c r="S229" s="88">
        <v>0.404947</v>
      </c>
      <c r="T229" s="88">
        <v>0.44428299999999998</v>
      </c>
      <c r="U229" s="88">
        <v>0.48955100000000001</v>
      </c>
      <c r="V229" s="88">
        <v>0.54082399999999997</v>
      </c>
      <c r="W229" s="88">
        <v>0.59456699999999996</v>
      </c>
      <c r="X229" s="88">
        <v>0.65479900000000002</v>
      </c>
      <c r="Y229" s="88">
        <v>0.70982199999999995</v>
      </c>
      <c r="Z229" s="88">
        <v>0.75931499999999996</v>
      </c>
      <c r="AA229" s="88">
        <v>0.80587200000000003</v>
      </c>
      <c r="AB229" s="88">
        <v>0.85718000000000005</v>
      </c>
      <c r="AC229" s="88">
        <v>0.90732199999999996</v>
      </c>
      <c r="AD229" s="88">
        <v>0.95350299999999999</v>
      </c>
      <c r="AE229" s="88">
        <v>0.99503299999999995</v>
      </c>
      <c r="AF229" s="89" t="s">
        <v>321</v>
      </c>
      <c r="AG229" s="80"/>
    </row>
    <row r="230" spans="1:33" ht="15" customHeight="1" x14ac:dyDescent="0.25">
      <c r="A230" s="78" t="s">
        <v>517</v>
      </c>
      <c r="B230" s="87" t="s">
        <v>325</v>
      </c>
      <c r="C230" s="88">
        <v>0</v>
      </c>
      <c r="D230" s="88">
        <v>0</v>
      </c>
      <c r="E230" s="88">
        <v>0.37634600000000001</v>
      </c>
      <c r="F230" s="88">
        <v>0.38173499999999999</v>
      </c>
      <c r="G230" s="88">
        <v>0.39291799999999999</v>
      </c>
      <c r="H230" s="88">
        <v>0.410806</v>
      </c>
      <c r="I230" s="88">
        <v>0.42415799999999998</v>
      </c>
      <c r="J230" s="88">
        <v>0.42967499999999997</v>
      </c>
      <c r="K230" s="88">
        <v>0.42928899999999998</v>
      </c>
      <c r="L230" s="88">
        <v>0.43275599999999997</v>
      </c>
      <c r="M230" s="88">
        <v>0.44654500000000003</v>
      </c>
      <c r="N230" s="88">
        <v>0.46606599999999998</v>
      </c>
      <c r="O230" s="88">
        <v>0.487985</v>
      </c>
      <c r="P230" s="88">
        <v>0.515046</v>
      </c>
      <c r="Q230" s="88">
        <v>0.54696100000000003</v>
      </c>
      <c r="R230" s="88">
        <v>0.58394299999999999</v>
      </c>
      <c r="S230" s="88">
        <v>0.62582199999999999</v>
      </c>
      <c r="T230" s="88">
        <v>0.67317400000000005</v>
      </c>
      <c r="U230" s="88">
        <v>0.72845700000000002</v>
      </c>
      <c r="V230" s="88">
        <v>0.789906</v>
      </c>
      <c r="W230" s="88">
        <v>0.85352700000000004</v>
      </c>
      <c r="X230" s="88">
        <v>0.92321799999999998</v>
      </c>
      <c r="Y230" s="88">
        <v>0.98855099999999996</v>
      </c>
      <c r="Z230" s="88">
        <v>1.0453749999999999</v>
      </c>
      <c r="AA230" s="88">
        <v>1.1034539999999999</v>
      </c>
      <c r="AB230" s="88">
        <v>1.1658329999999999</v>
      </c>
      <c r="AC230" s="88">
        <v>1.2301740000000001</v>
      </c>
      <c r="AD230" s="88">
        <v>1.2869170000000001</v>
      </c>
      <c r="AE230" s="88">
        <v>1.345232</v>
      </c>
      <c r="AF230" s="89" t="s">
        <v>321</v>
      </c>
      <c r="AG230" s="80"/>
    </row>
    <row r="231" spans="1:33" ht="15" customHeight="1" x14ac:dyDescent="0.25">
      <c r="A231" s="78" t="s">
        <v>518</v>
      </c>
      <c r="B231" s="87" t="s">
        <v>339</v>
      </c>
      <c r="C231" s="88">
        <v>180.61982699999999</v>
      </c>
      <c r="D231" s="88">
        <v>186.49350000000001</v>
      </c>
      <c r="E231" s="88">
        <v>188.82283000000001</v>
      </c>
      <c r="F231" s="88">
        <v>190.626938</v>
      </c>
      <c r="G231" s="88">
        <v>195.106979</v>
      </c>
      <c r="H231" s="88">
        <v>202.50727800000001</v>
      </c>
      <c r="I231" s="88">
        <v>207.005585</v>
      </c>
      <c r="J231" s="88">
        <v>207.12138400000001</v>
      </c>
      <c r="K231" s="88">
        <v>203.823837</v>
      </c>
      <c r="L231" s="88">
        <v>201.78428600000001</v>
      </c>
      <c r="M231" s="88">
        <v>203.63635300000001</v>
      </c>
      <c r="N231" s="88">
        <v>206.92961099999999</v>
      </c>
      <c r="O231" s="88">
        <v>209.69859299999999</v>
      </c>
      <c r="P231" s="88">
        <v>212.967072</v>
      </c>
      <c r="Q231" s="88">
        <v>216.125214</v>
      </c>
      <c r="R231" s="88">
        <v>219.188492</v>
      </c>
      <c r="S231" s="88">
        <v>221.84333799999999</v>
      </c>
      <c r="T231" s="88">
        <v>224.323059</v>
      </c>
      <c r="U231" s="88">
        <v>227.32418799999999</v>
      </c>
      <c r="V231" s="88">
        <v>230.371872</v>
      </c>
      <c r="W231" s="88">
        <v>232.498154</v>
      </c>
      <c r="X231" s="88">
        <v>235.21517900000001</v>
      </c>
      <c r="Y231" s="88">
        <v>236.05999800000001</v>
      </c>
      <c r="Z231" s="88">
        <v>234.92872600000001</v>
      </c>
      <c r="AA231" s="88">
        <v>234.37702899999999</v>
      </c>
      <c r="AB231" s="88">
        <v>235.44674699999999</v>
      </c>
      <c r="AC231" s="88">
        <v>237.52796900000001</v>
      </c>
      <c r="AD231" s="88">
        <v>239.052933</v>
      </c>
      <c r="AE231" s="88">
        <v>241.633881</v>
      </c>
      <c r="AF231" s="89">
        <v>1.0448000000000001E-2</v>
      </c>
      <c r="AG231" s="80"/>
    </row>
    <row r="232" spans="1:33" ht="15" customHeight="1" x14ac:dyDescent="0.25">
      <c r="B232" s="86" t="s">
        <v>340</v>
      </c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0"/>
    </row>
    <row r="233" spans="1:33" ht="15" customHeight="1" x14ac:dyDescent="0.25">
      <c r="A233" s="78" t="s">
        <v>519</v>
      </c>
      <c r="B233" s="87" t="s">
        <v>308</v>
      </c>
      <c r="C233" s="88">
        <v>273.15377799999999</v>
      </c>
      <c r="D233" s="88">
        <v>277.07376099999999</v>
      </c>
      <c r="E233" s="88">
        <v>274.69210800000002</v>
      </c>
      <c r="F233" s="88">
        <v>272.49237099999999</v>
      </c>
      <c r="G233" s="88">
        <v>274.15902699999998</v>
      </c>
      <c r="H233" s="88">
        <v>279.90683000000001</v>
      </c>
      <c r="I233" s="88">
        <v>281.52694700000001</v>
      </c>
      <c r="J233" s="88">
        <v>277.27740499999999</v>
      </c>
      <c r="K233" s="88">
        <v>268.671448</v>
      </c>
      <c r="L233" s="88">
        <v>261.83212300000002</v>
      </c>
      <c r="M233" s="88">
        <v>260.10656699999998</v>
      </c>
      <c r="N233" s="88">
        <v>260.1875</v>
      </c>
      <c r="O233" s="88">
        <v>259.58990499999999</v>
      </c>
      <c r="P233" s="88">
        <v>259.61502100000001</v>
      </c>
      <c r="Q233" s="88">
        <v>259.50140399999998</v>
      </c>
      <c r="R233" s="88">
        <v>259.26907299999999</v>
      </c>
      <c r="S233" s="88">
        <v>258.56124899999998</v>
      </c>
      <c r="T233" s="88">
        <v>257.66332999999997</v>
      </c>
      <c r="U233" s="88">
        <v>257.36483800000002</v>
      </c>
      <c r="V233" s="88">
        <v>257.10897799999998</v>
      </c>
      <c r="W233" s="88">
        <v>255.83055100000001</v>
      </c>
      <c r="X233" s="88">
        <v>255.20024100000001</v>
      </c>
      <c r="Y233" s="88">
        <v>252.56401099999999</v>
      </c>
      <c r="Z233" s="88">
        <v>247.90344200000001</v>
      </c>
      <c r="AA233" s="88">
        <v>243.960342</v>
      </c>
      <c r="AB233" s="88">
        <v>241.76246599999999</v>
      </c>
      <c r="AC233" s="88">
        <v>240.633118</v>
      </c>
      <c r="AD233" s="88">
        <v>238.96373</v>
      </c>
      <c r="AE233" s="88">
        <v>238.36341899999999</v>
      </c>
      <c r="AF233" s="89">
        <v>-4.8539999999999998E-3</v>
      </c>
      <c r="AG233" s="80"/>
    </row>
    <row r="234" spans="1:33" ht="15" customHeight="1" x14ac:dyDescent="0.25">
      <c r="A234" s="78" t="s">
        <v>520</v>
      </c>
      <c r="B234" s="87" t="s">
        <v>310</v>
      </c>
      <c r="C234" s="88">
        <v>1.4683170000000001</v>
      </c>
      <c r="D234" s="88">
        <v>1.4740150000000001</v>
      </c>
      <c r="E234" s="88">
        <v>1.4485300000000001</v>
      </c>
      <c r="F234" s="88">
        <v>1.4262159999999999</v>
      </c>
      <c r="G234" s="88">
        <v>1.425861</v>
      </c>
      <c r="H234" s="88">
        <v>1.447959</v>
      </c>
      <c r="I234" s="88">
        <v>1.44973</v>
      </c>
      <c r="J234" s="88">
        <v>1.4223749999999999</v>
      </c>
      <c r="K234" s="88">
        <v>1.373761</v>
      </c>
      <c r="L234" s="88">
        <v>1.3351310000000001</v>
      </c>
      <c r="M234" s="88">
        <v>1.323261</v>
      </c>
      <c r="N234" s="88">
        <v>1.3210850000000001</v>
      </c>
      <c r="O234" s="88">
        <v>1.315885</v>
      </c>
      <c r="P234" s="88">
        <v>1.314187</v>
      </c>
      <c r="Q234" s="88">
        <v>1.312079</v>
      </c>
      <c r="R234" s="88">
        <v>1.309604</v>
      </c>
      <c r="S234" s="88">
        <v>1.3049500000000001</v>
      </c>
      <c r="T234" s="88">
        <v>1.2995000000000001</v>
      </c>
      <c r="U234" s="88">
        <v>1.2972220000000001</v>
      </c>
      <c r="V234" s="88">
        <v>1.295293</v>
      </c>
      <c r="W234" s="88">
        <v>1.2883119999999999</v>
      </c>
      <c r="X234" s="88">
        <v>1.284683</v>
      </c>
      <c r="Y234" s="88">
        <v>1.2710330000000001</v>
      </c>
      <c r="Z234" s="88">
        <v>1.2472639999999999</v>
      </c>
      <c r="AA234" s="88">
        <v>1.227174</v>
      </c>
      <c r="AB234" s="88">
        <v>1.215902</v>
      </c>
      <c r="AC234" s="88">
        <v>1.2100420000000001</v>
      </c>
      <c r="AD234" s="88">
        <v>1.2014899999999999</v>
      </c>
      <c r="AE234" s="88">
        <v>1.198337</v>
      </c>
      <c r="AF234" s="89">
        <v>-7.2300000000000003E-3</v>
      </c>
      <c r="AG234" s="80"/>
    </row>
    <row r="235" spans="1:33" ht="15" customHeight="1" x14ac:dyDescent="0.25">
      <c r="A235" s="78" t="s">
        <v>521</v>
      </c>
      <c r="B235" s="87" t="s">
        <v>312</v>
      </c>
      <c r="C235" s="88">
        <v>0.173008</v>
      </c>
      <c r="D235" s="88">
        <v>0.17172299999999999</v>
      </c>
      <c r="E235" s="88">
        <v>0.169068</v>
      </c>
      <c r="F235" s="88">
        <v>0.164576</v>
      </c>
      <c r="G235" s="88">
        <v>0.16542399999999999</v>
      </c>
      <c r="H235" s="88">
        <v>0.16841900000000001</v>
      </c>
      <c r="I235" s="88">
        <v>0.168487</v>
      </c>
      <c r="J235" s="88">
        <v>0.164966</v>
      </c>
      <c r="K235" s="88">
        <v>0.158774</v>
      </c>
      <c r="L235" s="88">
        <v>0.15432899999999999</v>
      </c>
      <c r="M235" s="88">
        <v>0.15285599999999999</v>
      </c>
      <c r="N235" s="88">
        <v>0.15282999999999999</v>
      </c>
      <c r="O235" s="88">
        <v>0.15127099999999999</v>
      </c>
      <c r="P235" s="88">
        <v>0.15037500000000001</v>
      </c>
      <c r="Q235" s="88">
        <v>0.14968300000000001</v>
      </c>
      <c r="R235" s="88">
        <v>0.149451</v>
      </c>
      <c r="S235" s="88">
        <v>0.14862800000000001</v>
      </c>
      <c r="T235" s="88">
        <v>0.14777999999999999</v>
      </c>
      <c r="U235" s="88">
        <v>0.14705699999999999</v>
      </c>
      <c r="V235" s="88">
        <v>0.14660300000000001</v>
      </c>
      <c r="W235" s="88">
        <v>0.14538499999999999</v>
      </c>
      <c r="X235" s="88">
        <v>0.14497399999999999</v>
      </c>
      <c r="Y235" s="88">
        <v>0.14352400000000001</v>
      </c>
      <c r="Z235" s="88">
        <v>0.14100499999999999</v>
      </c>
      <c r="AA235" s="88">
        <v>0.13896900000000001</v>
      </c>
      <c r="AB235" s="88">
        <v>0.13796600000000001</v>
      </c>
      <c r="AC235" s="88">
        <v>0.137487</v>
      </c>
      <c r="AD235" s="88">
        <v>0.13655200000000001</v>
      </c>
      <c r="AE235" s="88">
        <v>0.13630700000000001</v>
      </c>
      <c r="AF235" s="89">
        <v>-8.4790000000000004E-3</v>
      </c>
      <c r="AG235" s="80"/>
    </row>
    <row r="236" spans="1:33" ht="15" customHeight="1" x14ac:dyDescent="0.25">
      <c r="A236" s="78" t="s">
        <v>522</v>
      </c>
      <c r="B236" s="87" t="s">
        <v>314</v>
      </c>
      <c r="C236" s="88">
        <v>4.3201349999999996</v>
      </c>
      <c r="D236" s="88">
        <v>4.0431869999999996</v>
      </c>
      <c r="E236" s="88">
        <v>3.9238460000000002</v>
      </c>
      <c r="F236" s="88">
        <v>3.769495</v>
      </c>
      <c r="G236" s="88">
        <v>3.6716500000000001</v>
      </c>
      <c r="H236" s="88">
        <v>3.5551919999999999</v>
      </c>
      <c r="I236" s="88">
        <v>3.410104</v>
      </c>
      <c r="J236" s="88">
        <v>3.1770309999999999</v>
      </c>
      <c r="K236" s="88">
        <v>2.9144230000000002</v>
      </c>
      <c r="L236" s="88">
        <v>2.829548</v>
      </c>
      <c r="M236" s="88">
        <v>2.8854839999999999</v>
      </c>
      <c r="N236" s="88">
        <v>3.0298370000000001</v>
      </c>
      <c r="O236" s="88">
        <v>3.2043180000000002</v>
      </c>
      <c r="P236" s="88">
        <v>3.3965519999999998</v>
      </c>
      <c r="Q236" s="88">
        <v>3.5950709999999999</v>
      </c>
      <c r="R236" s="88">
        <v>3.8028870000000001</v>
      </c>
      <c r="S236" s="88">
        <v>4.0112290000000002</v>
      </c>
      <c r="T236" s="88">
        <v>4.2221770000000003</v>
      </c>
      <c r="U236" s="88">
        <v>4.4554580000000001</v>
      </c>
      <c r="V236" s="88">
        <v>4.7012130000000001</v>
      </c>
      <c r="W236" s="88">
        <v>4.9360179999999998</v>
      </c>
      <c r="X236" s="88">
        <v>5.2028869999999996</v>
      </c>
      <c r="Y236" s="88">
        <v>5.4368910000000001</v>
      </c>
      <c r="Z236" s="88">
        <v>5.6219320000000002</v>
      </c>
      <c r="AA236" s="88">
        <v>5.8171609999999996</v>
      </c>
      <c r="AB236" s="88">
        <v>6.0639770000000004</v>
      </c>
      <c r="AC236" s="88">
        <v>6.339137</v>
      </c>
      <c r="AD236" s="88">
        <v>6.6010340000000003</v>
      </c>
      <c r="AE236" s="88">
        <v>6.8982409999999996</v>
      </c>
      <c r="AF236" s="89">
        <v>1.6854000000000001E-2</v>
      </c>
      <c r="AG236" s="80"/>
    </row>
    <row r="237" spans="1:33" ht="15" customHeight="1" x14ac:dyDescent="0.25">
      <c r="A237" s="78" t="s">
        <v>523</v>
      </c>
      <c r="B237" s="87" t="s">
        <v>316</v>
      </c>
      <c r="C237" s="88">
        <v>0</v>
      </c>
      <c r="D237" s="88">
        <v>0</v>
      </c>
      <c r="E237" s="88">
        <v>0</v>
      </c>
      <c r="F237" s="88">
        <v>0</v>
      </c>
      <c r="G237" s="88">
        <v>0</v>
      </c>
      <c r="H237" s="88">
        <v>0</v>
      </c>
      <c r="I237" s="88">
        <v>0</v>
      </c>
      <c r="J237" s="88">
        <v>0</v>
      </c>
      <c r="K237" s="88">
        <v>0</v>
      </c>
      <c r="L237" s="88">
        <v>0</v>
      </c>
      <c r="M237" s="88">
        <v>0</v>
      </c>
      <c r="N237" s="88">
        <v>0</v>
      </c>
      <c r="O237" s="88">
        <v>0</v>
      </c>
      <c r="P237" s="88">
        <v>0</v>
      </c>
      <c r="Q237" s="88">
        <v>0</v>
      </c>
      <c r="R237" s="88">
        <v>0</v>
      </c>
      <c r="S237" s="88">
        <v>0</v>
      </c>
      <c r="T237" s="88">
        <v>0</v>
      </c>
      <c r="U237" s="88">
        <v>0</v>
      </c>
      <c r="V237" s="88">
        <v>0</v>
      </c>
      <c r="W237" s="88">
        <v>0</v>
      </c>
      <c r="X237" s="88">
        <v>0</v>
      </c>
      <c r="Y237" s="88">
        <v>0</v>
      </c>
      <c r="Z237" s="88">
        <v>0</v>
      </c>
      <c r="AA237" s="88">
        <v>0</v>
      </c>
      <c r="AB237" s="88">
        <v>0</v>
      </c>
      <c r="AC237" s="88">
        <v>0</v>
      </c>
      <c r="AD237" s="88">
        <v>0</v>
      </c>
      <c r="AE237" s="88">
        <v>0</v>
      </c>
      <c r="AF237" s="89" t="s">
        <v>321</v>
      </c>
      <c r="AG237" s="80"/>
    </row>
    <row r="238" spans="1:33" ht="15" customHeight="1" x14ac:dyDescent="0.25">
      <c r="A238" s="78" t="s">
        <v>524</v>
      </c>
      <c r="B238" s="87" t="s">
        <v>318</v>
      </c>
      <c r="C238" s="88">
        <v>4.6861E-2</v>
      </c>
      <c r="D238" s="88">
        <v>4.2104000000000003E-2</v>
      </c>
      <c r="E238" s="88">
        <v>3.7054999999999998E-2</v>
      </c>
      <c r="F238" s="88">
        <v>3.2542000000000001E-2</v>
      </c>
      <c r="G238" s="88">
        <v>2.8996999999999998E-2</v>
      </c>
      <c r="H238" s="88">
        <v>2.6221999999999999E-2</v>
      </c>
      <c r="I238" s="88">
        <v>2.3376999999999998E-2</v>
      </c>
      <c r="J238" s="88">
        <v>2.0413000000000001E-2</v>
      </c>
      <c r="K238" s="88">
        <v>1.7541000000000001E-2</v>
      </c>
      <c r="L238" s="88">
        <v>1.5166000000000001E-2</v>
      </c>
      <c r="M238" s="88">
        <v>1.3365999999999999E-2</v>
      </c>
      <c r="N238" s="88">
        <v>1.1858E-2</v>
      </c>
      <c r="O238" s="88">
        <v>1.0488000000000001E-2</v>
      </c>
      <c r="P238" s="88">
        <v>9.2910000000000006E-3</v>
      </c>
      <c r="Q238" s="88">
        <v>8.2199999999999999E-3</v>
      </c>
      <c r="R238" s="88">
        <v>7.2639999999999996E-3</v>
      </c>
      <c r="S238" s="88">
        <v>6.4009999999999996E-3</v>
      </c>
      <c r="T238" s="88">
        <v>5.6319999999999999E-3</v>
      </c>
      <c r="U238" s="88">
        <v>4.9620000000000003E-3</v>
      </c>
      <c r="V238" s="88">
        <v>4.3670000000000002E-3</v>
      </c>
      <c r="W238" s="88">
        <v>3.8249999999999998E-3</v>
      </c>
      <c r="X238" s="88">
        <v>3.3549999999999999E-3</v>
      </c>
      <c r="Y238" s="88">
        <v>2.9150000000000001E-3</v>
      </c>
      <c r="Z238" s="88">
        <v>2.5100000000000001E-3</v>
      </c>
      <c r="AA238" s="88">
        <v>2.1640000000000001E-3</v>
      </c>
      <c r="AB238" s="88">
        <v>1.8760000000000001E-3</v>
      </c>
      <c r="AC238" s="88">
        <v>1.6310000000000001E-3</v>
      </c>
      <c r="AD238" s="88">
        <v>1.413E-3</v>
      </c>
      <c r="AE238" s="88">
        <v>1.2279999999999999E-3</v>
      </c>
      <c r="AF238" s="89">
        <v>-0.121974</v>
      </c>
      <c r="AG238" s="80"/>
    </row>
    <row r="239" spans="1:33" ht="15" customHeight="1" x14ac:dyDescent="0.25">
      <c r="A239" s="78" t="s">
        <v>525</v>
      </c>
      <c r="B239" s="87" t="s">
        <v>320</v>
      </c>
      <c r="C239" s="88">
        <v>0</v>
      </c>
      <c r="D239" s="88">
        <v>0</v>
      </c>
      <c r="E239" s="88">
        <v>0.124004</v>
      </c>
      <c r="F239" s="88">
        <v>0.12336999999999999</v>
      </c>
      <c r="G239" s="88">
        <v>0.123497</v>
      </c>
      <c r="H239" s="88">
        <v>0.12639400000000001</v>
      </c>
      <c r="I239" s="88">
        <v>0.12881799999999999</v>
      </c>
      <c r="J239" s="88">
        <v>0.12857199999999999</v>
      </c>
      <c r="K239" s="88">
        <v>0.12715799999999999</v>
      </c>
      <c r="L239" s="88">
        <v>0.127133</v>
      </c>
      <c r="M239" s="88">
        <v>0.13075700000000001</v>
      </c>
      <c r="N239" s="88">
        <v>0.13653799999999999</v>
      </c>
      <c r="O239" s="88">
        <v>0.14230000000000001</v>
      </c>
      <c r="P239" s="88">
        <v>0.14810699999999999</v>
      </c>
      <c r="Q239" s="88">
        <v>0.155443</v>
      </c>
      <c r="R239" s="88">
        <v>0.16337199999999999</v>
      </c>
      <c r="S239" s="88">
        <v>0.17139299999999999</v>
      </c>
      <c r="T239" s="88">
        <v>0.18044499999999999</v>
      </c>
      <c r="U239" s="88">
        <v>0.191217</v>
      </c>
      <c r="V239" s="88">
        <v>0.203458</v>
      </c>
      <c r="W239" s="88">
        <v>0.21637600000000001</v>
      </c>
      <c r="X239" s="88">
        <v>0.231353</v>
      </c>
      <c r="Y239" s="88">
        <v>0.24589900000000001</v>
      </c>
      <c r="Z239" s="88">
        <v>0.25953599999999999</v>
      </c>
      <c r="AA239" s="88">
        <v>0.27476200000000001</v>
      </c>
      <c r="AB239" s="88">
        <v>0.29278399999999999</v>
      </c>
      <c r="AC239" s="88">
        <v>0.31290899999999999</v>
      </c>
      <c r="AD239" s="88">
        <v>0.332872</v>
      </c>
      <c r="AE239" s="88">
        <v>0.35465200000000002</v>
      </c>
      <c r="AF239" s="89" t="s">
        <v>321</v>
      </c>
      <c r="AG239" s="80"/>
    </row>
    <row r="240" spans="1:33" ht="15" customHeight="1" x14ac:dyDescent="0.25">
      <c r="A240" s="78" t="s">
        <v>526</v>
      </c>
      <c r="B240" s="87" t="s">
        <v>323</v>
      </c>
      <c r="C240" s="88">
        <v>0</v>
      </c>
      <c r="D240" s="88">
        <v>0</v>
      </c>
      <c r="E240" s="88">
        <v>0.27505000000000002</v>
      </c>
      <c r="F240" s="88">
        <v>0.26865899999999998</v>
      </c>
      <c r="G240" s="88">
        <v>0.26628800000000002</v>
      </c>
      <c r="H240" s="88">
        <v>0.268984</v>
      </c>
      <c r="I240" s="88">
        <v>0.26871</v>
      </c>
      <c r="J240" s="88">
        <v>0.26366499999999998</v>
      </c>
      <c r="K240" s="88">
        <v>0.257156</v>
      </c>
      <c r="L240" s="88">
        <v>0.255056</v>
      </c>
      <c r="M240" s="88">
        <v>0.25977699999999998</v>
      </c>
      <c r="N240" s="88">
        <v>0.26896799999999998</v>
      </c>
      <c r="O240" s="88">
        <v>0.27766999999999997</v>
      </c>
      <c r="P240" s="88">
        <v>0.28694399999999998</v>
      </c>
      <c r="Q240" s="88">
        <v>0.297906</v>
      </c>
      <c r="R240" s="88">
        <v>0.31016899999999997</v>
      </c>
      <c r="S240" s="88">
        <v>0.32225300000000001</v>
      </c>
      <c r="T240" s="88">
        <v>0.33644299999999999</v>
      </c>
      <c r="U240" s="88">
        <v>0.35324499999999998</v>
      </c>
      <c r="V240" s="88">
        <v>0.37246200000000002</v>
      </c>
      <c r="W240" s="88">
        <v>0.39206400000000002</v>
      </c>
      <c r="X240" s="88">
        <v>0.41481699999999999</v>
      </c>
      <c r="Y240" s="88">
        <v>0.43431999999999998</v>
      </c>
      <c r="Z240" s="88">
        <v>0.45070199999999999</v>
      </c>
      <c r="AA240" s="88">
        <v>0.46655400000000002</v>
      </c>
      <c r="AB240" s="88">
        <v>0.48563899999999999</v>
      </c>
      <c r="AC240" s="88">
        <v>0.504992</v>
      </c>
      <c r="AD240" s="88">
        <v>0.52243700000000004</v>
      </c>
      <c r="AE240" s="88">
        <v>0.53968000000000005</v>
      </c>
      <c r="AF240" s="89" t="s">
        <v>321</v>
      </c>
      <c r="AG240" s="80"/>
    </row>
    <row r="241" spans="1:33" ht="15" customHeight="1" x14ac:dyDescent="0.25">
      <c r="A241" s="78" t="s">
        <v>527</v>
      </c>
      <c r="B241" s="87" t="s">
        <v>325</v>
      </c>
      <c r="C241" s="88">
        <v>0</v>
      </c>
      <c r="D241" s="88">
        <v>0</v>
      </c>
      <c r="E241" s="88">
        <v>0.41006300000000001</v>
      </c>
      <c r="F241" s="88">
        <v>0.41000599999999998</v>
      </c>
      <c r="G241" s="88">
        <v>0.41621000000000002</v>
      </c>
      <c r="H241" s="88">
        <v>0.42923</v>
      </c>
      <c r="I241" s="88">
        <v>0.43662499999999999</v>
      </c>
      <c r="J241" s="88">
        <v>0.435529</v>
      </c>
      <c r="K241" s="88">
        <v>0.42805599999999999</v>
      </c>
      <c r="L241" s="88">
        <v>0.42384300000000003</v>
      </c>
      <c r="M241" s="88">
        <v>0.42857499999999998</v>
      </c>
      <c r="N241" s="88">
        <v>0.43723400000000001</v>
      </c>
      <c r="O241" s="88">
        <v>0.445851</v>
      </c>
      <c r="P241" s="88">
        <v>0.45676800000000001</v>
      </c>
      <c r="Q241" s="88">
        <v>0.46883200000000003</v>
      </c>
      <c r="R241" s="88">
        <v>0.48222100000000001</v>
      </c>
      <c r="S241" s="88">
        <v>0.49639699999999998</v>
      </c>
      <c r="T241" s="88">
        <v>0.51200900000000005</v>
      </c>
      <c r="U241" s="88">
        <v>0.53081999999999996</v>
      </c>
      <c r="V241" s="88">
        <v>0.55196599999999996</v>
      </c>
      <c r="W241" s="88">
        <v>0.57327099999999998</v>
      </c>
      <c r="X241" s="88">
        <v>0.59853599999999996</v>
      </c>
      <c r="Y241" s="88">
        <v>0.62161699999999998</v>
      </c>
      <c r="Z241" s="88">
        <v>0.64187300000000003</v>
      </c>
      <c r="AA241" s="88">
        <v>0.66601399999999999</v>
      </c>
      <c r="AB241" s="88">
        <v>0.69730700000000001</v>
      </c>
      <c r="AC241" s="88">
        <v>0.73452300000000004</v>
      </c>
      <c r="AD241" s="88">
        <v>0.77302800000000005</v>
      </c>
      <c r="AE241" s="88">
        <v>0.81800399999999995</v>
      </c>
      <c r="AF241" s="89" t="s">
        <v>321</v>
      </c>
      <c r="AG241" s="80"/>
    </row>
    <row r="242" spans="1:33" ht="15" customHeight="1" x14ac:dyDescent="0.25">
      <c r="A242" s="78" t="s">
        <v>528</v>
      </c>
      <c r="B242" s="87" t="s">
        <v>351</v>
      </c>
      <c r="C242" s="88">
        <v>279.16204800000003</v>
      </c>
      <c r="D242" s="88">
        <v>282.80480999999997</v>
      </c>
      <c r="E242" s="88">
        <v>281.07968099999999</v>
      </c>
      <c r="F242" s="88">
        <v>278.68725599999999</v>
      </c>
      <c r="G242" s="88">
        <v>280.256958</v>
      </c>
      <c r="H242" s="88">
        <v>285.92919899999998</v>
      </c>
      <c r="I242" s="88">
        <v>287.41281099999998</v>
      </c>
      <c r="J242" s="88">
        <v>282.88992300000001</v>
      </c>
      <c r="K242" s="88">
        <v>273.94830300000001</v>
      </c>
      <c r="L242" s="88">
        <v>266.97226000000001</v>
      </c>
      <c r="M242" s="88">
        <v>265.300659</v>
      </c>
      <c r="N242" s="88">
        <v>265.54583700000001</v>
      </c>
      <c r="O242" s="88">
        <v>265.13763399999999</v>
      </c>
      <c r="P242" s="88">
        <v>265.377228</v>
      </c>
      <c r="Q242" s="88">
        <v>265.48864700000001</v>
      </c>
      <c r="R242" s="88">
        <v>265.49408</v>
      </c>
      <c r="S242" s="88">
        <v>265.022491</v>
      </c>
      <c r="T242" s="88">
        <v>264.367279</v>
      </c>
      <c r="U242" s="88">
        <v>264.34481799999998</v>
      </c>
      <c r="V242" s="88">
        <v>264.38436899999999</v>
      </c>
      <c r="W242" s="88">
        <v>263.38577299999997</v>
      </c>
      <c r="X242" s="88">
        <v>263.080872</v>
      </c>
      <c r="Y242" s="88">
        <v>260.720215</v>
      </c>
      <c r="Z242" s="88">
        <v>256.26821899999999</v>
      </c>
      <c r="AA242" s="88">
        <v>252.55316199999999</v>
      </c>
      <c r="AB242" s="88">
        <v>250.65791300000001</v>
      </c>
      <c r="AC242" s="88">
        <v>249.87380999999999</v>
      </c>
      <c r="AD242" s="88">
        <v>248.53254699999999</v>
      </c>
      <c r="AE242" s="88">
        <v>248.30985999999999</v>
      </c>
      <c r="AF242" s="89">
        <v>-4.1739999999999998E-3</v>
      </c>
      <c r="AG242" s="80"/>
    </row>
    <row r="243" spans="1:33" ht="15" customHeight="1" x14ac:dyDescent="0.25">
      <c r="A243" s="78" t="s">
        <v>529</v>
      </c>
      <c r="B243" s="86" t="s">
        <v>530</v>
      </c>
      <c r="C243" s="90">
        <v>711.90508999999997</v>
      </c>
      <c r="D243" s="90">
        <v>731.49768100000006</v>
      </c>
      <c r="E243" s="90">
        <v>746.08410600000002</v>
      </c>
      <c r="F243" s="90">
        <v>755.33306900000002</v>
      </c>
      <c r="G243" s="90">
        <v>765.83038299999998</v>
      </c>
      <c r="H243" s="90">
        <v>780.86895800000002</v>
      </c>
      <c r="I243" s="90">
        <v>788.05279499999995</v>
      </c>
      <c r="J243" s="90">
        <v>786.18463099999997</v>
      </c>
      <c r="K243" s="90">
        <v>775.89386000000002</v>
      </c>
      <c r="L243" s="90">
        <v>769.153503</v>
      </c>
      <c r="M243" s="90">
        <v>772.19421399999999</v>
      </c>
      <c r="N243" s="90">
        <v>778.19146699999999</v>
      </c>
      <c r="O243" s="90">
        <v>784.09899900000005</v>
      </c>
      <c r="P243" s="90">
        <v>793.142517</v>
      </c>
      <c r="Q243" s="90">
        <v>802.76110800000004</v>
      </c>
      <c r="R243" s="90">
        <v>811.77514599999995</v>
      </c>
      <c r="S243" s="90">
        <v>820.43054199999995</v>
      </c>
      <c r="T243" s="90">
        <v>828.44409199999996</v>
      </c>
      <c r="U243" s="90">
        <v>838.05096400000002</v>
      </c>
      <c r="V243" s="90">
        <v>845.96551499999998</v>
      </c>
      <c r="W243" s="90">
        <v>851.84161400000005</v>
      </c>
      <c r="X243" s="90">
        <v>858.72430399999996</v>
      </c>
      <c r="Y243" s="90">
        <v>861.682861</v>
      </c>
      <c r="Z243" s="90">
        <v>862.92309599999999</v>
      </c>
      <c r="AA243" s="90">
        <v>865.21826199999998</v>
      </c>
      <c r="AB243" s="90">
        <v>869.99597200000005</v>
      </c>
      <c r="AC243" s="90">
        <v>875.87756300000001</v>
      </c>
      <c r="AD243" s="90">
        <v>882.39776600000005</v>
      </c>
      <c r="AE243" s="90">
        <v>891.90478499999995</v>
      </c>
      <c r="AF243" s="91">
        <v>8.0829999999999999E-3</v>
      </c>
      <c r="AG243" s="80"/>
    </row>
    <row r="244" spans="1:33" ht="15" customHeight="1" x14ac:dyDescent="0.25"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/>
      <c r="AF244" s="80"/>
      <c r="AG244" s="80"/>
    </row>
    <row r="245" spans="1:33" ht="15" customHeight="1" x14ac:dyDescent="0.25"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  <c r="AC245" s="80"/>
      <c r="AD245" s="80"/>
      <c r="AE245" s="80"/>
      <c r="AF245" s="80"/>
      <c r="AG245" s="80"/>
    </row>
    <row r="246" spans="1:33" ht="15" customHeight="1" x14ac:dyDescent="0.25"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</row>
    <row r="247" spans="1:33" ht="15" customHeight="1" x14ac:dyDescent="0.25">
      <c r="B247" s="86" t="s">
        <v>531</v>
      </c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</row>
    <row r="248" spans="1:33" ht="12" customHeight="1" x14ac:dyDescent="0.25">
      <c r="A248" s="78" t="s">
        <v>532</v>
      </c>
      <c r="B248" s="87" t="s">
        <v>533</v>
      </c>
      <c r="C248" s="94">
        <v>1620.4948730000001</v>
      </c>
      <c r="D248" s="94">
        <v>1600.1008300000001</v>
      </c>
      <c r="E248" s="94">
        <v>1666.9197999999999</v>
      </c>
      <c r="F248" s="94">
        <v>1628.408447</v>
      </c>
      <c r="G248" s="94">
        <v>1561.420654</v>
      </c>
      <c r="H248" s="94">
        <v>1509.649414</v>
      </c>
      <c r="I248" s="94">
        <v>1489.7312010000001</v>
      </c>
      <c r="J248" s="94">
        <v>1507.5151370000001</v>
      </c>
      <c r="K248" s="94">
        <v>1500.1649170000001</v>
      </c>
      <c r="L248" s="94">
        <v>1506.952393</v>
      </c>
      <c r="M248" s="94">
        <v>1522.1982419999999</v>
      </c>
      <c r="N248" s="94">
        <v>1534.73938</v>
      </c>
      <c r="O248" s="94">
        <v>1543.237427</v>
      </c>
      <c r="P248" s="94">
        <v>1554.590698</v>
      </c>
      <c r="Q248" s="94">
        <v>1557.5253909999999</v>
      </c>
      <c r="R248" s="94">
        <v>1562.481567</v>
      </c>
      <c r="S248" s="94">
        <v>1568.966064</v>
      </c>
      <c r="T248" s="94">
        <v>1568.3394780000001</v>
      </c>
      <c r="U248" s="94">
        <v>1571.777466</v>
      </c>
      <c r="V248" s="94">
        <v>1585.611206</v>
      </c>
      <c r="W248" s="94">
        <v>1597.3070070000001</v>
      </c>
      <c r="X248" s="94">
        <v>1600.190918</v>
      </c>
      <c r="Y248" s="94">
        <v>1601.832764</v>
      </c>
      <c r="Z248" s="94">
        <v>1602.998779</v>
      </c>
      <c r="AA248" s="94">
        <v>1608.1293949999999</v>
      </c>
      <c r="AB248" s="94">
        <v>1618.0823969999999</v>
      </c>
      <c r="AC248" s="94">
        <v>1630.8079829999999</v>
      </c>
      <c r="AD248" s="94">
        <v>1636.8905030000001</v>
      </c>
      <c r="AE248" s="94">
        <v>1649.469482</v>
      </c>
      <c r="AF248" s="89">
        <v>6.3299999999999999E-4</v>
      </c>
      <c r="AG248" s="80"/>
    </row>
    <row r="249" spans="1:33" ht="15" customHeight="1" x14ac:dyDescent="0.25">
      <c r="A249" s="78" t="s">
        <v>534</v>
      </c>
      <c r="B249" s="87" t="s">
        <v>535</v>
      </c>
      <c r="C249" s="88">
        <v>3.3663400000000001</v>
      </c>
      <c r="D249" s="88">
        <v>3.3698929999999998</v>
      </c>
      <c r="E249" s="88">
        <v>3.3734500000000001</v>
      </c>
      <c r="F249" s="88">
        <v>3.3770099999999998</v>
      </c>
      <c r="G249" s="88">
        <v>3.3805740000000002</v>
      </c>
      <c r="H249" s="88">
        <v>3.3841420000000002</v>
      </c>
      <c r="I249" s="88">
        <v>3.3877130000000002</v>
      </c>
      <c r="J249" s="88">
        <v>3.391289</v>
      </c>
      <c r="K249" s="88">
        <v>3.3948680000000002</v>
      </c>
      <c r="L249" s="88">
        <v>3.3984510000000001</v>
      </c>
      <c r="M249" s="88">
        <v>3.402037</v>
      </c>
      <c r="N249" s="88">
        <v>3.4056280000000001</v>
      </c>
      <c r="O249" s="88">
        <v>3.4092220000000002</v>
      </c>
      <c r="P249" s="88">
        <v>3.41282</v>
      </c>
      <c r="Q249" s="88">
        <v>3.4164219999999998</v>
      </c>
      <c r="R249" s="88">
        <v>3.4200270000000002</v>
      </c>
      <c r="S249" s="88">
        <v>3.4236369999999998</v>
      </c>
      <c r="T249" s="88">
        <v>3.4272499999999999</v>
      </c>
      <c r="U249" s="88">
        <v>3.4308670000000001</v>
      </c>
      <c r="V249" s="88">
        <v>3.434488</v>
      </c>
      <c r="W249" s="88">
        <v>3.438113</v>
      </c>
      <c r="X249" s="88">
        <v>3.4417409999999999</v>
      </c>
      <c r="Y249" s="88">
        <v>3.445373</v>
      </c>
      <c r="Z249" s="88">
        <v>3.4490099999999999</v>
      </c>
      <c r="AA249" s="88">
        <v>3.4526490000000001</v>
      </c>
      <c r="AB249" s="88">
        <v>3.4562930000000001</v>
      </c>
      <c r="AC249" s="88">
        <v>3.4599410000000002</v>
      </c>
      <c r="AD249" s="88">
        <v>3.4635929999999999</v>
      </c>
      <c r="AE249" s="88">
        <v>3.4672480000000001</v>
      </c>
      <c r="AF249" s="89">
        <v>1.0549999999999999E-3</v>
      </c>
      <c r="AG249" s="80"/>
    </row>
    <row r="250" spans="1:33" ht="15" customHeight="1" x14ac:dyDescent="0.25">
      <c r="B250" s="86" t="s">
        <v>536</v>
      </c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</row>
    <row r="251" spans="1:33" ht="15" customHeight="1" x14ac:dyDescent="0.25">
      <c r="A251" s="78" t="s">
        <v>537</v>
      </c>
      <c r="B251" s="87" t="s">
        <v>538</v>
      </c>
      <c r="C251" s="88">
        <v>480.86654700000003</v>
      </c>
      <c r="D251" s="88">
        <v>473.79251099999999</v>
      </c>
      <c r="E251" s="88">
        <v>492.51501500000001</v>
      </c>
      <c r="F251" s="88">
        <v>480.10034200000001</v>
      </c>
      <c r="G251" s="88">
        <v>459.17535400000003</v>
      </c>
      <c r="H251" s="88">
        <v>442.59573399999999</v>
      </c>
      <c r="I251" s="88">
        <v>435.204926</v>
      </c>
      <c r="J251" s="88">
        <v>438.61608899999999</v>
      </c>
      <c r="K251" s="88">
        <v>434.49127199999998</v>
      </c>
      <c r="L251" s="88">
        <v>434.25302099999999</v>
      </c>
      <c r="M251" s="88">
        <v>435.99301100000002</v>
      </c>
      <c r="N251" s="88">
        <v>436.48690800000003</v>
      </c>
      <c r="O251" s="88">
        <v>435.37204000000003</v>
      </c>
      <c r="P251" s="88">
        <v>434.60772700000001</v>
      </c>
      <c r="Q251" s="88">
        <v>431.05429099999998</v>
      </c>
      <c r="R251" s="88">
        <v>427.65039100000001</v>
      </c>
      <c r="S251" s="88">
        <v>424.25372299999998</v>
      </c>
      <c r="T251" s="88">
        <v>418.55365</v>
      </c>
      <c r="U251" s="88">
        <v>413.58151199999998</v>
      </c>
      <c r="V251" s="88">
        <v>410.946777</v>
      </c>
      <c r="W251" s="88">
        <v>407.33846999999997</v>
      </c>
      <c r="X251" s="88">
        <v>401.121399</v>
      </c>
      <c r="Y251" s="88">
        <v>394.29074100000003</v>
      </c>
      <c r="Z251" s="88">
        <v>387.06680299999999</v>
      </c>
      <c r="AA251" s="88">
        <v>380.52633700000001</v>
      </c>
      <c r="AB251" s="88">
        <v>373.70101899999997</v>
      </c>
      <c r="AC251" s="88">
        <v>367.609375</v>
      </c>
      <c r="AD251" s="88">
        <v>360.13336199999998</v>
      </c>
      <c r="AE251" s="88">
        <v>354.19946299999998</v>
      </c>
      <c r="AF251" s="89">
        <v>-1.0859000000000001E-2</v>
      </c>
      <c r="AG251" s="80"/>
    </row>
    <row r="252" spans="1:33" ht="12" customHeight="1" x14ac:dyDescent="0.25">
      <c r="A252" s="78" t="s">
        <v>539</v>
      </c>
      <c r="B252" s="87" t="s">
        <v>540</v>
      </c>
      <c r="C252" s="88">
        <v>0</v>
      </c>
      <c r="D252" s="88">
        <v>0</v>
      </c>
      <c r="E252" s="88">
        <v>0</v>
      </c>
      <c r="F252" s="88">
        <v>0</v>
      </c>
      <c r="G252" s="88">
        <v>0</v>
      </c>
      <c r="H252" s="88">
        <v>0</v>
      </c>
      <c r="I252" s="88">
        <v>0</v>
      </c>
      <c r="J252" s="88">
        <v>0</v>
      </c>
      <c r="K252" s="88">
        <v>0</v>
      </c>
      <c r="L252" s="88">
        <v>0</v>
      </c>
      <c r="M252" s="88">
        <v>0</v>
      </c>
      <c r="N252" s="88">
        <v>0</v>
      </c>
      <c r="O252" s="88">
        <v>0</v>
      </c>
      <c r="P252" s="88">
        <v>0</v>
      </c>
      <c r="Q252" s="88">
        <v>0</v>
      </c>
      <c r="R252" s="88">
        <v>0</v>
      </c>
      <c r="S252" s="88">
        <v>0</v>
      </c>
      <c r="T252" s="88">
        <v>0</v>
      </c>
      <c r="U252" s="88">
        <v>0</v>
      </c>
      <c r="V252" s="88">
        <v>0</v>
      </c>
      <c r="W252" s="88">
        <v>0</v>
      </c>
      <c r="X252" s="88">
        <v>0</v>
      </c>
      <c r="Y252" s="88">
        <v>0</v>
      </c>
      <c r="Z252" s="88">
        <v>0</v>
      </c>
      <c r="AA252" s="88">
        <v>0</v>
      </c>
      <c r="AB252" s="88">
        <v>0</v>
      </c>
      <c r="AC252" s="88">
        <v>0</v>
      </c>
      <c r="AD252" s="88">
        <v>0</v>
      </c>
      <c r="AE252" s="88">
        <v>0</v>
      </c>
      <c r="AF252" s="89" t="s">
        <v>321</v>
      </c>
      <c r="AG252" s="80"/>
    </row>
    <row r="253" spans="1:33" ht="15" customHeight="1" x14ac:dyDescent="0.25">
      <c r="A253" s="78" t="s">
        <v>541</v>
      </c>
      <c r="B253" s="87" t="s">
        <v>542</v>
      </c>
      <c r="C253" s="88">
        <v>0</v>
      </c>
      <c r="D253" s="88">
        <v>0</v>
      </c>
      <c r="E253" s="88">
        <v>0</v>
      </c>
      <c r="F253" s="88">
        <v>0</v>
      </c>
      <c r="G253" s="88">
        <v>0</v>
      </c>
      <c r="H253" s="88">
        <v>0</v>
      </c>
      <c r="I253" s="88">
        <v>0</v>
      </c>
      <c r="J253" s="88">
        <v>0</v>
      </c>
      <c r="K253" s="88">
        <v>0</v>
      </c>
      <c r="L253" s="88">
        <v>0</v>
      </c>
      <c r="M253" s="88">
        <v>0</v>
      </c>
      <c r="N253" s="88">
        <v>0</v>
      </c>
      <c r="O253" s="88">
        <v>0</v>
      </c>
      <c r="P253" s="88">
        <v>0</v>
      </c>
      <c r="Q253" s="88">
        <v>0</v>
      </c>
      <c r="R253" s="88">
        <v>0</v>
      </c>
      <c r="S253" s="88">
        <v>0</v>
      </c>
      <c r="T253" s="88">
        <v>0</v>
      </c>
      <c r="U253" s="88">
        <v>0</v>
      </c>
      <c r="V253" s="88">
        <v>0</v>
      </c>
      <c r="W253" s="88">
        <v>0</v>
      </c>
      <c r="X253" s="88">
        <v>0</v>
      </c>
      <c r="Y253" s="88">
        <v>0</v>
      </c>
      <c r="Z253" s="88">
        <v>0</v>
      </c>
      <c r="AA253" s="88">
        <v>0</v>
      </c>
      <c r="AB253" s="88">
        <v>0</v>
      </c>
      <c r="AC253" s="88">
        <v>0</v>
      </c>
      <c r="AD253" s="88">
        <v>0</v>
      </c>
      <c r="AE253" s="88">
        <v>0</v>
      </c>
      <c r="AF253" s="89" t="s">
        <v>321</v>
      </c>
      <c r="AG253" s="80"/>
    </row>
    <row r="254" spans="1:33" ht="15" customHeight="1" x14ac:dyDescent="0.25">
      <c r="A254" s="78" t="s">
        <v>543</v>
      </c>
      <c r="B254" s="87" t="s">
        <v>544</v>
      </c>
      <c r="C254" s="88">
        <v>0.51516300000000004</v>
      </c>
      <c r="D254" s="88">
        <v>1.02989</v>
      </c>
      <c r="E254" s="88">
        <v>1.6141289999999999</v>
      </c>
      <c r="F254" s="88">
        <v>2.1038670000000002</v>
      </c>
      <c r="G254" s="88">
        <v>2.7049910000000001</v>
      </c>
      <c r="H254" s="88">
        <v>3.499511</v>
      </c>
      <c r="I254" s="88">
        <v>4.5404369999999998</v>
      </c>
      <c r="J254" s="88">
        <v>5.9096029999999997</v>
      </c>
      <c r="K254" s="88">
        <v>7.4006509999999999</v>
      </c>
      <c r="L254" s="88">
        <v>9.1702840000000005</v>
      </c>
      <c r="M254" s="88">
        <v>11.444215</v>
      </c>
      <c r="N254" s="88">
        <v>14.161068</v>
      </c>
      <c r="O254" s="88">
        <v>17.293554</v>
      </c>
      <c r="P254" s="88">
        <v>20.907318</v>
      </c>
      <c r="Q254" s="88">
        <v>24.839417000000001</v>
      </c>
      <c r="R254" s="88">
        <v>29.211893</v>
      </c>
      <c r="S254" s="88">
        <v>34.020896999999998</v>
      </c>
      <c r="T254" s="88">
        <v>39.055110999999997</v>
      </c>
      <c r="U254" s="88">
        <v>44.546832999999999</v>
      </c>
      <c r="V254" s="88">
        <v>50.726470999999997</v>
      </c>
      <c r="W254" s="88">
        <v>57.249889000000003</v>
      </c>
      <c r="X254" s="88">
        <v>63.815086000000001</v>
      </c>
      <c r="Y254" s="88">
        <v>70.632087999999996</v>
      </c>
      <c r="Z254" s="88">
        <v>77.703888000000006</v>
      </c>
      <c r="AA254" s="88">
        <v>85.240448000000001</v>
      </c>
      <c r="AB254" s="88">
        <v>94.454329999999999</v>
      </c>
      <c r="AC254" s="88">
        <v>103.730484</v>
      </c>
      <c r="AD254" s="88">
        <v>112.465706</v>
      </c>
      <c r="AE254" s="88">
        <v>121.52919799999999</v>
      </c>
      <c r="AF254" s="89">
        <v>0.21546000000000001</v>
      </c>
      <c r="AG254" s="80"/>
    </row>
    <row r="255" spans="1:33" ht="15" customHeight="1" x14ac:dyDescent="0.25"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80"/>
    </row>
    <row r="256" spans="1:33" ht="12" customHeight="1" x14ac:dyDescent="0.25">
      <c r="B256" s="86" t="s">
        <v>545</v>
      </c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80"/>
      <c r="AD256" s="80"/>
      <c r="AE256" s="80"/>
      <c r="AF256" s="80"/>
      <c r="AG256" s="80"/>
    </row>
    <row r="257" spans="1:33" ht="15" customHeight="1" x14ac:dyDescent="0.25">
      <c r="A257" s="78" t="s">
        <v>546</v>
      </c>
      <c r="B257" s="87" t="s">
        <v>547</v>
      </c>
      <c r="C257" s="94">
        <v>444.898865</v>
      </c>
      <c r="D257" s="94">
        <v>450.42761200000001</v>
      </c>
      <c r="E257" s="94">
        <v>448.61004600000001</v>
      </c>
      <c r="F257" s="94">
        <v>446.74627700000002</v>
      </c>
      <c r="G257" s="94">
        <v>445.22772200000003</v>
      </c>
      <c r="H257" s="94">
        <v>442.84777800000001</v>
      </c>
      <c r="I257" s="94">
        <v>440.43005399999998</v>
      </c>
      <c r="J257" s="94">
        <v>437.02459700000003</v>
      </c>
      <c r="K257" s="94">
        <v>434.036407</v>
      </c>
      <c r="L257" s="94">
        <v>431.39211999999998</v>
      </c>
      <c r="M257" s="94">
        <v>429.99737499999998</v>
      </c>
      <c r="N257" s="94">
        <v>428.16067500000003</v>
      </c>
      <c r="O257" s="94">
        <v>426.27862499999998</v>
      </c>
      <c r="P257" s="94">
        <v>424.17816199999999</v>
      </c>
      <c r="Q257" s="94">
        <v>421.71697999999998</v>
      </c>
      <c r="R257" s="94">
        <v>419.81463600000001</v>
      </c>
      <c r="S257" s="94">
        <v>417.567047</v>
      </c>
      <c r="T257" s="94">
        <v>415.80767800000001</v>
      </c>
      <c r="U257" s="94">
        <v>414.04513500000002</v>
      </c>
      <c r="V257" s="94">
        <v>412.52209499999998</v>
      </c>
      <c r="W257" s="94">
        <v>411.24774200000002</v>
      </c>
      <c r="X257" s="94">
        <v>409.97735599999999</v>
      </c>
      <c r="Y257" s="94">
        <v>408.52224699999999</v>
      </c>
      <c r="Z257" s="94">
        <v>406.63034099999999</v>
      </c>
      <c r="AA257" s="94">
        <v>405.358521</v>
      </c>
      <c r="AB257" s="94">
        <v>403.865906</v>
      </c>
      <c r="AC257" s="94">
        <v>401.97906499999999</v>
      </c>
      <c r="AD257" s="94">
        <v>400.55664100000001</v>
      </c>
      <c r="AE257" s="94">
        <v>400.09832799999998</v>
      </c>
      <c r="AF257" s="89">
        <v>-3.7829999999999999E-3</v>
      </c>
      <c r="AG257" s="80"/>
    </row>
    <row r="258" spans="1:33" ht="15" customHeight="1" x14ac:dyDescent="0.25">
      <c r="A258" s="78" t="s">
        <v>548</v>
      </c>
      <c r="B258" s="87" t="s">
        <v>535</v>
      </c>
      <c r="C258" s="88">
        <v>4.8202259999999999</v>
      </c>
      <c r="D258" s="88">
        <v>4.8389660000000001</v>
      </c>
      <c r="E258" s="88">
        <v>4.8577789999999998</v>
      </c>
      <c r="F258" s="88">
        <v>4.876665</v>
      </c>
      <c r="G258" s="88">
        <v>4.8956239999999998</v>
      </c>
      <c r="H258" s="88">
        <v>4.9146570000000001</v>
      </c>
      <c r="I258" s="88">
        <v>4.933764</v>
      </c>
      <c r="J258" s="88">
        <v>4.9529449999999997</v>
      </c>
      <c r="K258" s="88">
        <v>4.9722</v>
      </c>
      <c r="L258" s="88">
        <v>4.9915310000000002</v>
      </c>
      <c r="M258" s="88">
        <v>5.0109370000000002</v>
      </c>
      <c r="N258" s="88">
        <v>5.0304180000000001</v>
      </c>
      <c r="O258" s="88">
        <v>5.0499749999999999</v>
      </c>
      <c r="P258" s="88">
        <v>5.0696079999999997</v>
      </c>
      <c r="Q258" s="88">
        <v>5.0893170000000003</v>
      </c>
      <c r="R258" s="88">
        <v>5.1091030000000002</v>
      </c>
      <c r="S258" s="88">
        <v>5.1289660000000001</v>
      </c>
      <c r="T258" s="88">
        <v>5.1489060000000002</v>
      </c>
      <c r="U258" s="88">
        <v>5.1689230000000004</v>
      </c>
      <c r="V258" s="88">
        <v>5.189019</v>
      </c>
      <c r="W258" s="88">
        <v>5.2091919999999998</v>
      </c>
      <c r="X258" s="88">
        <v>5.2294450000000001</v>
      </c>
      <c r="Y258" s="88">
        <v>5.2497749999999996</v>
      </c>
      <c r="Z258" s="88">
        <v>5.2701849999999997</v>
      </c>
      <c r="AA258" s="88">
        <v>5.2906740000000001</v>
      </c>
      <c r="AB258" s="88">
        <v>5.3112430000000002</v>
      </c>
      <c r="AC258" s="88">
        <v>5.3318919999999999</v>
      </c>
      <c r="AD258" s="88">
        <v>5.3526210000000001</v>
      </c>
      <c r="AE258" s="88">
        <v>5.3734299999999999</v>
      </c>
      <c r="AF258" s="89">
        <v>3.888E-3</v>
      </c>
      <c r="AG258" s="80"/>
    </row>
    <row r="259" spans="1:33" ht="15" customHeight="1" x14ac:dyDescent="0.25">
      <c r="B259" s="140" t="s">
        <v>536</v>
      </c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  <c r="AB259" s="141"/>
      <c r="AC259" s="141"/>
      <c r="AD259" s="141"/>
      <c r="AE259" s="141"/>
      <c r="AF259" s="141"/>
      <c r="AG259" s="80"/>
    </row>
    <row r="260" spans="1:33" ht="15" customHeight="1" x14ac:dyDescent="0.25">
      <c r="A260" s="78" t="s">
        <v>549</v>
      </c>
      <c r="B260" s="87" t="s">
        <v>538</v>
      </c>
      <c r="C260" s="88">
        <v>95.724982999999995</v>
      </c>
      <c r="D260" s="88">
        <v>96.410872999999995</v>
      </c>
      <c r="E260" s="88">
        <v>95.648369000000002</v>
      </c>
      <c r="F260" s="88">
        <v>94.922400999999994</v>
      </c>
      <c r="G260" s="88">
        <v>94.299674999999993</v>
      </c>
      <c r="H260" s="88">
        <v>93.480141000000003</v>
      </c>
      <c r="I260" s="88">
        <v>92.663535999999993</v>
      </c>
      <c r="J260" s="88">
        <v>91.636002000000005</v>
      </c>
      <c r="K260" s="88">
        <v>90.709732000000002</v>
      </c>
      <c r="L260" s="88">
        <v>89.864052000000001</v>
      </c>
      <c r="M260" s="88">
        <v>89.271820000000005</v>
      </c>
      <c r="N260" s="88">
        <v>88.583907999999994</v>
      </c>
      <c r="O260" s="88">
        <v>87.881882000000004</v>
      </c>
      <c r="P260" s="88">
        <v>87.154610000000005</v>
      </c>
      <c r="Q260" s="88">
        <v>86.355025999999995</v>
      </c>
      <c r="R260" s="88">
        <v>85.672011999999995</v>
      </c>
      <c r="S260" s="88">
        <v>84.929305999999997</v>
      </c>
      <c r="T260" s="88">
        <v>84.290549999999996</v>
      </c>
      <c r="U260" s="88">
        <v>83.598647999999997</v>
      </c>
      <c r="V260" s="88">
        <v>82.885955999999993</v>
      </c>
      <c r="W260" s="88">
        <v>82.221778999999998</v>
      </c>
      <c r="X260" s="88">
        <v>81.555756000000002</v>
      </c>
      <c r="Y260" s="88">
        <v>80.850998000000004</v>
      </c>
      <c r="Z260" s="88">
        <v>80.058989999999994</v>
      </c>
      <c r="AA260" s="88">
        <v>79.380050999999995</v>
      </c>
      <c r="AB260" s="88">
        <v>78.650115999999997</v>
      </c>
      <c r="AC260" s="88">
        <v>77.846335999999994</v>
      </c>
      <c r="AD260" s="88">
        <v>77.124741</v>
      </c>
      <c r="AE260" s="88">
        <v>76.572761999999997</v>
      </c>
      <c r="AF260" s="89">
        <v>-7.9410000000000001E-3</v>
      </c>
      <c r="AG260" s="80"/>
    </row>
    <row r="261" spans="1:33" ht="15" customHeight="1" x14ac:dyDescent="0.25">
      <c r="A261" s="78" t="s">
        <v>550</v>
      </c>
      <c r="B261" s="87" t="s">
        <v>540</v>
      </c>
      <c r="C261" s="88">
        <v>1.875904</v>
      </c>
      <c r="D261" s="88">
        <v>1.8078829999999999</v>
      </c>
      <c r="E261" s="88">
        <v>1.7136819999999999</v>
      </c>
      <c r="F261" s="88">
        <v>1.621937</v>
      </c>
      <c r="G261" s="88">
        <v>1.5413140000000001</v>
      </c>
      <c r="H261" s="88">
        <v>1.455168</v>
      </c>
      <c r="I261" s="88">
        <v>1.371278</v>
      </c>
      <c r="J261" s="88">
        <v>1.2863249999999999</v>
      </c>
      <c r="K261" s="88">
        <v>1.1999850000000001</v>
      </c>
      <c r="L261" s="88">
        <v>1.1125510000000001</v>
      </c>
      <c r="M261" s="88">
        <v>1.0315639999999999</v>
      </c>
      <c r="N261" s="88">
        <v>0.94839600000000002</v>
      </c>
      <c r="O261" s="88">
        <v>0.86860599999999999</v>
      </c>
      <c r="P261" s="88">
        <v>0.79182399999999997</v>
      </c>
      <c r="Q261" s="88">
        <v>0.72530600000000001</v>
      </c>
      <c r="R261" s="88">
        <v>0.65481</v>
      </c>
      <c r="S261" s="88">
        <v>0.57531900000000002</v>
      </c>
      <c r="T261" s="88">
        <v>0.49192999999999998</v>
      </c>
      <c r="U261" s="88">
        <v>0.417902</v>
      </c>
      <c r="V261" s="88">
        <v>0.41475499999999998</v>
      </c>
      <c r="W261" s="88">
        <v>0.41187499999999999</v>
      </c>
      <c r="X261" s="88">
        <v>0.40901599999999999</v>
      </c>
      <c r="Y261" s="88">
        <v>0.40599000000000002</v>
      </c>
      <c r="Z261" s="88">
        <v>0.40254800000000002</v>
      </c>
      <c r="AA261" s="88">
        <v>0.39974100000000001</v>
      </c>
      <c r="AB261" s="88">
        <v>0.396733</v>
      </c>
      <c r="AC261" s="88">
        <v>0.39335599999999998</v>
      </c>
      <c r="AD261" s="88">
        <v>0.39045299999999999</v>
      </c>
      <c r="AE261" s="88">
        <v>0.38850499999999999</v>
      </c>
      <c r="AF261" s="89">
        <v>-5.4682000000000001E-2</v>
      </c>
      <c r="AG261" s="80"/>
    </row>
    <row r="262" spans="1:33" ht="15" customHeight="1" x14ac:dyDescent="0.25">
      <c r="A262" s="78" t="s">
        <v>551</v>
      </c>
      <c r="B262" s="87" t="s">
        <v>542</v>
      </c>
      <c r="C262" s="88">
        <v>0</v>
      </c>
      <c r="D262" s="88">
        <v>0</v>
      </c>
      <c r="E262" s="88">
        <v>0</v>
      </c>
      <c r="F262" s="88">
        <v>0</v>
      </c>
      <c r="G262" s="88">
        <v>0</v>
      </c>
      <c r="H262" s="88">
        <v>0</v>
      </c>
      <c r="I262" s="88">
        <v>0</v>
      </c>
      <c r="J262" s="88">
        <v>0</v>
      </c>
      <c r="K262" s="88">
        <v>0</v>
      </c>
      <c r="L262" s="88">
        <v>0</v>
      </c>
      <c r="M262" s="88">
        <v>0</v>
      </c>
      <c r="N262" s="88">
        <v>0</v>
      </c>
      <c r="O262" s="88">
        <v>0</v>
      </c>
      <c r="P262" s="88">
        <v>0</v>
      </c>
      <c r="Q262" s="88">
        <v>0</v>
      </c>
      <c r="R262" s="88">
        <v>0</v>
      </c>
      <c r="S262" s="88">
        <v>0</v>
      </c>
      <c r="T262" s="88">
        <v>0</v>
      </c>
      <c r="U262" s="88">
        <v>0</v>
      </c>
      <c r="V262" s="88">
        <v>0</v>
      </c>
      <c r="W262" s="88">
        <v>0</v>
      </c>
      <c r="X262" s="88">
        <v>0</v>
      </c>
      <c r="Y262" s="88">
        <v>0</v>
      </c>
      <c r="Z262" s="88">
        <v>0</v>
      </c>
      <c r="AA262" s="88">
        <v>0</v>
      </c>
      <c r="AB262" s="88">
        <v>0</v>
      </c>
      <c r="AC262" s="88">
        <v>0</v>
      </c>
      <c r="AD262" s="88">
        <v>0</v>
      </c>
      <c r="AE262" s="88">
        <v>0</v>
      </c>
      <c r="AF262" s="89" t="s">
        <v>321</v>
      </c>
      <c r="AG262" s="80"/>
    </row>
    <row r="263" spans="1:33" ht="15" customHeight="1" x14ac:dyDescent="0.25">
      <c r="A263" s="78" t="s">
        <v>552</v>
      </c>
      <c r="B263" s="87" t="s">
        <v>544</v>
      </c>
      <c r="C263" s="88">
        <v>0.638131</v>
      </c>
      <c r="D263" s="88">
        <v>0.70199999999999996</v>
      </c>
      <c r="E263" s="88">
        <v>0.75260700000000003</v>
      </c>
      <c r="F263" s="88">
        <v>0.80172500000000002</v>
      </c>
      <c r="G263" s="88">
        <v>0.84487999999999996</v>
      </c>
      <c r="H263" s="88">
        <v>0.88815699999999997</v>
      </c>
      <c r="I263" s="88">
        <v>0.92988400000000004</v>
      </c>
      <c r="J263" s="88">
        <v>0.96818099999999996</v>
      </c>
      <c r="K263" s="88">
        <v>1.009477</v>
      </c>
      <c r="L263" s="88">
        <v>1.053212</v>
      </c>
      <c r="M263" s="88">
        <v>1.0977250000000001</v>
      </c>
      <c r="N263" s="88">
        <v>1.1419189999999999</v>
      </c>
      <c r="O263" s="88">
        <v>1.183538</v>
      </c>
      <c r="P263" s="88">
        <v>1.2224330000000001</v>
      </c>
      <c r="Q263" s="88">
        <v>1.252678</v>
      </c>
      <c r="R263" s="88">
        <v>1.2881480000000001</v>
      </c>
      <c r="S263" s="88">
        <v>1.3287279999999999</v>
      </c>
      <c r="T263" s="88">
        <v>1.374214</v>
      </c>
      <c r="U263" s="88">
        <v>1.4570460000000001</v>
      </c>
      <c r="V263" s="88">
        <v>1.54541</v>
      </c>
      <c r="W263" s="88">
        <v>1.640115</v>
      </c>
      <c r="X263" s="88">
        <v>1.7406269999999999</v>
      </c>
      <c r="Y263" s="88">
        <v>1.8464670000000001</v>
      </c>
      <c r="Z263" s="88">
        <v>1.956663</v>
      </c>
      <c r="AA263" s="88">
        <v>2.0764179999999999</v>
      </c>
      <c r="AB263" s="88">
        <v>2.2021730000000002</v>
      </c>
      <c r="AC263" s="88">
        <v>2.3334239999999999</v>
      </c>
      <c r="AD263" s="88">
        <v>2.4752070000000002</v>
      </c>
      <c r="AE263" s="88">
        <v>2.6315870000000001</v>
      </c>
      <c r="AF263" s="89">
        <v>5.1901999999999997E-2</v>
      </c>
      <c r="AG263" s="80"/>
    </row>
    <row r="264" spans="1:33" ht="15" customHeight="1" x14ac:dyDescent="0.25"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80"/>
      <c r="AD264" s="80"/>
      <c r="AE264" s="80"/>
      <c r="AF264" s="80"/>
      <c r="AG264" s="80"/>
    </row>
    <row r="265" spans="1:33" ht="15" customHeight="1" x14ac:dyDescent="0.25">
      <c r="B265" s="86" t="s">
        <v>553</v>
      </c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80"/>
      <c r="AD265" s="80"/>
      <c r="AE265" s="80"/>
      <c r="AF265" s="80"/>
      <c r="AG265" s="80"/>
    </row>
    <row r="266" spans="1:33" ht="15" customHeight="1" x14ac:dyDescent="0.25">
      <c r="A266" s="78" t="s">
        <v>554</v>
      </c>
      <c r="B266" s="87" t="s">
        <v>555</v>
      </c>
      <c r="C266" s="94">
        <v>5234.1591799999997</v>
      </c>
      <c r="D266" s="94">
        <v>5273.296875</v>
      </c>
      <c r="E266" s="94">
        <v>5362.6445309999999</v>
      </c>
      <c r="F266" s="94">
        <v>5516.3344729999999</v>
      </c>
      <c r="G266" s="94">
        <v>5699.1494140000004</v>
      </c>
      <c r="H266" s="94">
        <v>5878.9716799999997</v>
      </c>
      <c r="I266" s="94">
        <v>6041.2578119999998</v>
      </c>
      <c r="J266" s="94">
        <v>6192.2470700000003</v>
      </c>
      <c r="K266" s="94">
        <v>6343.6660160000001</v>
      </c>
      <c r="L266" s="94">
        <v>6511.3486329999996</v>
      </c>
      <c r="M266" s="94">
        <v>6715.9096680000002</v>
      </c>
      <c r="N266" s="94">
        <v>6915.4399409999996</v>
      </c>
      <c r="O266" s="94">
        <v>7116.8901370000003</v>
      </c>
      <c r="P266" s="94">
        <v>7327.4184569999998</v>
      </c>
      <c r="Q266" s="94">
        <v>7523.0537109999996</v>
      </c>
      <c r="R266" s="94">
        <v>7718.1992190000001</v>
      </c>
      <c r="S266" s="94">
        <v>7912.0834960000002</v>
      </c>
      <c r="T266" s="94">
        <v>8137.939453</v>
      </c>
      <c r="U266" s="94">
        <v>8368.4814449999994</v>
      </c>
      <c r="V266" s="94">
        <v>8606.8613280000009</v>
      </c>
      <c r="W266" s="94">
        <v>8874.4423829999996</v>
      </c>
      <c r="X266" s="94">
        <v>9160.3457030000009</v>
      </c>
      <c r="Y266" s="94">
        <v>9472.5527340000008</v>
      </c>
      <c r="Z266" s="94">
        <v>9798.0292969999991</v>
      </c>
      <c r="AA266" s="94">
        <v>10143.948242</v>
      </c>
      <c r="AB266" s="94">
        <v>10485.746094</v>
      </c>
      <c r="AC266" s="94">
        <v>10850.213867</v>
      </c>
      <c r="AD266" s="94">
        <v>11224.771484000001</v>
      </c>
      <c r="AE266" s="94">
        <v>11635.883789</v>
      </c>
      <c r="AF266" s="89">
        <v>2.8943E-2</v>
      </c>
      <c r="AG266" s="80"/>
    </row>
    <row r="267" spans="1:33" ht="15" customHeight="1" x14ac:dyDescent="0.25">
      <c r="A267" s="78" t="s">
        <v>556</v>
      </c>
      <c r="B267" s="87" t="s">
        <v>557</v>
      </c>
      <c r="C267" s="94">
        <v>1831.682251</v>
      </c>
      <c r="D267" s="94">
        <v>1866.1319579999999</v>
      </c>
      <c r="E267" s="94">
        <v>1903.4384769999999</v>
      </c>
      <c r="F267" s="94">
        <v>1962.4832759999999</v>
      </c>
      <c r="G267" s="94">
        <v>2030.4210210000001</v>
      </c>
      <c r="H267" s="94">
        <v>2091.8476559999999</v>
      </c>
      <c r="I267" s="94">
        <v>2140.1359859999998</v>
      </c>
      <c r="J267" s="94">
        <v>2176.3395999999998</v>
      </c>
      <c r="K267" s="94">
        <v>2205.485107</v>
      </c>
      <c r="L267" s="94">
        <v>2234.9177249999998</v>
      </c>
      <c r="M267" s="94">
        <v>2273.3510740000002</v>
      </c>
      <c r="N267" s="94">
        <v>2317.189453</v>
      </c>
      <c r="O267" s="94">
        <v>2363.84375</v>
      </c>
      <c r="P267" s="94">
        <v>2415.5078119999998</v>
      </c>
      <c r="Q267" s="94">
        <v>2471.7585450000001</v>
      </c>
      <c r="R267" s="94">
        <v>2534.2473140000002</v>
      </c>
      <c r="S267" s="94">
        <v>2596.5371089999999</v>
      </c>
      <c r="T267" s="94">
        <v>2674.233643</v>
      </c>
      <c r="U267" s="94">
        <v>2759.7326659999999</v>
      </c>
      <c r="V267" s="94">
        <v>2843.7934570000002</v>
      </c>
      <c r="W267" s="94">
        <v>2937.530518</v>
      </c>
      <c r="X267" s="94">
        <v>3038.2260740000002</v>
      </c>
      <c r="Y267" s="94">
        <v>3149.4558109999998</v>
      </c>
      <c r="Z267" s="94">
        <v>3264.0588379999999</v>
      </c>
      <c r="AA267" s="94">
        <v>3390.117432</v>
      </c>
      <c r="AB267" s="94">
        <v>3513.3171390000002</v>
      </c>
      <c r="AC267" s="94">
        <v>3646.149414</v>
      </c>
      <c r="AD267" s="94">
        <v>3789.6210940000001</v>
      </c>
      <c r="AE267" s="94">
        <v>3944.2458499999998</v>
      </c>
      <c r="AF267" s="89">
        <v>2.7772000000000002E-2</v>
      </c>
      <c r="AG267" s="80"/>
    </row>
    <row r="268" spans="1:33" ht="12" customHeight="1" x14ac:dyDescent="0.25">
      <c r="A268" s="78" t="s">
        <v>558</v>
      </c>
      <c r="B268" s="87" t="s">
        <v>559</v>
      </c>
      <c r="C268" s="94">
        <v>3402.476807</v>
      </c>
      <c r="D268" s="94">
        <v>3407.165039</v>
      </c>
      <c r="E268" s="94">
        <v>3459.2060550000001</v>
      </c>
      <c r="F268" s="94">
        <v>3553.8510740000002</v>
      </c>
      <c r="G268" s="94">
        <v>3668.7282709999999</v>
      </c>
      <c r="H268" s="94">
        <v>3787.123779</v>
      </c>
      <c r="I268" s="94">
        <v>3901.1220699999999</v>
      </c>
      <c r="J268" s="94">
        <v>4015.9077149999998</v>
      </c>
      <c r="K268" s="94">
        <v>4138.1806640000004</v>
      </c>
      <c r="L268" s="94">
        <v>4276.4311520000001</v>
      </c>
      <c r="M268" s="94">
        <v>4442.5585940000001</v>
      </c>
      <c r="N268" s="94">
        <v>4598.2504879999997</v>
      </c>
      <c r="O268" s="94">
        <v>4753.0463870000003</v>
      </c>
      <c r="P268" s="94">
        <v>4911.9106449999999</v>
      </c>
      <c r="Q268" s="94">
        <v>5051.294922</v>
      </c>
      <c r="R268" s="94">
        <v>5183.9516599999997</v>
      </c>
      <c r="S268" s="94">
        <v>5315.5463870000003</v>
      </c>
      <c r="T268" s="94">
        <v>5463.7055659999996</v>
      </c>
      <c r="U268" s="94">
        <v>5608.7485349999997</v>
      </c>
      <c r="V268" s="94">
        <v>5763.0683589999999</v>
      </c>
      <c r="W268" s="94">
        <v>5936.9116210000002</v>
      </c>
      <c r="X268" s="94">
        <v>6122.1201170000004</v>
      </c>
      <c r="Y268" s="94">
        <v>6323.0971680000002</v>
      </c>
      <c r="Z268" s="94">
        <v>6533.9702150000003</v>
      </c>
      <c r="AA268" s="94">
        <v>6753.8305659999996</v>
      </c>
      <c r="AB268" s="94">
        <v>6972.4287109999996</v>
      </c>
      <c r="AC268" s="94">
        <v>7204.064453</v>
      </c>
      <c r="AD268" s="94">
        <v>7435.1499020000001</v>
      </c>
      <c r="AE268" s="94">
        <v>7691.6376950000003</v>
      </c>
      <c r="AF268" s="89">
        <v>2.9558000000000001E-2</v>
      </c>
      <c r="AG268" s="80"/>
    </row>
    <row r="269" spans="1:33" ht="12" customHeight="1" x14ac:dyDescent="0.25">
      <c r="B269" s="86" t="s">
        <v>536</v>
      </c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</row>
    <row r="270" spans="1:33" ht="12" customHeight="1" x14ac:dyDescent="0.25">
      <c r="A270" s="78" t="s">
        <v>560</v>
      </c>
      <c r="B270" s="87" t="s">
        <v>538</v>
      </c>
      <c r="C270" s="88">
        <v>222.93867499999999</v>
      </c>
      <c r="D270" s="88">
        <v>318.21374500000002</v>
      </c>
      <c r="E270" s="88">
        <v>318.50683600000002</v>
      </c>
      <c r="F270" s="88">
        <v>321.42748999999998</v>
      </c>
      <c r="G270" s="88">
        <v>326.40893599999998</v>
      </c>
      <c r="H270" s="88">
        <v>331.75039700000002</v>
      </c>
      <c r="I270" s="88">
        <v>339.13262900000001</v>
      </c>
      <c r="J270" s="88">
        <v>343.65380900000002</v>
      </c>
      <c r="K270" s="88">
        <v>348.44000199999999</v>
      </c>
      <c r="L270" s="88">
        <v>348.61184700000001</v>
      </c>
      <c r="M270" s="88">
        <v>349.93618800000002</v>
      </c>
      <c r="N270" s="88">
        <v>351.71850599999999</v>
      </c>
      <c r="O270" s="88">
        <v>354.40063500000002</v>
      </c>
      <c r="P270" s="88">
        <v>355.17700200000002</v>
      </c>
      <c r="Q270" s="88">
        <v>356.67022700000001</v>
      </c>
      <c r="R270" s="88">
        <v>356.87670900000001</v>
      </c>
      <c r="S270" s="88">
        <v>358.82894900000002</v>
      </c>
      <c r="T270" s="88">
        <v>358.93920900000001</v>
      </c>
      <c r="U270" s="88">
        <v>360.572205</v>
      </c>
      <c r="V270" s="88">
        <v>361.26196299999998</v>
      </c>
      <c r="W270" s="88">
        <v>361.28478999999999</v>
      </c>
      <c r="X270" s="88">
        <v>360.64623999999998</v>
      </c>
      <c r="Y270" s="88">
        <v>360.38775600000002</v>
      </c>
      <c r="Z270" s="88">
        <v>360.05560300000002</v>
      </c>
      <c r="AA270" s="88">
        <v>358.46176100000002</v>
      </c>
      <c r="AB270" s="88">
        <v>357.26376299999998</v>
      </c>
      <c r="AC270" s="88">
        <v>357.07412699999998</v>
      </c>
      <c r="AD270" s="88">
        <v>355.22808800000001</v>
      </c>
      <c r="AE270" s="88">
        <v>354.51147500000002</v>
      </c>
      <c r="AF270" s="89">
        <v>1.6704E-2</v>
      </c>
      <c r="AG270" s="80"/>
    </row>
    <row r="271" spans="1:33" ht="12" customHeight="1" x14ac:dyDescent="0.25">
      <c r="A271" s="78" t="s">
        <v>561</v>
      </c>
      <c r="B271" s="87" t="s">
        <v>540</v>
      </c>
      <c r="C271" s="88">
        <v>685.66516100000001</v>
      </c>
      <c r="D271" s="88">
        <v>532.149719</v>
      </c>
      <c r="E271" s="88">
        <v>519.35320999999999</v>
      </c>
      <c r="F271" s="88">
        <v>520.34844999999996</v>
      </c>
      <c r="G271" s="88">
        <v>497.46441700000003</v>
      </c>
      <c r="H271" s="88">
        <v>487.75363199999998</v>
      </c>
      <c r="I271" s="88">
        <v>469.75631700000002</v>
      </c>
      <c r="J271" s="88">
        <v>458.26986699999998</v>
      </c>
      <c r="K271" s="88">
        <v>449.82733200000001</v>
      </c>
      <c r="L271" s="88">
        <v>449.95632899999998</v>
      </c>
      <c r="M271" s="88">
        <v>449.27517699999999</v>
      </c>
      <c r="N271" s="88">
        <v>449.44375600000001</v>
      </c>
      <c r="O271" s="88">
        <v>447.34497099999999</v>
      </c>
      <c r="P271" s="88">
        <v>447.23684700000001</v>
      </c>
      <c r="Q271" s="88">
        <v>444.02316300000001</v>
      </c>
      <c r="R271" s="88">
        <v>442.96899400000001</v>
      </c>
      <c r="S271" s="88">
        <v>441.815674</v>
      </c>
      <c r="T271" s="88">
        <v>439.63165300000003</v>
      </c>
      <c r="U271" s="88">
        <v>437.97662400000002</v>
      </c>
      <c r="V271" s="88">
        <v>436.76757800000001</v>
      </c>
      <c r="W271" s="88">
        <v>436.80938700000002</v>
      </c>
      <c r="X271" s="88">
        <v>435.24386600000003</v>
      </c>
      <c r="Y271" s="88">
        <v>434.29315200000002</v>
      </c>
      <c r="Z271" s="88">
        <v>432.733093</v>
      </c>
      <c r="AA271" s="88">
        <v>438.45755000000003</v>
      </c>
      <c r="AB271" s="88">
        <v>437.70047</v>
      </c>
      <c r="AC271" s="88">
        <v>432.92089800000002</v>
      </c>
      <c r="AD271" s="88">
        <v>429.24749800000001</v>
      </c>
      <c r="AE271" s="88">
        <v>424.56079099999999</v>
      </c>
      <c r="AF271" s="89">
        <v>-1.6972999999999999E-2</v>
      </c>
      <c r="AG271" s="80"/>
    </row>
    <row r="272" spans="1:33" ht="12" customHeight="1" x14ac:dyDescent="0.25">
      <c r="A272" s="78" t="s">
        <v>562</v>
      </c>
      <c r="B272" s="87" t="s">
        <v>542</v>
      </c>
      <c r="C272" s="88">
        <v>0</v>
      </c>
      <c r="D272" s="88">
        <v>0</v>
      </c>
      <c r="E272" s="88">
        <v>0</v>
      </c>
      <c r="F272" s="88">
        <v>0</v>
      </c>
      <c r="G272" s="88">
        <v>0</v>
      </c>
      <c r="H272" s="88">
        <v>0</v>
      </c>
      <c r="I272" s="88">
        <v>0</v>
      </c>
      <c r="J272" s="88">
        <v>0</v>
      </c>
      <c r="K272" s="88">
        <v>0</v>
      </c>
      <c r="L272" s="88">
        <v>0</v>
      </c>
      <c r="M272" s="88">
        <v>0</v>
      </c>
      <c r="N272" s="88">
        <v>0</v>
      </c>
      <c r="O272" s="88">
        <v>0</v>
      </c>
      <c r="P272" s="88">
        <v>0</v>
      </c>
      <c r="Q272" s="88">
        <v>0</v>
      </c>
      <c r="R272" s="88">
        <v>0</v>
      </c>
      <c r="S272" s="88">
        <v>0</v>
      </c>
      <c r="T272" s="88">
        <v>0</v>
      </c>
      <c r="U272" s="88">
        <v>0</v>
      </c>
      <c r="V272" s="88">
        <v>0</v>
      </c>
      <c r="W272" s="88">
        <v>0</v>
      </c>
      <c r="X272" s="88">
        <v>0</v>
      </c>
      <c r="Y272" s="88">
        <v>0</v>
      </c>
      <c r="Z272" s="88">
        <v>0</v>
      </c>
      <c r="AA272" s="88">
        <v>0</v>
      </c>
      <c r="AB272" s="88">
        <v>0</v>
      </c>
      <c r="AC272" s="88">
        <v>0</v>
      </c>
      <c r="AD272" s="88">
        <v>0</v>
      </c>
      <c r="AE272" s="88">
        <v>0</v>
      </c>
      <c r="AF272" s="89" t="s">
        <v>321</v>
      </c>
      <c r="AG272" s="80"/>
    </row>
    <row r="273" spans="1:34" ht="12" customHeight="1" x14ac:dyDescent="0.25">
      <c r="A273" s="78" t="s">
        <v>563</v>
      </c>
      <c r="B273" s="87" t="s">
        <v>544</v>
      </c>
      <c r="C273" s="88">
        <v>26.423862</v>
      </c>
      <c r="D273" s="88">
        <v>31.466925</v>
      </c>
      <c r="E273" s="88">
        <v>39.867241</v>
      </c>
      <c r="F273" s="88">
        <v>36.828189999999999</v>
      </c>
      <c r="G273" s="88">
        <v>47.376953</v>
      </c>
      <c r="H273" s="88">
        <v>48.944679000000001</v>
      </c>
      <c r="I273" s="88">
        <v>53.800423000000002</v>
      </c>
      <c r="J273" s="88">
        <v>57.218277</v>
      </c>
      <c r="K273" s="88">
        <v>58.367088000000003</v>
      </c>
      <c r="L273" s="88">
        <v>58.568268000000003</v>
      </c>
      <c r="M273" s="88">
        <v>58.225639000000001</v>
      </c>
      <c r="N273" s="88">
        <v>56.838042999999999</v>
      </c>
      <c r="O273" s="88">
        <v>56.014595</v>
      </c>
      <c r="P273" s="88">
        <v>55.804080999999996</v>
      </c>
      <c r="Q273" s="88">
        <v>56.853912000000001</v>
      </c>
      <c r="R273" s="88">
        <v>57.767783999999999</v>
      </c>
      <c r="S273" s="88">
        <v>56.989986000000002</v>
      </c>
      <c r="T273" s="88">
        <v>58.778945999999998</v>
      </c>
      <c r="U273" s="88">
        <v>58.696617000000003</v>
      </c>
      <c r="V273" s="88">
        <v>59.2714</v>
      </c>
      <c r="W273" s="88">
        <v>59.735518999999996</v>
      </c>
      <c r="X273" s="88">
        <v>61.929656999999999</v>
      </c>
      <c r="Y273" s="88">
        <v>63.367027</v>
      </c>
      <c r="Z273" s="88">
        <v>65.278946000000005</v>
      </c>
      <c r="AA273" s="88">
        <v>63.714081</v>
      </c>
      <c r="AB273" s="88">
        <v>65.960021999999995</v>
      </c>
      <c r="AC273" s="88">
        <v>69.839432000000002</v>
      </c>
      <c r="AD273" s="88">
        <v>74.646148999999994</v>
      </c>
      <c r="AE273" s="88">
        <v>79.022368999999998</v>
      </c>
      <c r="AF273" s="89">
        <v>3.9898999999999997E-2</v>
      </c>
      <c r="AG273" s="80"/>
    </row>
    <row r="274" spans="1:34" ht="12" customHeight="1" thickBot="1" x14ac:dyDescent="0.3"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80"/>
    </row>
    <row r="275" spans="1:34" ht="12" customHeight="1" x14ac:dyDescent="0.25">
      <c r="B275" s="129" t="s">
        <v>564</v>
      </c>
      <c r="C275" s="134"/>
      <c r="D275" s="134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  <c r="AA275" s="134"/>
      <c r="AB275" s="134"/>
      <c r="AC275" s="134"/>
      <c r="AD275" s="134"/>
      <c r="AE275" s="134"/>
      <c r="AF275" s="134"/>
      <c r="AG275" s="134"/>
      <c r="AH275" s="95"/>
    </row>
    <row r="276" spans="1:34" ht="12" customHeight="1" x14ac:dyDescent="0.25">
      <c r="B276" s="80" t="s">
        <v>565</v>
      </c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</row>
    <row r="277" spans="1:34" ht="12" customHeight="1" x14ac:dyDescent="0.25">
      <c r="B277" s="80" t="s">
        <v>566</v>
      </c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</row>
    <row r="278" spans="1:34" ht="12" customHeight="1" x14ac:dyDescent="0.25">
      <c r="B278" s="80" t="s">
        <v>567</v>
      </c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</row>
    <row r="279" spans="1:34" ht="12" customHeight="1" x14ac:dyDescent="0.25">
      <c r="B279" s="80" t="s">
        <v>568</v>
      </c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</row>
    <row r="280" spans="1:34" ht="12" customHeight="1" x14ac:dyDescent="0.25">
      <c r="B280" s="80" t="s">
        <v>569</v>
      </c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</row>
    <row r="281" spans="1:34" ht="12" customHeight="1" x14ac:dyDescent="0.25">
      <c r="B281" s="80" t="s">
        <v>570</v>
      </c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</row>
    <row r="282" spans="1:34" ht="12" customHeight="1" x14ac:dyDescent="0.25">
      <c r="B282" s="80" t="s">
        <v>571</v>
      </c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</row>
    <row r="283" spans="1:34" ht="12" customHeight="1" x14ac:dyDescent="0.25"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</row>
    <row r="284" spans="1:34" ht="12" customHeight="1" x14ac:dyDescent="0.25"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</row>
    <row r="285" spans="1:34" ht="12" customHeight="1" x14ac:dyDescent="0.25"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</row>
    <row r="286" spans="1:34" ht="12" customHeight="1" x14ac:dyDescent="0.25"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</row>
    <row r="287" spans="1:34" ht="12" customHeight="1" x14ac:dyDescent="0.25"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</row>
    <row r="288" spans="1:34" ht="12" customHeight="1" x14ac:dyDescent="0.25"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</row>
    <row r="289" spans="2:33" ht="12" customHeight="1" x14ac:dyDescent="0.25"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</row>
    <row r="290" spans="2:33" ht="12" customHeight="1" x14ac:dyDescent="0.25"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</row>
    <row r="291" spans="2:33" ht="12" customHeight="1" x14ac:dyDescent="0.25"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</row>
    <row r="292" spans="2:33" ht="12" customHeight="1" x14ac:dyDescent="0.25"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</row>
    <row r="293" spans="2:33" ht="12" customHeight="1" x14ac:dyDescent="0.25"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</row>
    <row r="294" spans="2:33" ht="12" customHeight="1" x14ac:dyDescent="0.25"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</row>
    <row r="295" spans="2:33" ht="12" customHeight="1" x14ac:dyDescent="0.25"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</row>
    <row r="296" spans="2:33" ht="12" customHeight="1" x14ac:dyDescent="0.25"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</row>
    <row r="297" spans="2:33" ht="12" customHeight="1" x14ac:dyDescent="0.25"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</row>
    <row r="298" spans="2:33" ht="12" customHeight="1" x14ac:dyDescent="0.25"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</row>
    <row r="299" spans="2:33" ht="12" customHeight="1" x14ac:dyDescent="0.25"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</row>
    <row r="300" spans="2:33" ht="15" customHeight="1" x14ac:dyDescent="0.25"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</row>
    <row r="301" spans="2:33" ht="15" customHeight="1" x14ac:dyDescent="0.25"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</row>
    <row r="302" spans="2:33" ht="15" customHeight="1" x14ac:dyDescent="0.25"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</row>
    <row r="303" spans="2:33" ht="15" customHeight="1" x14ac:dyDescent="0.25"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</row>
    <row r="304" spans="2:33" ht="15" customHeight="1" x14ac:dyDescent="0.25"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</row>
    <row r="305" spans="2:33" ht="15" customHeight="1" x14ac:dyDescent="0.25"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</row>
    <row r="306" spans="2:33" ht="15" customHeight="1" x14ac:dyDescent="0.25"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</row>
    <row r="307" spans="2:33" ht="15" customHeight="1" x14ac:dyDescent="0.25"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</row>
    <row r="308" spans="2:33" ht="15" customHeight="1" x14ac:dyDescent="0.25"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</row>
    <row r="309" spans="2:33" ht="15" customHeight="1" x14ac:dyDescent="0.25"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</row>
    <row r="310" spans="2:33" ht="12" customHeight="1" x14ac:dyDescent="0.25"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</row>
    <row r="311" spans="2:33" ht="15" customHeight="1" x14ac:dyDescent="0.25"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</row>
    <row r="312" spans="2:33" ht="15" customHeight="1" x14ac:dyDescent="0.25"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</row>
    <row r="313" spans="2:33" ht="15" customHeight="1" x14ac:dyDescent="0.25"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</row>
    <row r="314" spans="2:33" ht="15" customHeight="1" x14ac:dyDescent="0.25"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</row>
    <row r="315" spans="2:33" ht="15" customHeight="1" x14ac:dyDescent="0.25"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</row>
    <row r="316" spans="2:33" ht="15" customHeight="1" x14ac:dyDescent="0.25"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</row>
    <row r="317" spans="2:33" ht="15" customHeight="1" x14ac:dyDescent="0.25"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</row>
    <row r="318" spans="2:33" ht="15" customHeight="1" x14ac:dyDescent="0.25"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</row>
    <row r="319" spans="2:33" ht="15" customHeight="1" x14ac:dyDescent="0.25"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</row>
    <row r="320" spans="2:33" ht="15" customHeight="1" x14ac:dyDescent="0.25"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</row>
    <row r="321" spans="2:33" ht="15" customHeight="1" x14ac:dyDescent="0.25"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</row>
    <row r="322" spans="2:33" ht="15" customHeight="1" x14ac:dyDescent="0.25"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</row>
    <row r="323" spans="2:33" ht="15" customHeight="1" x14ac:dyDescent="0.25"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</row>
    <row r="324" spans="2:33" ht="15" customHeight="1" x14ac:dyDescent="0.25"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</row>
    <row r="325" spans="2:33" ht="15" customHeight="1" x14ac:dyDescent="0.25"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</row>
    <row r="326" spans="2:33" ht="15" customHeight="1" x14ac:dyDescent="0.25"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</row>
    <row r="327" spans="2:33" ht="12" customHeight="1" x14ac:dyDescent="0.25"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</row>
    <row r="328" spans="2:33" ht="15" customHeight="1" x14ac:dyDescent="0.25"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</row>
    <row r="329" spans="2:33" ht="12" customHeight="1" x14ac:dyDescent="0.25"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</row>
    <row r="330" spans="2:33" ht="15" customHeight="1" x14ac:dyDescent="0.25"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</row>
    <row r="331" spans="2:33" ht="15" customHeight="1" x14ac:dyDescent="0.25"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</row>
    <row r="332" spans="2:33" ht="15" customHeight="1" x14ac:dyDescent="0.25"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</row>
    <row r="333" spans="2:33" ht="15" customHeight="1" x14ac:dyDescent="0.25"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</row>
    <row r="334" spans="2:33" ht="15" customHeight="1" x14ac:dyDescent="0.25"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 t="s">
        <v>572</v>
      </c>
      <c r="AG334" s="80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2"/>
      <c r="C339" s="132"/>
      <c r="D339" s="132"/>
      <c r="E339" s="132"/>
      <c r="F339" s="132"/>
      <c r="G339" s="132"/>
      <c r="H339" s="132"/>
      <c r="I339" s="132"/>
      <c r="J339" s="132"/>
      <c r="K339" s="132"/>
      <c r="L339" s="132"/>
      <c r="M339" s="132"/>
      <c r="N339" s="132"/>
      <c r="O339" s="132"/>
      <c r="P339" s="132"/>
      <c r="Q339" s="132"/>
      <c r="R339" s="132"/>
      <c r="S339" s="132"/>
      <c r="T339" s="132"/>
      <c r="U339" s="132"/>
      <c r="V339" s="132"/>
      <c r="W339" s="132"/>
      <c r="X339" s="132"/>
      <c r="Y339" s="132"/>
      <c r="Z339" s="132"/>
      <c r="AA339" s="132"/>
      <c r="AB339" s="132"/>
      <c r="AC339" s="132"/>
      <c r="AD339" s="132"/>
      <c r="AE339" s="132"/>
      <c r="AF339" s="132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2"/>
      <c r="C452" s="132"/>
      <c r="D452" s="132"/>
      <c r="E452" s="132"/>
      <c r="F452" s="132"/>
      <c r="G452" s="132"/>
      <c r="H452" s="132"/>
      <c r="I452" s="132"/>
      <c r="J452" s="132"/>
      <c r="K452" s="132"/>
      <c r="L452" s="132"/>
      <c r="M452" s="132"/>
      <c r="N452" s="132"/>
      <c r="O452" s="132"/>
      <c r="P452" s="132"/>
      <c r="Q452" s="132"/>
      <c r="R452" s="132"/>
      <c r="S452" s="132"/>
      <c r="T452" s="132"/>
      <c r="U452" s="132"/>
      <c r="V452" s="132"/>
      <c r="W452" s="132"/>
      <c r="X452" s="132"/>
      <c r="Y452" s="132"/>
      <c r="Z452" s="132"/>
      <c r="AA452" s="132"/>
      <c r="AB452" s="132"/>
      <c r="AC452" s="132"/>
      <c r="AD452" s="132"/>
      <c r="AE452" s="132"/>
      <c r="AF452" s="132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2"/>
      <c r="C565" s="132"/>
      <c r="D565" s="132"/>
      <c r="E565" s="132"/>
      <c r="F565" s="132"/>
      <c r="G565" s="132"/>
      <c r="H565" s="132"/>
      <c r="I565" s="132"/>
      <c r="J565" s="132"/>
      <c r="K565" s="132"/>
      <c r="L565" s="132"/>
      <c r="M565" s="132"/>
      <c r="N565" s="132"/>
      <c r="O565" s="132"/>
      <c r="P565" s="132"/>
      <c r="Q565" s="132"/>
      <c r="R565" s="132"/>
      <c r="S565" s="132"/>
      <c r="T565" s="132"/>
      <c r="U565" s="132"/>
      <c r="V565" s="132"/>
      <c r="W565" s="132"/>
      <c r="X565" s="132"/>
      <c r="Y565" s="132"/>
      <c r="Z565" s="132"/>
      <c r="AA565" s="132"/>
      <c r="AB565" s="132"/>
      <c r="AC565" s="132"/>
      <c r="AD565" s="132"/>
      <c r="AE565" s="132"/>
      <c r="AF565" s="132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2"/>
      <c r="C663" s="132"/>
      <c r="D663" s="132"/>
      <c r="E663" s="132"/>
      <c r="F663" s="132"/>
      <c r="G663" s="132"/>
      <c r="H663" s="132"/>
      <c r="I663" s="132"/>
      <c r="J663" s="132"/>
      <c r="K663" s="132"/>
      <c r="L663" s="132"/>
      <c r="M663" s="132"/>
      <c r="N663" s="132"/>
      <c r="O663" s="132"/>
      <c r="P663" s="132"/>
      <c r="Q663" s="132"/>
      <c r="R663" s="132"/>
      <c r="S663" s="132"/>
      <c r="T663" s="132"/>
      <c r="U663" s="132"/>
      <c r="V663" s="132"/>
      <c r="W663" s="132"/>
      <c r="X663" s="132"/>
      <c r="Y663" s="132"/>
      <c r="Z663" s="132"/>
      <c r="AA663" s="132"/>
      <c r="AB663" s="132"/>
      <c r="AC663" s="132"/>
      <c r="AD663" s="132"/>
      <c r="AE663" s="132"/>
      <c r="AF663" s="132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2"/>
      <c r="C735" s="132"/>
      <c r="D735" s="132"/>
      <c r="E735" s="132"/>
      <c r="F735" s="132"/>
      <c r="G735" s="132"/>
      <c r="H735" s="132"/>
      <c r="I735" s="132"/>
      <c r="J735" s="132"/>
      <c r="K735" s="132"/>
      <c r="L735" s="132"/>
      <c r="M735" s="132"/>
      <c r="N735" s="132"/>
      <c r="O735" s="132"/>
      <c r="P735" s="132"/>
      <c r="Q735" s="132"/>
      <c r="R735" s="132"/>
      <c r="S735" s="132"/>
      <c r="T735" s="132"/>
      <c r="U735" s="132"/>
      <c r="V735" s="132"/>
      <c r="W735" s="132"/>
      <c r="X735" s="132"/>
      <c r="Y735" s="132"/>
      <c r="Z735" s="132"/>
      <c r="AA735" s="132"/>
      <c r="AB735" s="132"/>
      <c r="AC735" s="132"/>
      <c r="AD735" s="132"/>
      <c r="AE735" s="132"/>
      <c r="AF735" s="132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2"/>
      <c r="C911" s="132"/>
      <c r="D911" s="132"/>
      <c r="E911" s="132"/>
      <c r="F911" s="132"/>
      <c r="G911" s="132"/>
      <c r="H911" s="132"/>
      <c r="I911" s="132"/>
      <c r="J911" s="132"/>
      <c r="K911" s="132"/>
      <c r="L911" s="132"/>
      <c r="M911" s="132"/>
      <c r="N911" s="132"/>
      <c r="O911" s="132"/>
      <c r="P911" s="132"/>
      <c r="Q911" s="132"/>
      <c r="R911" s="132"/>
      <c r="S911" s="132"/>
      <c r="T911" s="132"/>
      <c r="U911" s="132"/>
      <c r="V911" s="132"/>
      <c r="W911" s="132"/>
      <c r="X911" s="132"/>
      <c r="Y911" s="132"/>
      <c r="Z911" s="132"/>
      <c r="AA911" s="132"/>
      <c r="AB911" s="132"/>
      <c r="AC911" s="132"/>
      <c r="AD911" s="132"/>
      <c r="AE911" s="132"/>
      <c r="AF911" s="132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2"/>
      <c r="C994" s="132"/>
      <c r="D994" s="132"/>
      <c r="E994" s="132"/>
      <c r="F994" s="132"/>
      <c r="G994" s="132"/>
      <c r="H994" s="132"/>
      <c r="I994" s="132"/>
      <c r="J994" s="132"/>
      <c r="K994" s="132"/>
      <c r="L994" s="132"/>
      <c r="M994" s="132"/>
      <c r="N994" s="132"/>
      <c r="O994" s="132"/>
      <c r="P994" s="132"/>
      <c r="Q994" s="132"/>
      <c r="R994" s="132"/>
      <c r="S994" s="132"/>
      <c r="T994" s="132"/>
      <c r="U994" s="132"/>
      <c r="V994" s="132"/>
      <c r="W994" s="132"/>
      <c r="X994" s="132"/>
      <c r="Y994" s="132"/>
      <c r="Z994" s="132"/>
      <c r="AA994" s="132"/>
      <c r="AB994" s="132"/>
      <c r="AC994" s="132"/>
      <c r="AD994" s="132"/>
      <c r="AE994" s="132"/>
      <c r="AF994" s="132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2"/>
      <c r="C1096" s="132"/>
      <c r="D1096" s="132"/>
      <c r="E1096" s="132"/>
      <c r="F1096" s="132"/>
      <c r="G1096" s="132"/>
      <c r="H1096" s="132"/>
      <c r="I1096" s="132"/>
      <c r="J1096" s="132"/>
      <c r="K1096" s="132"/>
      <c r="L1096" s="132"/>
      <c r="M1096" s="132"/>
      <c r="N1096" s="132"/>
      <c r="O1096" s="132"/>
      <c r="P1096" s="132"/>
      <c r="Q1096" s="132"/>
      <c r="R1096" s="132"/>
      <c r="S1096" s="132"/>
      <c r="T1096" s="132"/>
      <c r="U1096" s="132"/>
      <c r="V1096" s="132"/>
      <c r="W1096" s="132"/>
      <c r="X1096" s="132"/>
      <c r="Y1096" s="132"/>
      <c r="Z1096" s="132"/>
      <c r="AA1096" s="132"/>
      <c r="AB1096" s="132"/>
      <c r="AC1096" s="132"/>
      <c r="AD1096" s="132"/>
      <c r="AE1096" s="132"/>
      <c r="AF1096" s="132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2"/>
      <c r="C1194" s="132"/>
      <c r="D1194" s="132"/>
      <c r="E1194" s="132"/>
      <c r="F1194" s="132"/>
      <c r="G1194" s="132"/>
      <c r="H1194" s="132"/>
      <c r="I1194" s="132"/>
      <c r="J1194" s="132"/>
      <c r="K1194" s="132"/>
      <c r="L1194" s="132"/>
      <c r="M1194" s="132"/>
      <c r="N1194" s="132"/>
      <c r="O1194" s="132"/>
      <c r="P1194" s="132"/>
      <c r="Q1194" s="132"/>
      <c r="R1194" s="132"/>
      <c r="S1194" s="132"/>
      <c r="T1194" s="132"/>
      <c r="U1194" s="132"/>
      <c r="V1194" s="132"/>
      <c r="W1194" s="132"/>
      <c r="X1194" s="132"/>
      <c r="Y1194" s="132"/>
      <c r="Z1194" s="132"/>
      <c r="AA1194" s="132"/>
      <c r="AB1194" s="132"/>
      <c r="AC1194" s="132"/>
      <c r="AD1194" s="132"/>
      <c r="AE1194" s="132"/>
      <c r="AF1194" s="132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2"/>
      <c r="C1294" s="132"/>
      <c r="D1294" s="132"/>
      <c r="E1294" s="132"/>
      <c r="F1294" s="132"/>
      <c r="G1294" s="132"/>
      <c r="H1294" s="132"/>
      <c r="I1294" s="132"/>
      <c r="J1294" s="132"/>
      <c r="K1294" s="132"/>
      <c r="L1294" s="132"/>
      <c r="M1294" s="132"/>
      <c r="N1294" s="132"/>
      <c r="O1294" s="132"/>
      <c r="P1294" s="132"/>
      <c r="Q1294" s="132"/>
      <c r="R1294" s="132"/>
      <c r="S1294" s="132"/>
      <c r="T1294" s="132"/>
      <c r="U1294" s="132"/>
      <c r="V1294" s="132"/>
      <c r="W1294" s="132"/>
      <c r="X1294" s="132"/>
      <c r="Y1294" s="132"/>
      <c r="Z1294" s="132"/>
      <c r="AA1294" s="132"/>
      <c r="AB1294" s="132"/>
      <c r="AC1294" s="132"/>
      <c r="AD1294" s="132"/>
      <c r="AE1294" s="132"/>
      <c r="AF1294" s="132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2"/>
      <c r="C1590" s="132"/>
      <c r="D1590" s="132"/>
      <c r="E1590" s="132"/>
      <c r="F1590" s="132"/>
      <c r="G1590" s="132"/>
      <c r="H1590" s="132"/>
      <c r="I1590" s="132"/>
      <c r="J1590" s="132"/>
      <c r="K1590" s="132"/>
      <c r="L1590" s="132"/>
      <c r="M1590" s="132"/>
      <c r="N1590" s="132"/>
      <c r="O1590" s="132"/>
      <c r="P1590" s="132"/>
      <c r="Q1590" s="132"/>
      <c r="R1590" s="132"/>
      <c r="S1590" s="132"/>
      <c r="T1590" s="132"/>
      <c r="U1590" s="132"/>
      <c r="V1590" s="132"/>
      <c r="W1590" s="132"/>
      <c r="X1590" s="132"/>
      <c r="Y1590" s="132"/>
      <c r="Z1590" s="132"/>
      <c r="AA1590" s="132"/>
      <c r="AB1590" s="132"/>
      <c r="AC1590" s="132"/>
      <c r="AD1590" s="132"/>
      <c r="AE1590" s="132"/>
      <c r="AF1590" s="132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2"/>
      <c r="C1813" s="132"/>
      <c r="D1813" s="132"/>
      <c r="E1813" s="132"/>
      <c r="F1813" s="132"/>
      <c r="G1813" s="132"/>
      <c r="H1813" s="132"/>
      <c r="I1813" s="132"/>
      <c r="J1813" s="132"/>
      <c r="K1813" s="132"/>
      <c r="L1813" s="132"/>
      <c r="M1813" s="132"/>
      <c r="N1813" s="132"/>
      <c r="O1813" s="132"/>
      <c r="P1813" s="132"/>
      <c r="Q1813" s="132"/>
      <c r="R1813" s="132"/>
      <c r="S1813" s="132"/>
      <c r="T1813" s="132"/>
      <c r="U1813" s="132"/>
      <c r="V1813" s="132"/>
      <c r="W1813" s="132"/>
      <c r="X1813" s="132"/>
      <c r="Y1813" s="132"/>
      <c r="Z1813" s="132"/>
      <c r="AA1813" s="132"/>
      <c r="AB1813" s="132"/>
      <c r="AC1813" s="132"/>
      <c r="AD1813" s="132"/>
      <c r="AE1813" s="132"/>
      <c r="AF1813" s="132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2"/>
      <c r="C2090" s="132"/>
      <c r="D2090" s="132"/>
      <c r="E2090" s="132"/>
      <c r="F2090" s="132"/>
      <c r="G2090" s="132"/>
      <c r="H2090" s="132"/>
      <c r="I2090" s="132"/>
      <c r="J2090" s="132"/>
      <c r="K2090" s="132"/>
      <c r="L2090" s="132"/>
      <c r="M2090" s="132"/>
      <c r="N2090" s="132"/>
      <c r="O2090" s="132"/>
      <c r="P2090" s="132"/>
      <c r="Q2090" s="132"/>
      <c r="R2090" s="132"/>
      <c r="S2090" s="132"/>
      <c r="T2090" s="132"/>
      <c r="U2090" s="132"/>
      <c r="V2090" s="132"/>
      <c r="W2090" s="132"/>
      <c r="X2090" s="132"/>
      <c r="Y2090" s="132"/>
      <c r="Z2090" s="132"/>
      <c r="AA2090" s="132"/>
      <c r="AB2090" s="132"/>
      <c r="AC2090" s="132"/>
      <c r="AD2090" s="132"/>
      <c r="AE2090" s="132"/>
      <c r="AF2090" s="132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2"/>
      <c r="C2425" s="132"/>
      <c r="D2425" s="132"/>
      <c r="E2425" s="132"/>
      <c r="F2425" s="132"/>
      <c r="G2425" s="132"/>
      <c r="H2425" s="132"/>
      <c r="I2425" s="132"/>
      <c r="J2425" s="132"/>
      <c r="K2425" s="132"/>
      <c r="L2425" s="132"/>
      <c r="M2425" s="132"/>
      <c r="N2425" s="132"/>
      <c r="O2425" s="132"/>
      <c r="P2425" s="132"/>
      <c r="Q2425" s="132"/>
      <c r="R2425" s="132"/>
      <c r="S2425" s="132"/>
      <c r="T2425" s="132"/>
      <c r="U2425" s="132"/>
      <c r="V2425" s="132"/>
      <c r="W2425" s="132"/>
      <c r="X2425" s="132"/>
      <c r="Y2425" s="132"/>
      <c r="Z2425" s="132"/>
      <c r="AA2425" s="132"/>
      <c r="AB2425" s="132"/>
      <c r="AC2425" s="132"/>
      <c r="AD2425" s="132"/>
      <c r="AE2425" s="132"/>
      <c r="AF2425" s="132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2"/>
      <c r="C2745" s="132"/>
      <c r="D2745" s="132"/>
      <c r="E2745" s="132"/>
      <c r="F2745" s="132"/>
      <c r="G2745" s="132"/>
      <c r="H2745" s="132"/>
      <c r="I2745" s="132"/>
      <c r="J2745" s="132"/>
      <c r="K2745" s="132"/>
      <c r="L2745" s="132"/>
      <c r="M2745" s="132"/>
      <c r="N2745" s="132"/>
      <c r="O2745" s="132"/>
      <c r="P2745" s="132"/>
      <c r="Q2745" s="132"/>
      <c r="R2745" s="132"/>
      <c r="S2745" s="132"/>
      <c r="T2745" s="132"/>
      <c r="U2745" s="132"/>
      <c r="V2745" s="132"/>
      <c r="W2745" s="132"/>
      <c r="X2745" s="132"/>
      <c r="Y2745" s="132"/>
      <c r="Z2745" s="132"/>
      <c r="AA2745" s="132"/>
      <c r="AB2745" s="132"/>
      <c r="AC2745" s="132"/>
      <c r="AD2745" s="132"/>
      <c r="AE2745" s="132"/>
      <c r="AF2745" s="132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2"/>
      <c r="C3076" s="132"/>
      <c r="D3076" s="132"/>
      <c r="E3076" s="132"/>
      <c r="F3076" s="132"/>
      <c r="G3076" s="132"/>
      <c r="H3076" s="132"/>
      <c r="I3076" s="132"/>
      <c r="J3076" s="132"/>
      <c r="K3076" s="132"/>
      <c r="L3076" s="132"/>
      <c r="M3076" s="132"/>
      <c r="N3076" s="132"/>
      <c r="O3076" s="132"/>
      <c r="P3076" s="132"/>
      <c r="Q3076" s="132"/>
      <c r="R3076" s="132"/>
      <c r="S3076" s="132"/>
      <c r="T3076" s="132"/>
      <c r="U3076" s="132"/>
      <c r="V3076" s="132"/>
      <c r="W3076" s="132"/>
      <c r="X3076" s="132"/>
      <c r="Y3076" s="132"/>
      <c r="Z3076" s="132"/>
      <c r="AA3076" s="132"/>
      <c r="AB3076" s="132"/>
      <c r="AC3076" s="132"/>
      <c r="AD3076" s="132"/>
      <c r="AE3076" s="132"/>
      <c r="AF3076" s="132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2"/>
      <c r="C3393" s="132"/>
      <c r="D3393" s="132"/>
      <c r="E3393" s="132"/>
      <c r="F3393" s="132"/>
      <c r="G3393" s="132"/>
      <c r="H3393" s="132"/>
      <c r="I3393" s="132"/>
      <c r="J3393" s="132"/>
      <c r="K3393" s="132"/>
      <c r="L3393" s="132"/>
      <c r="M3393" s="132"/>
      <c r="N3393" s="132"/>
      <c r="O3393" s="132"/>
      <c r="P3393" s="132"/>
      <c r="Q3393" s="132"/>
      <c r="R3393" s="132"/>
      <c r="S3393" s="132"/>
      <c r="T3393" s="132"/>
      <c r="U3393" s="132"/>
      <c r="V3393" s="132"/>
      <c r="W3393" s="132"/>
      <c r="X3393" s="132"/>
      <c r="Y3393" s="132"/>
      <c r="Z3393" s="132"/>
      <c r="AA3393" s="132"/>
      <c r="AB3393" s="132"/>
      <c r="AC3393" s="132"/>
      <c r="AD3393" s="132"/>
      <c r="AE3393" s="132"/>
      <c r="AF3393" s="132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2"/>
      <c r="C3502" s="132"/>
      <c r="D3502" s="132"/>
      <c r="E3502" s="132"/>
      <c r="F3502" s="132"/>
      <c r="G3502" s="132"/>
      <c r="H3502" s="132"/>
      <c r="I3502" s="132"/>
      <c r="J3502" s="132"/>
      <c r="K3502" s="132"/>
      <c r="L3502" s="132"/>
      <c r="M3502" s="132"/>
      <c r="N3502" s="132"/>
      <c r="O3502" s="132"/>
      <c r="P3502" s="132"/>
      <c r="Q3502" s="132"/>
      <c r="R3502" s="132"/>
      <c r="S3502" s="132"/>
      <c r="T3502" s="132"/>
      <c r="U3502" s="132"/>
      <c r="V3502" s="132"/>
      <c r="W3502" s="132"/>
      <c r="X3502" s="132"/>
      <c r="Y3502" s="132"/>
      <c r="Z3502" s="132"/>
      <c r="AA3502" s="132"/>
      <c r="AB3502" s="132"/>
      <c r="AC3502" s="132"/>
      <c r="AD3502" s="132"/>
      <c r="AE3502" s="132"/>
      <c r="AF3502" s="132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2"/>
      <c r="C3627" s="132"/>
      <c r="D3627" s="132"/>
      <c r="E3627" s="132"/>
      <c r="F3627" s="132"/>
      <c r="G3627" s="132"/>
      <c r="H3627" s="132"/>
      <c r="I3627" s="132"/>
      <c r="J3627" s="132"/>
      <c r="K3627" s="132"/>
      <c r="L3627" s="132"/>
      <c r="M3627" s="132"/>
      <c r="N3627" s="132"/>
      <c r="O3627" s="132"/>
      <c r="P3627" s="132"/>
      <c r="Q3627" s="132"/>
      <c r="R3627" s="132"/>
      <c r="S3627" s="132"/>
      <c r="T3627" s="132"/>
      <c r="U3627" s="132"/>
      <c r="V3627" s="132"/>
      <c r="W3627" s="132"/>
      <c r="X3627" s="132"/>
      <c r="Y3627" s="132"/>
      <c r="Z3627" s="132"/>
      <c r="AA3627" s="132"/>
      <c r="AB3627" s="132"/>
      <c r="AC3627" s="132"/>
      <c r="AD3627" s="132"/>
      <c r="AE3627" s="132"/>
      <c r="AF3627" s="132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2"/>
      <c r="C3752" s="132"/>
      <c r="D3752" s="132"/>
      <c r="E3752" s="132"/>
      <c r="F3752" s="132"/>
      <c r="G3752" s="132"/>
      <c r="H3752" s="132"/>
      <c r="I3752" s="132"/>
      <c r="J3752" s="132"/>
      <c r="K3752" s="132"/>
      <c r="L3752" s="132"/>
      <c r="M3752" s="132"/>
      <c r="N3752" s="132"/>
      <c r="O3752" s="132"/>
      <c r="P3752" s="132"/>
      <c r="Q3752" s="132"/>
      <c r="R3752" s="132"/>
      <c r="S3752" s="132"/>
      <c r="T3752" s="132"/>
      <c r="U3752" s="132"/>
      <c r="V3752" s="132"/>
      <c r="W3752" s="132"/>
      <c r="X3752" s="132"/>
      <c r="Y3752" s="132"/>
      <c r="Z3752" s="132"/>
      <c r="AA3752" s="132"/>
      <c r="AB3752" s="132"/>
      <c r="AC3752" s="132"/>
      <c r="AD3752" s="132"/>
      <c r="AE3752" s="132"/>
      <c r="AF3752" s="132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2"/>
      <c r="C3877" s="132"/>
      <c r="D3877" s="132"/>
      <c r="E3877" s="132"/>
      <c r="F3877" s="132"/>
      <c r="G3877" s="132"/>
      <c r="H3877" s="132"/>
      <c r="I3877" s="132"/>
      <c r="J3877" s="132"/>
      <c r="K3877" s="132"/>
      <c r="L3877" s="132"/>
      <c r="M3877" s="132"/>
      <c r="N3877" s="132"/>
      <c r="O3877" s="132"/>
      <c r="P3877" s="132"/>
      <c r="Q3877" s="132"/>
      <c r="R3877" s="132"/>
      <c r="S3877" s="132"/>
      <c r="T3877" s="132"/>
      <c r="U3877" s="132"/>
      <c r="V3877" s="132"/>
      <c r="W3877" s="132"/>
      <c r="X3877" s="132"/>
      <c r="Y3877" s="132"/>
      <c r="Z3877" s="132"/>
      <c r="AA3877" s="132"/>
      <c r="AB3877" s="132"/>
      <c r="AC3877" s="132"/>
      <c r="AD3877" s="132"/>
      <c r="AE3877" s="132"/>
      <c r="AF3877" s="132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2"/>
      <c r="C4002" s="132"/>
      <c r="D4002" s="132"/>
      <c r="E4002" s="132"/>
      <c r="F4002" s="132"/>
      <c r="G4002" s="132"/>
      <c r="H4002" s="132"/>
      <c r="I4002" s="132"/>
      <c r="J4002" s="132"/>
      <c r="K4002" s="132"/>
      <c r="L4002" s="132"/>
      <c r="M4002" s="132"/>
      <c r="N4002" s="132"/>
      <c r="O4002" s="132"/>
      <c r="P4002" s="132"/>
      <c r="Q4002" s="132"/>
      <c r="R4002" s="132"/>
      <c r="S4002" s="132"/>
      <c r="T4002" s="132"/>
      <c r="U4002" s="132"/>
      <c r="V4002" s="132"/>
      <c r="W4002" s="132"/>
      <c r="X4002" s="132"/>
      <c r="Y4002" s="132"/>
      <c r="Z4002" s="132"/>
      <c r="AA4002" s="132"/>
      <c r="AB4002" s="132"/>
      <c r="AC4002" s="132"/>
      <c r="AD4002" s="132"/>
      <c r="AE4002" s="132"/>
      <c r="AF4002" s="132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2"/>
      <c r="C4127" s="132"/>
      <c r="D4127" s="132"/>
      <c r="E4127" s="132"/>
      <c r="F4127" s="132"/>
      <c r="G4127" s="132"/>
      <c r="H4127" s="132"/>
      <c r="I4127" s="132"/>
      <c r="J4127" s="132"/>
      <c r="K4127" s="132"/>
      <c r="L4127" s="132"/>
      <c r="M4127" s="132"/>
      <c r="N4127" s="132"/>
      <c r="O4127" s="132"/>
      <c r="P4127" s="132"/>
      <c r="Q4127" s="132"/>
      <c r="R4127" s="132"/>
      <c r="S4127" s="132"/>
      <c r="T4127" s="132"/>
      <c r="U4127" s="132"/>
      <c r="V4127" s="132"/>
      <c r="W4127" s="132"/>
      <c r="X4127" s="132"/>
      <c r="Y4127" s="132"/>
      <c r="Z4127" s="132"/>
      <c r="AA4127" s="132"/>
      <c r="AB4127" s="132"/>
      <c r="AC4127" s="132"/>
      <c r="AD4127" s="132"/>
      <c r="AE4127" s="132"/>
      <c r="AF4127" s="132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2"/>
      <c r="C4252" s="132"/>
      <c r="D4252" s="132"/>
      <c r="E4252" s="132"/>
      <c r="F4252" s="132"/>
      <c r="G4252" s="132"/>
      <c r="H4252" s="132"/>
      <c r="I4252" s="132"/>
      <c r="J4252" s="132"/>
      <c r="K4252" s="132"/>
      <c r="L4252" s="132"/>
      <c r="M4252" s="132"/>
      <c r="N4252" s="132"/>
      <c r="O4252" s="132"/>
      <c r="P4252" s="132"/>
      <c r="Q4252" s="132"/>
      <c r="R4252" s="132"/>
      <c r="S4252" s="132"/>
      <c r="T4252" s="132"/>
      <c r="U4252" s="132"/>
      <c r="V4252" s="132"/>
      <c r="W4252" s="132"/>
      <c r="X4252" s="132"/>
      <c r="Y4252" s="132"/>
      <c r="Z4252" s="132"/>
      <c r="AA4252" s="132"/>
      <c r="AB4252" s="132"/>
      <c r="AC4252" s="132"/>
      <c r="AD4252" s="132"/>
      <c r="AE4252" s="132"/>
      <c r="AF4252" s="132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2"/>
      <c r="C4377" s="132"/>
      <c r="D4377" s="132"/>
      <c r="E4377" s="132"/>
      <c r="F4377" s="132"/>
      <c r="G4377" s="132"/>
      <c r="H4377" s="132"/>
      <c r="I4377" s="132"/>
      <c r="J4377" s="132"/>
      <c r="K4377" s="132"/>
      <c r="L4377" s="132"/>
      <c r="M4377" s="132"/>
      <c r="N4377" s="132"/>
      <c r="O4377" s="132"/>
      <c r="P4377" s="132"/>
      <c r="Q4377" s="132"/>
      <c r="R4377" s="132"/>
      <c r="S4377" s="132"/>
      <c r="T4377" s="132"/>
      <c r="U4377" s="132"/>
      <c r="V4377" s="132"/>
      <c r="W4377" s="132"/>
      <c r="X4377" s="132"/>
      <c r="Y4377" s="132"/>
      <c r="Z4377" s="132"/>
      <c r="AA4377" s="132"/>
      <c r="AB4377" s="132"/>
      <c r="AC4377" s="132"/>
      <c r="AD4377" s="132"/>
      <c r="AE4377" s="132"/>
      <c r="AF4377" s="132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2"/>
      <c r="C4502" s="132"/>
      <c r="D4502" s="132"/>
      <c r="E4502" s="132"/>
      <c r="F4502" s="132"/>
      <c r="G4502" s="132"/>
      <c r="H4502" s="132"/>
      <c r="I4502" s="132"/>
      <c r="J4502" s="132"/>
      <c r="K4502" s="132"/>
      <c r="L4502" s="132"/>
      <c r="M4502" s="132"/>
      <c r="N4502" s="132"/>
      <c r="O4502" s="132"/>
      <c r="P4502" s="132"/>
      <c r="Q4502" s="132"/>
      <c r="R4502" s="132"/>
      <c r="S4502" s="132"/>
      <c r="T4502" s="132"/>
      <c r="U4502" s="132"/>
      <c r="V4502" s="132"/>
      <c r="W4502" s="132"/>
      <c r="X4502" s="132"/>
      <c r="Y4502" s="132"/>
      <c r="Z4502" s="132"/>
      <c r="AA4502" s="132"/>
      <c r="AB4502" s="132"/>
      <c r="AC4502" s="132"/>
      <c r="AD4502" s="132"/>
      <c r="AE4502" s="132"/>
      <c r="AF4502" s="132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4002:AF4002"/>
    <mergeCell ref="B4127:AF4127"/>
    <mergeCell ref="B4252:AF4252"/>
    <mergeCell ref="B4377:AF4377"/>
    <mergeCell ref="B4502:AF45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0" t="s">
        <v>217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2" spans="1:16" ht="15.75" customHeight="1" x14ac:dyDescent="0.25">
      <c r="A2" s="52"/>
      <c r="B2" s="53">
        <v>2021</v>
      </c>
      <c r="C2" s="53">
        <v>2022</v>
      </c>
      <c r="D2" s="53">
        <v>2023</v>
      </c>
      <c r="E2" s="53">
        <v>2024</v>
      </c>
      <c r="F2" s="53">
        <v>2025</v>
      </c>
      <c r="G2" s="53">
        <v>2026</v>
      </c>
      <c r="H2" s="53">
        <v>2027</v>
      </c>
      <c r="I2" s="53">
        <v>2028</v>
      </c>
      <c r="J2" s="53">
        <v>2029</v>
      </c>
      <c r="K2" s="53">
        <v>2030</v>
      </c>
      <c r="L2" s="53">
        <v>2031</v>
      </c>
      <c r="M2" s="53">
        <v>2032</v>
      </c>
      <c r="N2" s="53">
        <v>2033</v>
      </c>
      <c r="O2" s="53">
        <v>2034</v>
      </c>
      <c r="P2" s="53">
        <v>2035</v>
      </c>
    </row>
    <row r="3" spans="1:16" x14ac:dyDescent="0.25">
      <c r="A3" s="53" t="s">
        <v>218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</row>
    <row r="4" spans="1:16" x14ac:dyDescent="0.25">
      <c r="A4" s="54" t="s">
        <v>219</v>
      </c>
      <c r="B4" s="54"/>
      <c r="C4" s="54">
        <v>123014.02814171401</v>
      </c>
      <c r="D4" s="54">
        <v>116891.10064479</v>
      </c>
      <c r="E4" s="54">
        <v>110861.018872339</v>
      </c>
      <c r="F4" s="54">
        <v>105086.28082494601</v>
      </c>
      <c r="G4" s="54">
        <v>99480.616976928504</v>
      </c>
      <c r="H4" s="54">
        <v>94041.791663598196</v>
      </c>
      <c r="I4" s="54">
        <v>88699.548094428494</v>
      </c>
      <c r="J4" s="54">
        <v>83590.763893754396</v>
      </c>
      <c r="K4" s="54">
        <v>78642.067397142804</v>
      </c>
      <c r="L4" s="54">
        <v>77971.135744342799</v>
      </c>
      <c r="M4" s="54">
        <v>77306.302529942797</v>
      </c>
      <c r="N4" s="54">
        <v>76647.5677539428</v>
      </c>
      <c r="O4" s="54">
        <v>75994.931416342806</v>
      </c>
      <c r="P4" s="54">
        <v>75348.393517142802</v>
      </c>
    </row>
    <row r="5" spans="1:16" x14ac:dyDescent="0.25">
      <c r="A5" s="54" t="s">
        <v>220</v>
      </c>
      <c r="B5" s="54"/>
      <c r="C5" s="54">
        <v>159207.807414857</v>
      </c>
      <c r="D5" s="54">
        <v>150762.980531254</v>
      </c>
      <c r="E5" s="54">
        <v>142465.294625482</v>
      </c>
      <c r="F5" s="54">
        <v>134523.43449766</v>
      </c>
      <c r="G5" s="54">
        <v>126825.62026921401</v>
      </c>
      <c r="H5" s="54">
        <v>119368.456662955</v>
      </c>
      <c r="I5" s="54">
        <v>112062.610816714</v>
      </c>
      <c r="J5" s="54">
        <v>105080.852304361</v>
      </c>
      <c r="K5" s="54">
        <v>98329.492008571397</v>
      </c>
      <c r="L5" s="54">
        <v>97356.117983771401</v>
      </c>
      <c r="M5" s="54">
        <v>96392.003173371399</v>
      </c>
      <c r="N5" s="54">
        <v>95437.147577371405</v>
      </c>
      <c r="O5" s="54">
        <v>94491.551195771404</v>
      </c>
      <c r="P5" s="54">
        <v>93555.214028571398</v>
      </c>
    </row>
    <row r="6" spans="1:16" x14ac:dyDescent="0.25">
      <c r="A6" s="54" t="s">
        <v>221</v>
      </c>
      <c r="B6" s="54"/>
      <c r="C6" s="54">
        <v>270108.76006399997</v>
      </c>
      <c r="D6" s="54">
        <v>255656.81353143699</v>
      </c>
      <c r="E6" s="54">
        <v>241481.05590024899</v>
      </c>
      <c r="F6" s="54">
        <v>227934.40233675</v>
      </c>
      <c r="G6" s="54">
        <v>214826.43245699999</v>
      </c>
      <c r="H6" s="54">
        <v>202150.519416625</v>
      </c>
      <c r="I6" s="54">
        <v>189754.51910199999</v>
      </c>
      <c r="J6" s="54">
        <v>177930.10464693699</v>
      </c>
      <c r="K6" s="54">
        <v>166517.73655999999</v>
      </c>
      <c r="L6" s="54">
        <v>164752.88939120001</v>
      </c>
      <c r="M6" s="54">
        <v>163006.1020288</v>
      </c>
      <c r="N6" s="54">
        <v>161277.3744728</v>
      </c>
      <c r="O6" s="54">
        <v>159566.70672320001</v>
      </c>
      <c r="P6" s="54">
        <v>157874.09878</v>
      </c>
    </row>
    <row r="7" spans="1:16" x14ac:dyDescent="0.25">
      <c r="A7" s="54" t="s">
        <v>222</v>
      </c>
      <c r="B7" s="54"/>
      <c r="C7" s="54">
        <v>279260.18559999898</v>
      </c>
      <c r="D7" s="54">
        <v>263473.356940625</v>
      </c>
      <c r="E7" s="54">
        <v>248012.4213625</v>
      </c>
      <c r="F7" s="54">
        <v>233239.7419125</v>
      </c>
      <c r="G7" s="54">
        <v>218958.3682</v>
      </c>
      <c r="H7" s="54">
        <v>205160.76274375001</v>
      </c>
      <c r="I7" s="54">
        <v>191692.3847</v>
      </c>
      <c r="J7" s="54">
        <v>178847.74184062399</v>
      </c>
      <c r="K7" s="54">
        <v>166464.10699999999</v>
      </c>
      <c r="L7" s="54">
        <v>164483.975832</v>
      </c>
      <c r="M7" s="54">
        <v>162524.389708</v>
      </c>
      <c r="N7" s="54">
        <v>160585.34862800001</v>
      </c>
      <c r="O7" s="54">
        <v>158666.85259200001</v>
      </c>
      <c r="P7" s="54">
        <v>156768.90160000001</v>
      </c>
    </row>
    <row r="8" spans="1:16" x14ac:dyDescent="0.25">
      <c r="A8" s="54" t="s">
        <v>223</v>
      </c>
      <c r="B8" s="54"/>
      <c r="C8" s="54">
        <v>514693.025792</v>
      </c>
      <c r="D8" s="54">
        <v>478374.445650562</v>
      </c>
      <c r="E8" s="54">
        <v>443236.40154075</v>
      </c>
      <c r="F8" s="54">
        <v>409916.57607524999</v>
      </c>
      <c r="G8" s="54">
        <v>378042.57344100002</v>
      </c>
      <c r="H8" s="54">
        <v>347585.904687375</v>
      </c>
      <c r="I8" s="54">
        <v>318274.00570600003</v>
      </c>
      <c r="J8" s="54">
        <v>290584.82838206203</v>
      </c>
      <c r="K8" s="54">
        <v>264226.95948000002</v>
      </c>
      <c r="L8" s="54">
        <v>259041.23675519999</v>
      </c>
      <c r="M8" s="54">
        <v>253933.1637608</v>
      </c>
      <c r="N8" s="54">
        <v>248902.74049679999</v>
      </c>
      <c r="O8" s="54">
        <v>243949.96696319999</v>
      </c>
      <c r="P8" s="54">
        <v>239074.84315999999</v>
      </c>
    </row>
    <row r="9" spans="1:16" x14ac:dyDescent="0.25">
      <c r="A9" s="54" t="s">
        <v>224</v>
      </c>
      <c r="B9" s="54"/>
      <c r="C9" s="54">
        <v>352345.79063954199</v>
      </c>
      <c r="D9" s="54">
        <v>336920.40289145103</v>
      </c>
      <c r="E9" s="54">
        <v>321714.49663779198</v>
      </c>
      <c r="F9" s="54">
        <v>307197.76116126397</v>
      </c>
      <c r="G9" s="54">
        <v>293121.27323848498</v>
      </c>
      <c r="H9" s="54">
        <v>279478.32417008199</v>
      </c>
      <c r="I9" s="54">
        <v>266058.17291548499</v>
      </c>
      <c r="J9" s="54">
        <v>253269.417264894</v>
      </c>
      <c r="K9" s="54">
        <v>240893.94282742799</v>
      </c>
      <c r="L9" s="54">
        <v>239120.828568228</v>
      </c>
      <c r="M9" s="54">
        <v>237366.00342662801</v>
      </c>
      <c r="N9" s="54">
        <v>235629.46740262801</v>
      </c>
      <c r="O9" s="54">
        <v>233911.22049622799</v>
      </c>
      <c r="P9" s="54">
        <v>232211.26270742799</v>
      </c>
    </row>
    <row r="10" spans="1:16" x14ac:dyDescent="0.25">
      <c r="A10" s="55" t="s">
        <v>225</v>
      </c>
      <c r="B10" s="55"/>
      <c r="C10" s="55">
        <v>254244.29587332401</v>
      </c>
      <c r="D10" s="55">
        <v>238190.03010017413</v>
      </c>
      <c r="E10" s="55">
        <v>222651.14064541471</v>
      </c>
      <c r="F10" s="55">
        <v>207942.32020082459</v>
      </c>
      <c r="G10" s="55">
        <v>193798.83210084747</v>
      </c>
      <c r="H10" s="55">
        <v>180291.79864733585</v>
      </c>
      <c r="I10" s="55">
        <v>167274.24981139184</v>
      </c>
      <c r="J10" s="55">
        <v>154992.181179804</v>
      </c>
      <c r="K10" s="55">
        <v>143291.09355900332</v>
      </c>
      <c r="L10" s="55">
        <v>141012.55439962645</v>
      </c>
      <c r="M10" s="55">
        <v>138777.42258643205</v>
      </c>
      <c r="N10" s="55">
        <v>136585.20558876757</v>
      </c>
      <c r="O10" s="55">
        <v>134435.41087598051</v>
      </c>
      <c r="P10" s="55">
        <v>132327.54591741826</v>
      </c>
    </row>
    <row r="11" spans="1:16" x14ac:dyDescent="0.25">
      <c r="A11" s="54" t="s">
        <v>226</v>
      </c>
      <c r="B11" s="54"/>
      <c r="C11" s="54">
        <v>122214.21173028499</v>
      </c>
      <c r="D11" s="54">
        <v>117413.976644366</v>
      </c>
      <c r="E11" s="54">
        <v>112666.51620153501</v>
      </c>
      <c r="F11" s="54">
        <v>108136.271422178</v>
      </c>
      <c r="G11" s="54">
        <v>103736.844151571</v>
      </c>
      <c r="H11" s="54">
        <v>99466.245995339297</v>
      </c>
      <c r="I11" s="54">
        <v>95249.444506571395</v>
      </c>
      <c r="J11" s="54">
        <v>91232.695573151796</v>
      </c>
      <c r="K11" s="54">
        <v>87338.771582857094</v>
      </c>
      <c r="L11" s="54">
        <v>86812.205402057094</v>
      </c>
      <c r="M11" s="54">
        <v>86291.055923657099</v>
      </c>
      <c r="N11" s="54">
        <v>85775.323147657095</v>
      </c>
      <c r="O11" s="54">
        <v>85265.007074057095</v>
      </c>
      <c r="P11" s="54">
        <v>84760.107702857102</v>
      </c>
    </row>
    <row r="12" spans="1:16" x14ac:dyDescent="0.25">
      <c r="A12" s="54" t="s">
        <v>227</v>
      </c>
      <c r="B12" s="54"/>
      <c r="C12" s="54">
        <v>450892.87437165697</v>
      </c>
      <c r="D12" s="54">
        <v>434385.76652422902</v>
      </c>
      <c r="E12" s="54">
        <v>418045.41355878202</v>
      </c>
      <c r="F12" s="54">
        <v>402480.97438276</v>
      </c>
      <c r="G12" s="54">
        <v>387372.71199361398</v>
      </c>
      <c r="H12" s="54">
        <v>372713.172470405</v>
      </c>
      <c r="I12" s="54">
        <v>358220.19315511402</v>
      </c>
      <c r="J12" s="54">
        <v>344442.81400393602</v>
      </c>
      <c r="K12" s="54">
        <v>331091.64980057097</v>
      </c>
      <c r="L12" s="54">
        <v>329239.34992377099</v>
      </c>
      <c r="M12" s="54">
        <v>327407.37197737099</v>
      </c>
      <c r="N12" s="54">
        <v>325595.71596137102</v>
      </c>
      <c r="O12" s="54">
        <v>323804.38187577098</v>
      </c>
      <c r="P12" s="54">
        <v>322033.36972057098</v>
      </c>
    </row>
    <row r="13" spans="1:16" x14ac:dyDescent="0.25">
      <c r="A13" s="54" t="s">
        <v>228</v>
      </c>
      <c r="B13" s="54"/>
      <c r="C13" s="54">
        <v>189784.88384365701</v>
      </c>
      <c r="D13" s="54">
        <v>182723.316817135</v>
      </c>
      <c r="E13" s="54">
        <v>175696.32320265699</v>
      </c>
      <c r="F13" s="54">
        <v>168961.49064488499</v>
      </c>
      <c r="G13" s="54">
        <v>162385.75271211399</v>
      </c>
      <c r="H13" s="54">
        <v>155967.40409184201</v>
      </c>
      <c r="I13" s="54">
        <v>149590.02319611399</v>
      </c>
      <c r="J13" s="54">
        <v>143484.56591959199</v>
      </c>
      <c r="K13" s="54">
        <v>137531.34858057101</v>
      </c>
      <c r="L13" s="54">
        <v>136760.20458057101</v>
      </c>
      <c r="M13" s="54">
        <v>135995.25818057099</v>
      </c>
      <c r="N13" s="54">
        <v>135236.50938057099</v>
      </c>
      <c r="O13" s="54">
        <v>134483.958180571</v>
      </c>
      <c r="P13" s="54">
        <v>133737.604580571</v>
      </c>
    </row>
    <row r="14" spans="1:16" x14ac:dyDescent="0.25">
      <c r="A14" s="54" t="s">
        <v>229</v>
      </c>
      <c r="B14" s="54"/>
      <c r="C14" s="54">
        <v>824534.65599999996</v>
      </c>
      <c r="D14" s="54">
        <v>800245.73403125</v>
      </c>
      <c r="E14" s="54">
        <v>775788.07787499996</v>
      </c>
      <c r="F14" s="54">
        <v>752300.28262499999</v>
      </c>
      <c r="G14" s="54">
        <v>729205.34050000005</v>
      </c>
      <c r="H14" s="54">
        <v>706501.54618749896</v>
      </c>
      <c r="I14" s="54">
        <v>683662.91299999994</v>
      </c>
      <c r="J14" s="54">
        <v>661746.40228124999</v>
      </c>
      <c r="K14" s="54">
        <v>640215.89</v>
      </c>
      <c r="L14" s="54">
        <v>637719.42559999996</v>
      </c>
      <c r="M14" s="54">
        <v>635235.356399999</v>
      </c>
      <c r="N14" s="54">
        <v>632763.682399999</v>
      </c>
      <c r="O14" s="54">
        <v>630304.40359999996</v>
      </c>
      <c r="P14" s="54">
        <v>627857.52</v>
      </c>
    </row>
    <row r="15" spans="1:16" x14ac:dyDescent="0.25">
      <c r="A15" s="55" t="s">
        <v>230</v>
      </c>
      <c r="B15" s="55"/>
      <c r="C15" s="55">
        <v>402865.46875217895</v>
      </c>
      <c r="D15" s="55">
        <v>389825.18971002812</v>
      </c>
      <c r="E15" s="55">
        <v>376772.31348939822</v>
      </c>
      <c r="F15" s="55">
        <v>364259.15831143828</v>
      </c>
      <c r="G15" s="55">
        <v>352003.04838521645</v>
      </c>
      <c r="H15" s="55">
        <v>340001.81820427557</v>
      </c>
      <c r="I15" s="55">
        <v>328001.63240464276</v>
      </c>
      <c r="J15" s="55">
        <v>316508.86796336708</v>
      </c>
      <c r="K15" s="55">
        <v>305264.03705494152</v>
      </c>
      <c r="L15" s="55">
        <v>303882.39721301734</v>
      </c>
      <c r="M15" s="55">
        <v>302510.17136795085</v>
      </c>
      <c r="N15" s="55">
        <v>301147.35951930378</v>
      </c>
      <c r="O15" s="55">
        <v>299793.96166663681</v>
      </c>
      <c r="P15" s="55">
        <v>298449.97780951031</v>
      </c>
    </row>
    <row r="18" spans="1:53" x14ac:dyDescent="0.25">
      <c r="A18" s="56" t="s">
        <v>231</v>
      </c>
      <c r="B18" s="57">
        <v>2020</v>
      </c>
      <c r="C18" s="57">
        <v>2021</v>
      </c>
      <c r="D18" s="57">
        <v>2022</v>
      </c>
      <c r="E18" s="57">
        <v>2023</v>
      </c>
      <c r="F18" s="57">
        <v>2024</v>
      </c>
      <c r="G18" s="57">
        <v>2025</v>
      </c>
      <c r="H18" s="57">
        <v>2026</v>
      </c>
      <c r="I18" s="57">
        <v>2027</v>
      </c>
      <c r="J18" s="57">
        <v>2028</v>
      </c>
      <c r="K18" s="57">
        <v>2029</v>
      </c>
      <c r="L18" s="57">
        <v>2030</v>
      </c>
      <c r="M18" s="57">
        <v>2031</v>
      </c>
      <c r="N18" s="57">
        <v>2032</v>
      </c>
      <c r="O18" s="57">
        <v>2033</v>
      </c>
      <c r="P18" s="57">
        <v>2034</v>
      </c>
      <c r="Q18" s="57">
        <v>2035</v>
      </c>
      <c r="R18" s="57">
        <v>2036</v>
      </c>
      <c r="S18" s="57">
        <v>2037</v>
      </c>
      <c r="T18" s="57">
        <v>2038</v>
      </c>
      <c r="U18" s="57">
        <v>2039</v>
      </c>
      <c r="V18" s="57">
        <v>2040</v>
      </c>
      <c r="W18" s="57">
        <v>2041</v>
      </c>
      <c r="X18" s="57">
        <v>2042</v>
      </c>
      <c r="Y18" s="57">
        <v>2043</v>
      </c>
      <c r="Z18" s="57">
        <v>2044</v>
      </c>
      <c r="AA18" s="57">
        <v>2045</v>
      </c>
      <c r="AB18" s="57">
        <v>2046</v>
      </c>
      <c r="AC18" s="57">
        <v>2047</v>
      </c>
      <c r="AD18" s="57">
        <v>2048</v>
      </c>
      <c r="AE18" s="57">
        <v>2049</v>
      </c>
      <c r="AF18" s="57">
        <v>2050</v>
      </c>
    </row>
    <row r="19" spans="1:53" x14ac:dyDescent="0.25">
      <c r="A19" s="58" t="s">
        <v>219</v>
      </c>
      <c r="B19" s="2">
        <v>140.5</v>
      </c>
      <c r="C19" s="2">
        <v>137.75</v>
      </c>
      <c r="D19" s="59">
        <v>135</v>
      </c>
      <c r="E19" s="59">
        <v>132.25</v>
      </c>
      <c r="F19" s="59">
        <v>129.5</v>
      </c>
      <c r="G19" s="59">
        <v>126.75</v>
      </c>
      <c r="H19" s="59">
        <v>124</v>
      </c>
      <c r="I19" s="59">
        <v>121.25</v>
      </c>
      <c r="J19" s="59">
        <v>118.5</v>
      </c>
      <c r="K19" s="59">
        <v>115.75</v>
      </c>
      <c r="L19" s="59">
        <v>113</v>
      </c>
      <c r="M19" s="59">
        <v>113</v>
      </c>
      <c r="N19" s="59">
        <v>113</v>
      </c>
      <c r="O19" s="59">
        <v>113</v>
      </c>
      <c r="P19" s="59">
        <v>113</v>
      </c>
      <c r="Q19" s="59">
        <v>113</v>
      </c>
      <c r="R19" s="59">
        <v>113</v>
      </c>
      <c r="S19" s="59">
        <v>113</v>
      </c>
      <c r="T19" s="59">
        <v>113</v>
      </c>
      <c r="U19" s="59">
        <v>113</v>
      </c>
      <c r="V19" s="59">
        <v>113</v>
      </c>
      <c r="W19" s="59">
        <v>113</v>
      </c>
      <c r="X19" s="59">
        <v>113</v>
      </c>
      <c r="Y19" s="59">
        <v>113</v>
      </c>
      <c r="Z19" s="59">
        <v>113</v>
      </c>
      <c r="AA19" s="59">
        <v>113</v>
      </c>
      <c r="AB19" s="59">
        <v>113</v>
      </c>
      <c r="AC19" s="59">
        <v>113</v>
      </c>
      <c r="AD19" s="59">
        <v>113</v>
      </c>
      <c r="AE19" s="59">
        <v>113</v>
      </c>
      <c r="AF19" s="59">
        <v>113</v>
      </c>
    </row>
    <row r="20" spans="1:53" x14ac:dyDescent="0.25">
      <c r="A20" s="58" t="s">
        <v>220</v>
      </c>
      <c r="B20" s="2">
        <v>213.5</v>
      </c>
      <c r="C20" s="2">
        <v>209.25</v>
      </c>
      <c r="D20" s="59">
        <v>205</v>
      </c>
      <c r="E20" s="59">
        <v>200.75</v>
      </c>
      <c r="F20" s="59">
        <v>196.5</v>
      </c>
      <c r="G20" s="59">
        <v>192.25</v>
      </c>
      <c r="H20" s="59">
        <v>188</v>
      </c>
      <c r="I20" s="59">
        <v>183.75</v>
      </c>
      <c r="J20" s="59">
        <v>179.5</v>
      </c>
      <c r="K20" s="59">
        <v>175.25</v>
      </c>
      <c r="L20" s="59">
        <v>171</v>
      </c>
      <c r="M20" s="59">
        <v>171</v>
      </c>
      <c r="N20" s="59">
        <v>171</v>
      </c>
      <c r="O20" s="59">
        <v>171</v>
      </c>
      <c r="P20" s="59">
        <v>171</v>
      </c>
      <c r="Q20" s="59">
        <v>171</v>
      </c>
      <c r="R20" s="59">
        <v>171</v>
      </c>
      <c r="S20" s="59">
        <v>171</v>
      </c>
      <c r="T20" s="59">
        <v>171</v>
      </c>
      <c r="U20" s="59">
        <v>171</v>
      </c>
      <c r="V20" s="59">
        <v>171</v>
      </c>
      <c r="W20" s="59">
        <v>171</v>
      </c>
      <c r="X20" s="59">
        <v>171</v>
      </c>
      <c r="Y20" s="59">
        <v>171</v>
      </c>
      <c r="Z20" s="59">
        <v>171</v>
      </c>
      <c r="AA20" s="59">
        <v>171</v>
      </c>
      <c r="AB20" s="59">
        <v>171</v>
      </c>
      <c r="AC20" s="59">
        <v>171</v>
      </c>
      <c r="AD20" s="59">
        <v>171</v>
      </c>
      <c r="AE20" s="59">
        <v>171</v>
      </c>
      <c r="AF20" s="59">
        <v>171</v>
      </c>
    </row>
    <row r="21" spans="1:53" x14ac:dyDescent="0.25">
      <c r="A21" s="58" t="s">
        <v>221</v>
      </c>
      <c r="B21" s="2">
        <v>425</v>
      </c>
      <c r="C21" s="2">
        <v>412.5</v>
      </c>
      <c r="D21" s="59">
        <v>400</v>
      </c>
      <c r="E21" s="59">
        <v>387.5</v>
      </c>
      <c r="F21" s="59">
        <v>375</v>
      </c>
      <c r="G21" s="59">
        <v>362.5</v>
      </c>
      <c r="H21" s="59">
        <v>350</v>
      </c>
      <c r="I21" s="59">
        <v>337.5</v>
      </c>
      <c r="J21" s="59">
        <v>325</v>
      </c>
      <c r="K21" s="59">
        <v>312.5</v>
      </c>
      <c r="L21" s="59">
        <v>300</v>
      </c>
      <c r="M21" s="59">
        <v>300</v>
      </c>
      <c r="N21" s="59">
        <v>300</v>
      </c>
      <c r="O21" s="59">
        <v>300</v>
      </c>
      <c r="P21" s="59">
        <v>300</v>
      </c>
      <c r="Q21" s="59">
        <v>300</v>
      </c>
      <c r="R21" s="59">
        <v>300</v>
      </c>
      <c r="S21" s="59">
        <v>300</v>
      </c>
      <c r="T21" s="59">
        <v>300</v>
      </c>
      <c r="U21" s="59">
        <v>300</v>
      </c>
      <c r="V21" s="59">
        <v>300</v>
      </c>
      <c r="W21" s="59">
        <v>300</v>
      </c>
      <c r="X21" s="59">
        <v>300</v>
      </c>
      <c r="Y21" s="59">
        <v>300</v>
      </c>
      <c r="Z21" s="59">
        <v>300</v>
      </c>
      <c r="AA21" s="59">
        <v>300</v>
      </c>
      <c r="AB21" s="59">
        <v>300</v>
      </c>
      <c r="AC21" s="59">
        <v>300</v>
      </c>
      <c r="AD21" s="59">
        <v>300</v>
      </c>
      <c r="AE21" s="59">
        <v>300</v>
      </c>
      <c r="AF21" s="59">
        <v>300</v>
      </c>
    </row>
    <row r="22" spans="1:53" x14ac:dyDescent="0.25">
      <c r="A22" s="58" t="s">
        <v>222</v>
      </c>
      <c r="B22" s="2">
        <v>485.5</v>
      </c>
      <c r="C22" s="2">
        <v>470.25</v>
      </c>
      <c r="D22" s="59">
        <v>455</v>
      </c>
      <c r="E22" s="59">
        <v>439.75</v>
      </c>
      <c r="F22" s="59">
        <v>424.5</v>
      </c>
      <c r="G22" s="59">
        <v>409.25</v>
      </c>
      <c r="H22" s="59">
        <v>394</v>
      </c>
      <c r="I22" s="59">
        <v>378.75</v>
      </c>
      <c r="J22" s="59">
        <v>363.5</v>
      </c>
      <c r="K22" s="59">
        <v>348.25</v>
      </c>
      <c r="L22" s="59">
        <v>333</v>
      </c>
      <c r="M22" s="59">
        <v>333</v>
      </c>
      <c r="N22" s="59">
        <v>333</v>
      </c>
      <c r="O22" s="59">
        <v>333</v>
      </c>
      <c r="P22" s="59">
        <v>333</v>
      </c>
      <c r="Q22" s="59">
        <v>333</v>
      </c>
      <c r="R22" s="59">
        <v>333</v>
      </c>
      <c r="S22" s="59">
        <v>333</v>
      </c>
      <c r="T22" s="59">
        <v>333</v>
      </c>
      <c r="U22" s="59">
        <v>333</v>
      </c>
      <c r="V22" s="59">
        <v>333</v>
      </c>
      <c r="W22" s="59">
        <v>333</v>
      </c>
      <c r="X22" s="59">
        <v>333</v>
      </c>
      <c r="Y22" s="59">
        <v>333</v>
      </c>
      <c r="Z22" s="59">
        <v>333</v>
      </c>
      <c r="AA22" s="59">
        <v>333</v>
      </c>
      <c r="AB22" s="59">
        <v>333</v>
      </c>
      <c r="AC22" s="59">
        <v>333</v>
      </c>
      <c r="AD22" s="59">
        <v>333</v>
      </c>
      <c r="AE22" s="59">
        <v>333</v>
      </c>
      <c r="AF22" s="59">
        <v>333</v>
      </c>
    </row>
    <row r="23" spans="1:53" x14ac:dyDescent="0.25">
      <c r="A23" s="58" t="s">
        <v>223</v>
      </c>
      <c r="B23" s="2">
        <v>984.25</v>
      </c>
      <c r="C23" s="2">
        <v>952.125</v>
      </c>
      <c r="D23" s="59">
        <v>920</v>
      </c>
      <c r="E23" s="59">
        <v>887.875</v>
      </c>
      <c r="F23" s="59">
        <v>855.75</v>
      </c>
      <c r="G23" s="59">
        <v>823.625</v>
      </c>
      <c r="H23" s="59">
        <v>791.5</v>
      </c>
      <c r="I23" s="59">
        <v>759.375</v>
      </c>
      <c r="J23" s="59">
        <v>727.25</v>
      </c>
      <c r="K23" s="59">
        <v>695.125</v>
      </c>
      <c r="L23" s="59">
        <v>663</v>
      </c>
      <c r="M23" s="59">
        <v>663</v>
      </c>
      <c r="N23" s="59">
        <v>663</v>
      </c>
      <c r="O23" s="59">
        <v>663</v>
      </c>
      <c r="P23" s="59">
        <v>663</v>
      </c>
      <c r="Q23" s="59">
        <v>663</v>
      </c>
      <c r="R23" s="59">
        <v>663</v>
      </c>
      <c r="S23" s="59">
        <v>663</v>
      </c>
      <c r="T23" s="59">
        <v>663</v>
      </c>
      <c r="U23" s="59">
        <v>663</v>
      </c>
      <c r="V23" s="59">
        <v>663</v>
      </c>
      <c r="W23" s="59">
        <v>663</v>
      </c>
      <c r="X23" s="59">
        <v>663</v>
      </c>
      <c r="Y23" s="59">
        <v>663</v>
      </c>
      <c r="Z23" s="59">
        <v>663</v>
      </c>
      <c r="AA23" s="59">
        <v>663</v>
      </c>
      <c r="AB23" s="59">
        <v>663</v>
      </c>
      <c r="AC23" s="59">
        <v>663</v>
      </c>
      <c r="AD23" s="59">
        <v>663</v>
      </c>
      <c r="AE23" s="59">
        <v>663</v>
      </c>
      <c r="AF23" s="59">
        <v>663</v>
      </c>
    </row>
    <row r="24" spans="1:53" x14ac:dyDescent="0.25">
      <c r="A24" s="58" t="s">
        <v>224</v>
      </c>
      <c r="B24" s="2">
        <v>428.25</v>
      </c>
      <c r="C24" s="2">
        <v>416.625</v>
      </c>
      <c r="D24" s="59">
        <v>405</v>
      </c>
      <c r="E24" s="59">
        <v>393.375</v>
      </c>
      <c r="F24" s="59">
        <v>381.75</v>
      </c>
      <c r="G24" s="59">
        <v>370.125</v>
      </c>
      <c r="H24" s="59">
        <v>358.5</v>
      </c>
      <c r="I24" s="59">
        <v>346.875</v>
      </c>
      <c r="J24" s="59">
        <v>335.25</v>
      </c>
      <c r="K24" s="59">
        <v>323.625</v>
      </c>
      <c r="L24" s="59">
        <v>312</v>
      </c>
      <c r="M24" s="59">
        <v>312</v>
      </c>
      <c r="N24" s="59">
        <v>312</v>
      </c>
      <c r="O24" s="59">
        <v>312</v>
      </c>
      <c r="P24" s="59">
        <v>312</v>
      </c>
      <c r="Q24" s="59">
        <v>312</v>
      </c>
      <c r="R24" s="59">
        <v>312</v>
      </c>
      <c r="S24" s="59">
        <v>312</v>
      </c>
      <c r="T24" s="59">
        <v>312</v>
      </c>
      <c r="U24" s="59">
        <v>312</v>
      </c>
      <c r="V24" s="59">
        <v>312</v>
      </c>
      <c r="W24" s="59">
        <v>312</v>
      </c>
      <c r="X24" s="59">
        <v>312</v>
      </c>
      <c r="Y24" s="59">
        <v>312</v>
      </c>
      <c r="Z24" s="59">
        <v>312</v>
      </c>
      <c r="AA24" s="59">
        <v>312</v>
      </c>
      <c r="AB24" s="59">
        <v>312</v>
      </c>
      <c r="AC24" s="59">
        <v>312</v>
      </c>
      <c r="AD24" s="59">
        <v>312</v>
      </c>
      <c r="AE24" s="59">
        <v>312</v>
      </c>
      <c r="AF24" s="59">
        <v>312</v>
      </c>
    </row>
    <row r="25" spans="1:53" x14ac:dyDescent="0.25">
      <c r="A25" s="58" t="s">
        <v>226</v>
      </c>
      <c r="B25" s="2">
        <v>121.25</v>
      </c>
      <c r="C25" s="2">
        <v>120.625</v>
      </c>
      <c r="D25" s="59">
        <v>120</v>
      </c>
      <c r="E25" s="59">
        <v>119.375</v>
      </c>
      <c r="F25" s="59">
        <v>118.75</v>
      </c>
      <c r="G25" s="59">
        <v>118.125</v>
      </c>
      <c r="H25" s="59">
        <v>117.5</v>
      </c>
      <c r="I25" s="59">
        <v>116.875</v>
      </c>
      <c r="J25" s="59">
        <v>116.25</v>
      </c>
      <c r="K25" s="59">
        <v>115.625</v>
      </c>
      <c r="L25" s="59">
        <v>115</v>
      </c>
      <c r="M25" s="59">
        <v>115</v>
      </c>
      <c r="N25" s="59">
        <v>115</v>
      </c>
      <c r="O25" s="59">
        <v>115</v>
      </c>
      <c r="P25" s="59">
        <v>115</v>
      </c>
      <c r="Q25" s="59">
        <v>115</v>
      </c>
      <c r="R25" s="59">
        <v>115</v>
      </c>
      <c r="S25" s="59">
        <v>115</v>
      </c>
      <c r="T25" s="59">
        <v>115</v>
      </c>
      <c r="U25" s="59">
        <v>115</v>
      </c>
      <c r="V25" s="59">
        <v>115</v>
      </c>
      <c r="W25" s="59">
        <v>115</v>
      </c>
      <c r="X25" s="59">
        <v>115</v>
      </c>
      <c r="Y25" s="59">
        <v>115</v>
      </c>
      <c r="Z25" s="59">
        <v>115</v>
      </c>
      <c r="AA25" s="59">
        <v>115</v>
      </c>
      <c r="AB25" s="59">
        <v>115</v>
      </c>
      <c r="AC25" s="59">
        <v>115</v>
      </c>
      <c r="AD25" s="59">
        <v>115</v>
      </c>
      <c r="AE25" s="59">
        <v>115</v>
      </c>
      <c r="AF25" s="59">
        <v>115</v>
      </c>
    </row>
    <row r="26" spans="1:53" x14ac:dyDescent="0.25">
      <c r="A26" s="58" t="s">
        <v>227</v>
      </c>
      <c r="B26" s="2">
        <v>455</v>
      </c>
      <c r="C26" s="2">
        <v>452.5</v>
      </c>
      <c r="D26" s="59">
        <v>450</v>
      </c>
      <c r="E26" s="59">
        <v>447.5</v>
      </c>
      <c r="F26" s="59">
        <v>445</v>
      </c>
      <c r="G26" s="59">
        <v>442.5</v>
      </c>
      <c r="H26" s="59">
        <v>440</v>
      </c>
      <c r="I26" s="59">
        <v>437.5</v>
      </c>
      <c r="J26" s="59">
        <v>435</v>
      </c>
      <c r="K26" s="59">
        <v>432.5</v>
      </c>
      <c r="L26" s="59">
        <v>430</v>
      </c>
      <c r="M26" s="59">
        <v>430</v>
      </c>
      <c r="N26" s="59">
        <v>430</v>
      </c>
      <c r="O26" s="59">
        <v>430</v>
      </c>
      <c r="P26" s="59">
        <v>430</v>
      </c>
      <c r="Q26" s="59">
        <v>430</v>
      </c>
      <c r="R26" s="59">
        <v>430</v>
      </c>
      <c r="S26" s="59">
        <v>430</v>
      </c>
      <c r="T26" s="59">
        <v>430</v>
      </c>
      <c r="U26" s="59">
        <v>430</v>
      </c>
      <c r="V26" s="59">
        <v>430</v>
      </c>
      <c r="W26" s="59">
        <v>430</v>
      </c>
      <c r="X26" s="59">
        <v>430</v>
      </c>
      <c r="Y26" s="59">
        <v>430</v>
      </c>
      <c r="Z26" s="59">
        <v>430</v>
      </c>
      <c r="AA26" s="59">
        <v>430</v>
      </c>
      <c r="AB26" s="59">
        <v>430</v>
      </c>
      <c r="AC26" s="59">
        <v>430</v>
      </c>
      <c r="AD26" s="59">
        <v>430</v>
      </c>
      <c r="AE26" s="59">
        <v>430</v>
      </c>
      <c r="AF26" s="59">
        <v>430</v>
      </c>
    </row>
    <row r="27" spans="1:53" x14ac:dyDescent="0.25">
      <c r="A27" s="58" t="s">
        <v>228</v>
      </c>
      <c r="B27" s="2">
        <v>182.00000000000023</v>
      </c>
      <c r="C27" s="2">
        <v>181.00000000000023</v>
      </c>
      <c r="D27" s="59">
        <v>180</v>
      </c>
      <c r="E27" s="59">
        <v>179</v>
      </c>
      <c r="F27" s="59">
        <v>178</v>
      </c>
      <c r="G27" s="59">
        <v>177</v>
      </c>
      <c r="H27" s="59">
        <v>176</v>
      </c>
      <c r="I27" s="59">
        <v>175</v>
      </c>
      <c r="J27" s="59">
        <v>174</v>
      </c>
      <c r="K27" s="59">
        <v>173</v>
      </c>
      <c r="L27" s="59">
        <v>172</v>
      </c>
      <c r="M27" s="59">
        <v>172</v>
      </c>
      <c r="N27" s="59">
        <v>172</v>
      </c>
      <c r="O27" s="59">
        <v>172</v>
      </c>
      <c r="P27" s="59">
        <v>172</v>
      </c>
      <c r="Q27" s="59">
        <v>172</v>
      </c>
      <c r="R27" s="59">
        <v>172</v>
      </c>
      <c r="S27" s="59">
        <v>172</v>
      </c>
      <c r="T27" s="59">
        <v>172</v>
      </c>
      <c r="U27" s="59">
        <v>172</v>
      </c>
      <c r="V27" s="59">
        <v>172</v>
      </c>
      <c r="W27" s="59">
        <v>172</v>
      </c>
      <c r="X27" s="59">
        <v>172</v>
      </c>
      <c r="Y27" s="59">
        <v>172</v>
      </c>
      <c r="Z27" s="59">
        <v>172</v>
      </c>
      <c r="AA27" s="59">
        <v>172</v>
      </c>
      <c r="AB27" s="59">
        <v>172</v>
      </c>
      <c r="AC27" s="59">
        <v>172</v>
      </c>
      <c r="AD27" s="59">
        <v>172</v>
      </c>
      <c r="AE27" s="59">
        <v>172</v>
      </c>
      <c r="AF27" s="59">
        <v>172</v>
      </c>
    </row>
    <row r="28" spans="1:53" x14ac:dyDescent="0.25">
      <c r="A28" s="58" t="s">
        <v>229</v>
      </c>
      <c r="B28" s="2">
        <v>683.50000000000091</v>
      </c>
      <c r="C28" s="2">
        <v>679.75000000000091</v>
      </c>
      <c r="D28" s="59">
        <v>676</v>
      </c>
      <c r="E28" s="59">
        <v>672.25</v>
      </c>
      <c r="F28" s="59">
        <v>668.5</v>
      </c>
      <c r="G28" s="59">
        <v>664.75</v>
      </c>
      <c r="H28" s="59">
        <v>661</v>
      </c>
      <c r="I28" s="59">
        <v>657.25</v>
      </c>
      <c r="J28" s="59">
        <v>653.5</v>
      </c>
      <c r="K28" s="59">
        <v>649.75</v>
      </c>
      <c r="L28" s="59">
        <v>646</v>
      </c>
      <c r="M28" s="59">
        <v>646</v>
      </c>
      <c r="N28" s="59">
        <v>646</v>
      </c>
      <c r="O28" s="59">
        <v>646</v>
      </c>
      <c r="P28" s="59">
        <v>646</v>
      </c>
      <c r="Q28" s="59">
        <v>646</v>
      </c>
      <c r="R28" s="59">
        <v>646</v>
      </c>
      <c r="S28" s="59">
        <v>646</v>
      </c>
      <c r="T28" s="59">
        <v>646</v>
      </c>
      <c r="U28" s="59">
        <v>646</v>
      </c>
      <c r="V28" s="59">
        <v>646</v>
      </c>
      <c r="W28" s="59">
        <v>646</v>
      </c>
      <c r="X28" s="59">
        <v>646</v>
      </c>
      <c r="Y28" s="59">
        <v>646</v>
      </c>
      <c r="Z28" s="59">
        <v>646</v>
      </c>
      <c r="AA28" s="59">
        <v>646</v>
      </c>
      <c r="AB28" s="59">
        <v>646</v>
      </c>
      <c r="AC28" s="59">
        <v>646</v>
      </c>
      <c r="AD28" s="59">
        <v>646</v>
      </c>
      <c r="AE28" s="59">
        <v>646</v>
      </c>
      <c r="AF28" s="59">
        <v>646</v>
      </c>
    </row>
    <row r="31" spans="1:53" x14ac:dyDescent="0.25">
      <c r="A31" s="53" t="s">
        <v>232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</row>
    <row r="32" spans="1:53" x14ac:dyDescent="0.25">
      <c r="A32" s="52"/>
      <c r="B32" s="53">
        <v>2020</v>
      </c>
      <c r="C32" s="53">
        <v>2021</v>
      </c>
      <c r="D32" s="53">
        <v>2022</v>
      </c>
      <c r="E32" s="53">
        <v>2023</v>
      </c>
      <c r="F32" s="53">
        <v>2024</v>
      </c>
      <c r="G32" s="53">
        <v>2025</v>
      </c>
      <c r="H32" s="53">
        <v>2026</v>
      </c>
      <c r="I32" s="53">
        <v>2027</v>
      </c>
      <c r="J32" s="53">
        <v>2028</v>
      </c>
      <c r="K32" s="53">
        <v>2029</v>
      </c>
      <c r="L32" s="53">
        <v>2030</v>
      </c>
      <c r="M32" s="53">
        <v>2031</v>
      </c>
      <c r="N32" s="53">
        <v>2032</v>
      </c>
      <c r="O32" s="53">
        <v>2033</v>
      </c>
      <c r="P32" s="53">
        <v>2034</v>
      </c>
      <c r="Q32" s="53">
        <v>2035</v>
      </c>
      <c r="R32" s="53">
        <v>2036</v>
      </c>
      <c r="S32" s="53">
        <v>2037</v>
      </c>
      <c r="T32" s="53">
        <v>2038</v>
      </c>
      <c r="U32" s="53">
        <v>2039</v>
      </c>
      <c r="V32" s="53">
        <v>2040</v>
      </c>
      <c r="W32" s="53">
        <v>2041</v>
      </c>
      <c r="X32" s="53">
        <v>2042</v>
      </c>
      <c r="Y32" s="53">
        <v>2043</v>
      </c>
      <c r="Z32" s="53">
        <v>2044</v>
      </c>
      <c r="AA32" s="53">
        <v>2045</v>
      </c>
      <c r="AB32" s="53">
        <v>2046</v>
      </c>
      <c r="AC32" s="53">
        <v>2047</v>
      </c>
      <c r="AD32" s="53">
        <v>2048</v>
      </c>
      <c r="AE32" s="53">
        <v>2049</v>
      </c>
      <c r="AF32" s="53">
        <v>2050</v>
      </c>
      <c r="AG32" s="53">
        <v>2051</v>
      </c>
      <c r="AH32" s="53">
        <v>2052</v>
      </c>
      <c r="AI32" s="53">
        <v>2053</v>
      </c>
      <c r="AJ32" s="53" t="s">
        <v>233</v>
      </c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</row>
    <row r="33" spans="1:53" x14ac:dyDescent="0.25">
      <c r="A33" s="60" t="s">
        <v>234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</row>
    <row r="34" spans="1:53" x14ac:dyDescent="0.25">
      <c r="A34" s="54" t="s">
        <v>219</v>
      </c>
      <c r="B34" s="62">
        <v>116537.59</v>
      </c>
      <c r="C34" s="62">
        <v>117344.414</v>
      </c>
      <c r="D34" s="62">
        <v>118151.23800000001</v>
      </c>
      <c r="E34" s="62">
        <v>118958.06200000002</v>
      </c>
      <c r="F34" s="62">
        <v>119764.88600000003</v>
      </c>
      <c r="G34" s="62">
        <v>120571.71</v>
      </c>
      <c r="H34" s="62">
        <v>122325.784</v>
      </c>
      <c r="I34" s="62">
        <v>124079.85799999999</v>
      </c>
      <c r="J34" s="62">
        <v>125833.93199999999</v>
      </c>
      <c r="K34" s="62">
        <v>127588.00599999998</v>
      </c>
      <c r="L34" s="62">
        <v>129342.08</v>
      </c>
      <c r="M34" s="62">
        <v>132498.092</v>
      </c>
      <c r="N34" s="62">
        <v>135654.10399999999</v>
      </c>
      <c r="O34" s="62">
        <v>138810.11599999998</v>
      </c>
      <c r="P34" s="62">
        <v>141966.12799999997</v>
      </c>
      <c r="Q34" s="62">
        <v>145122.14000000001</v>
      </c>
      <c r="R34" s="62">
        <v>148198.992</v>
      </c>
      <c r="S34" s="62">
        <v>151275.84399999998</v>
      </c>
      <c r="T34" s="62">
        <v>154352.69599999997</v>
      </c>
      <c r="U34" s="62">
        <v>157429.54799999995</v>
      </c>
      <c r="V34" s="62">
        <v>160506.4</v>
      </c>
      <c r="W34" s="63">
        <v>163688.79866666719</v>
      </c>
      <c r="X34" s="63">
        <v>166799.23369697016</v>
      </c>
      <c r="Y34" s="63">
        <v>169909.66872727312</v>
      </c>
      <c r="Z34" s="63">
        <v>173020.10375757609</v>
      </c>
      <c r="AA34" s="63">
        <v>176130.53878787905</v>
      </c>
      <c r="AB34" s="63">
        <v>179240.97381818201</v>
      </c>
      <c r="AC34" s="63">
        <v>182351.40884848498</v>
      </c>
      <c r="AD34" s="63">
        <v>185461.84387878794</v>
      </c>
      <c r="AE34" s="63">
        <v>188572.27890909091</v>
      </c>
      <c r="AF34" s="63">
        <v>191682.71393939387</v>
      </c>
      <c r="AG34" s="63">
        <v>194793.14896969683</v>
      </c>
      <c r="AH34" s="63">
        <v>197903.5839999998</v>
      </c>
      <c r="AI34" s="63">
        <v>201014.01903030276</v>
      </c>
      <c r="AJ34" s="54" t="s">
        <v>213</v>
      </c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</row>
    <row r="35" spans="1:53" x14ac:dyDescent="0.25">
      <c r="A35" s="54" t="s">
        <v>220</v>
      </c>
      <c r="B35" s="62">
        <v>118399.012</v>
      </c>
      <c r="C35" s="62">
        <v>119218.6992</v>
      </c>
      <c r="D35" s="62">
        <v>120038.3864</v>
      </c>
      <c r="E35" s="62">
        <v>120858.0736</v>
      </c>
      <c r="F35" s="62">
        <v>121677.7608</v>
      </c>
      <c r="G35" s="62">
        <v>122497.448</v>
      </c>
      <c r="H35" s="62">
        <v>124279.485</v>
      </c>
      <c r="I35" s="62">
        <v>126061.522</v>
      </c>
      <c r="J35" s="62">
        <v>127843.55899999999</v>
      </c>
      <c r="K35" s="62">
        <v>129625.59599999999</v>
      </c>
      <c r="L35" s="62">
        <v>131407.633</v>
      </c>
      <c r="M35" s="62">
        <v>134614.11480000001</v>
      </c>
      <c r="N35" s="62">
        <v>137820.59660000002</v>
      </c>
      <c r="O35" s="62">
        <v>141027.07840000003</v>
      </c>
      <c r="P35" s="62">
        <v>144233.56020000004</v>
      </c>
      <c r="Q35" s="62">
        <v>147440.04199999999</v>
      </c>
      <c r="R35" s="62">
        <v>150566.04759999999</v>
      </c>
      <c r="S35" s="62">
        <v>153692.05319999999</v>
      </c>
      <c r="T35" s="62">
        <v>156818.0588</v>
      </c>
      <c r="U35" s="62">
        <v>159944.0644</v>
      </c>
      <c r="V35" s="62">
        <v>163070.06999999998</v>
      </c>
      <c r="W35" s="63">
        <v>166303.37719999999</v>
      </c>
      <c r="X35" s="63">
        <v>169463.52421818208</v>
      </c>
      <c r="Y35" s="63">
        <v>172623.67123636324</v>
      </c>
      <c r="Z35" s="63">
        <v>175783.81825454533</v>
      </c>
      <c r="AA35" s="63">
        <v>178943.96527272742</v>
      </c>
      <c r="AB35" s="63">
        <v>182104.11229090951</v>
      </c>
      <c r="AC35" s="63">
        <v>185264.25930909067</v>
      </c>
      <c r="AD35" s="63">
        <v>188424.40632727277</v>
      </c>
      <c r="AE35" s="63">
        <v>191584.55334545486</v>
      </c>
      <c r="AF35" s="63">
        <v>194744.70036363602</v>
      </c>
      <c r="AG35" s="63">
        <v>197904.84738181811</v>
      </c>
      <c r="AH35" s="63">
        <v>201064.9944000002</v>
      </c>
      <c r="AI35" s="63">
        <v>204225.14141818229</v>
      </c>
      <c r="AJ35" s="54" t="s">
        <v>213</v>
      </c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</row>
    <row r="36" spans="1:53" x14ac:dyDescent="0.25">
      <c r="A36" s="54" t="s">
        <v>221</v>
      </c>
      <c r="B36" s="62">
        <v>95647.28</v>
      </c>
      <c r="C36" s="62">
        <v>96309.491800000003</v>
      </c>
      <c r="D36" s="62">
        <v>96971.703600000008</v>
      </c>
      <c r="E36" s="62">
        <v>97633.915400000013</v>
      </c>
      <c r="F36" s="62">
        <v>98296.127200000017</v>
      </c>
      <c r="G36" s="62">
        <v>98958.338999999993</v>
      </c>
      <c r="H36" s="62">
        <v>100397.96219999999</v>
      </c>
      <c r="I36" s="62">
        <v>101837.5854</v>
      </c>
      <c r="J36" s="62">
        <v>103277.2086</v>
      </c>
      <c r="K36" s="62">
        <v>104716.8318</v>
      </c>
      <c r="L36" s="62">
        <v>106156.455</v>
      </c>
      <c r="M36" s="62">
        <v>108746.7678</v>
      </c>
      <c r="N36" s="62">
        <v>111337.0806</v>
      </c>
      <c r="O36" s="62">
        <v>113927.3934</v>
      </c>
      <c r="P36" s="62">
        <v>116517.7062</v>
      </c>
      <c r="Q36" s="62">
        <v>119108.019</v>
      </c>
      <c r="R36" s="62">
        <v>121633.35619999999</v>
      </c>
      <c r="S36" s="62">
        <v>124158.69339999999</v>
      </c>
      <c r="T36" s="62">
        <v>126684.03059999998</v>
      </c>
      <c r="U36" s="62">
        <v>129209.36779999998</v>
      </c>
      <c r="V36" s="62">
        <v>131734.70499999999</v>
      </c>
      <c r="W36" s="63">
        <v>134346.67633333337</v>
      </c>
      <c r="X36" s="63">
        <v>136899.57893939409</v>
      </c>
      <c r="Y36" s="63">
        <v>139452.48154545482</v>
      </c>
      <c r="Z36" s="63">
        <v>142005.38415151555</v>
      </c>
      <c r="AA36" s="63">
        <v>144558.28675757535</v>
      </c>
      <c r="AB36" s="63">
        <v>147111.18936363608</v>
      </c>
      <c r="AC36" s="63">
        <v>149664.0919696968</v>
      </c>
      <c r="AD36" s="63">
        <v>152216.99457575753</v>
      </c>
      <c r="AE36" s="63">
        <v>154769.89718181826</v>
      </c>
      <c r="AF36" s="63">
        <v>157322.79978787899</v>
      </c>
      <c r="AG36" s="63">
        <v>159875.70239393972</v>
      </c>
      <c r="AH36" s="63">
        <v>162428.60499999952</v>
      </c>
      <c r="AI36" s="63">
        <v>164981.50760606024</v>
      </c>
      <c r="AJ36" s="54" t="s">
        <v>214</v>
      </c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</row>
    <row r="37" spans="1:53" x14ac:dyDescent="0.25">
      <c r="A37" s="54" t="s">
        <v>222</v>
      </c>
      <c r="B37" s="62">
        <v>55945.25</v>
      </c>
      <c r="C37" s="62">
        <v>55322.91</v>
      </c>
      <c r="D37" s="62">
        <v>54700.570000000007</v>
      </c>
      <c r="E37" s="62">
        <v>54078.23000000001</v>
      </c>
      <c r="F37" s="62">
        <v>53455.890000000014</v>
      </c>
      <c r="G37" s="62">
        <v>52833.55</v>
      </c>
      <c r="H37" s="62">
        <v>52462.840000000004</v>
      </c>
      <c r="I37" s="62">
        <v>52092.130000000005</v>
      </c>
      <c r="J37" s="62">
        <v>51721.420000000006</v>
      </c>
      <c r="K37" s="62">
        <v>51350.710000000006</v>
      </c>
      <c r="L37" s="62">
        <v>50980</v>
      </c>
      <c r="M37" s="62">
        <v>51194.304000000004</v>
      </c>
      <c r="N37" s="62">
        <v>51408.608000000007</v>
      </c>
      <c r="O37" s="62">
        <v>51622.912000000011</v>
      </c>
      <c r="P37" s="62">
        <v>51837.216000000015</v>
      </c>
      <c r="Q37" s="62">
        <v>52051.520000000004</v>
      </c>
      <c r="R37" s="62">
        <v>52259.394</v>
      </c>
      <c r="S37" s="62">
        <v>52467.267999999996</v>
      </c>
      <c r="T37" s="62">
        <v>52675.141999999993</v>
      </c>
      <c r="U37" s="62">
        <v>52883.015999999989</v>
      </c>
      <c r="V37" s="62">
        <v>53090.889999999992</v>
      </c>
      <c r="W37" s="63">
        <v>53307.337333333329</v>
      </c>
      <c r="X37" s="63">
        <v>53517.939212121186</v>
      </c>
      <c r="Y37" s="63">
        <v>53728.541090909042</v>
      </c>
      <c r="Z37" s="63">
        <v>53939.142969696957</v>
      </c>
      <c r="AA37" s="63">
        <v>54149.744848484814</v>
      </c>
      <c r="AB37" s="63">
        <v>54360.34672727267</v>
      </c>
      <c r="AC37" s="63">
        <v>54570.948606060585</v>
      </c>
      <c r="AD37" s="63">
        <v>54781.550484848442</v>
      </c>
      <c r="AE37" s="63">
        <v>54992.152363636298</v>
      </c>
      <c r="AF37" s="63">
        <v>55202.754242424213</v>
      </c>
      <c r="AG37" s="63">
        <v>55413.356121212069</v>
      </c>
      <c r="AH37" s="63">
        <v>55623.957999999926</v>
      </c>
      <c r="AI37" s="63">
        <v>55834.559878787841</v>
      </c>
      <c r="AJ37" s="54" t="s">
        <v>214</v>
      </c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</row>
    <row r="38" spans="1:53" x14ac:dyDescent="0.25">
      <c r="A38" s="54" t="s">
        <v>223</v>
      </c>
      <c r="B38" s="62">
        <v>92843.9</v>
      </c>
      <c r="C38" s="62">
        <v>91811.12</v>
      </c>
      <c r="D38" s="62">
        <v>90778.34</v>
      </c>
      <c r="E38" s="62">
        <v>89745.56</v>
      </c>
      <c r="F38" s="62">
        <v>88712.78</v>
      </c>
      <c r="G38" s="62">
        <v>87680</v>
      </c>
      <c r="H38" s="62">
        <v>87064.76</v>
      </c>
      <c r="I38" s="62">
        <v>86449.51999999999</v>
      </c>
      <c r="J38" s="62">
        <v>85834.279999999984</v>
      </c>
      <c r="K38" s="62">
        <v>85219.039999999979</v>
      </c>
      <c r="L38" s="62">
        <v>84603.8</v>
      </c>
      <c r="M38" s="62">
        <v>84959.44</v>
      </c>
      <c r="N38" s="62">
        <v>85315.08</v>
      </c>
      <c r="O38" s="62">
        <v>85670.720000000001</v>
      </c>
      <c r="P38" s="62">
        <v>86026.36</v>
      </c>
      <c r="Q38" s="62">
        <v>86382</v>
      </c>
      <c r="R38" s="62">
        <v>86726.98</v>
      </c>
      <c r="S38" s="62">
        <v>87071.959999999992</v>
      </c>
      <c r="T38" s="62">
        <v>87416.939999999988</v>
      </c>
      <c r="U38" s="62">
        <v>87761.919999999984</v>
      </c>
      <c r="V38" s="62">
        <v>88106.9</v>
      </c>
      <c r="W38" s="63">
        <v>88466.093333333265</v>
      </c>
      <c r="X38" s="63">
        <v>88815.595757575706</v>
      </c>
      <c r="Y38" s="63">
        <v>89165.098181818146</v>
      </c>
      <c r="Z38" s="63">
        <v>89514.600606060587</v>
      </c>
      <c r="AA38" s="63">
        <v>89864.103030302911</v>
      </c>
      <c r="AB38" s="63">
        <v>90213.605454545352</v>
      </c>
      <c r="AC38" s="63">
        <v>90563.107878787792</v>
      </c>
      <c r="AD38" s="63">
        <v>90912.610303030233</v>
      </c>
      <c r="AE38" s="63">
        <v>91262.112727272674</v>
      </c>
      <c r="AF38" s="63">
        <v>91611.615151515114</v>
      </c>
      <c r="AG38" s="63">
        <v>91961.117575757555</v>
      </c>
      <c r="AH38" s="63">
        <v>92310.619999999879</v>
      </c>
      <c r="AI38" s="63">
        <v>92660.12242424232</v>
      </c>
      <c r="AJ38" s="54" t="s">
        <v>214</v>
      </c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</row>
    <row r="39" spans="1:53" x14ac:dyDescent="0.25">
      <c r="A39" s="54" t="s">
        <v>224</v>
      </c>
      <c r="B39" s="62">
        <v>3614</v>
      </c>
      <c r="C39" s="62">
        <v>3639</v>
      </c>
      <c r="D39" s="62">
        <v>3664</v>
      </c>
      <c r="E39" s="62">
        <v>3689</v>
      </c>
      <c r="F39" s="62">
        <v>3714</v>
      </c>
      <c r="G39" s="62">
        <v>3739</v>
      </c>
      <c r="H39" s="62">
        <v>3793.4</v>
      </c>
      <c r="I39" s="62">
        <v>3847.8</v>
      </c>
      <c r="J39" s="62">
        <v>3902.2000000000003</v>
      </c>
      <c r="K39" s="62">
        <v>3956.6000000000004</v>
      </c>
      <c r="L39" s="62">
        <v>4011</v>
      </c>
      <c r="M39" s="62">
        <v>4108.8</v>
      </c>
      <c r="N39" s="62">
        <v>4206.6000000000004</v>
      </c>
      <c r="O39" s="62">
        <v>4304.4000000000005</v>
      </c>
      <c r="P39" s="62">
        <v>4402.2000000000007</v>
      </c>
      <c r="Q39" s="62">
        <v>4500</v>
      </c>
      <c r="R39" s="62">
        <v>4595.3999999999996</v>
      </c>
      <c r="S39" s="62">
        <v>4690.7999999999993</v>
      </c>
      <c r="T39" s="62">
        <v>4786.1999999999989</v>
      </c>
      <c r="U39" s="62">
        <v>4881.5999999999985</v>
      </c>
      <c r="V39" s="62">
        <v>4977</v>
      </c>
      <c r="W39" s="63">
        <v>5075.5999999999767</v>
      </c>
      <c r="X39" s="63">
        <v>5172.0181818181591</v>
      </c>
      <c r="Y39" s="63">
        <v>5268.4363636363414</v>
      </c>
      <c r="Z39" s="63">
        <v>5364.8545454545238</v>
      </c>
      <c r="AA39" s="63">
        <v>5461.2727272727061</v>
      </c>
      <c r="AB39" s="63">
        <v>5557.6909090908885</v>
      </c>
      <c r="AC39" s="63">
        <v>5654.1090909090708</v>
      </c>
      <c r="AD39" s="63">
        <v>5750.5272727272531</v>
      </c>
      <c r="AE39" s="63">
        <v>5846.9454545454355</v>
      </c>
      <c r="AF39" s="63">
        <v>5943.3636363636178</v>
      </c>
      <c r="AG39" s="63">
        <v>6039.7818181818002</v>
      </c>
      <c r="AH39" s="63">
        <v>6136.1999999999825</v>
      </c>
      <c r="AI39" s="63">
        <v>6232.6181818181649</v>
      </c>
      <c r="AJ39" s="54" t="s">
        <v>214</v>
      </c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</row>
    <row r="40" spans="1:53" x14ac:dyDescent="0.25">
      <c r="A40" s="64" t="s">
        <v>225</v>
      </c>
      <c r="B40" s="65">
        <v>482987.03200000001</v>
      </c>
      <c r="C40" s="65"/>
      <c r="D40" s="65"/>
      <c r="E40" s="65"/>
      <c r="F40" s="65"/>
      <c r="G40" s="65">
        <v>486280.04699999996</v>
      </c>
      <c r="H40" s="65"/>
      <c r="I40" s="65"/>
      <c r="J40" s="65"/>
      <c r="K40" s="65"/>
      <c r="L40" s="65">
        <v>506500.96799999999</v>
      </c>
      <c r="M40" s="65"/>
      <c r="N40" s="65"/>
      <c r="O40" s="65"/>
      <c r="P40" s="65"/>
      <c r="Q40" s="65">
        <v>554603.72100000002</v>
      </c>
      <c r="R40" s="65"/>
      <c r="S40" s="65"/>
      <c r="T40" s="65"/>
      <c r="U40" s="65"/>
      <c r="V40" s="65">
        <v>601485.96499999997</v>
      </c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</row>
    <row r="41" spans="1:53" x14ac:dyDescent="0.25">
      <c r="A41" s="54" t="s">
        <v>226</v>
      </c>
      <c r="B41" s="62">
        <v>4754.0109999999995</v>
      </c>
      <c r="C41" s="62">
        <v>4754.1695999999993</v>
      </c>
      <c r="D41" s="62">
        <v>4754.328199999999</v>
      </c>
      <c r="E41" s="62">
        <v>4754.4867999999988</v>
      </c>
      <c r="F41" s="62">
        <v>4754.6453999999985</v>
      </c>
      <c r="G41" s="62">
        <v>4754.8040000000001</v>
      </c>
      <c r="H41" s="62">
        <v>4784.2997999999998</v>
      </c>
      <c r="I41" s="62">
        <v>4813.7955999999995</v>
      </c>
      <c r="J41" s="62">
        <v>4843.2913999999992</v>
      </c>
      <c r="K41" s="62">
        <v>4872.7871999999988</v>
      </c>
      <c r="L41" s="62">
        <v>4902.2830000000004</v>
      </c>
      <c r="M41" s="62">
        <v>4986.5684000000001</v>
      </c>
      <c r="N41" s="62">
        <v>5070.8537999999999</v>
      </c>
      <c r="O41" s="62">
        <v>5155.1391999999996</v>
      </c>
      <c r="P41" s="62">
        <v>5239.4245999999994</v>
      </c>
      <c r="Q41" s="62">
        <v>5323.7099999999991</v>
      </c>
      <c r="R41" s="62">
        <v>5405.777399999999</v>
      </c>
      <c r="S41" s="62">
        <v>5487.8447999999989</v>
      </c>
      <c r="T41" s="62">
        <v>5569.9121999999988</v>
      </c>
      <c r="U41" s="62">
        <v>5651.9795999999988</v>
      </c>
      <c r="V41" s="62">
        <v>5734.0469999999996</v>
      </c>
      <c r="W41" s="63">
        <v>5819.0717333333159</v>
      </c>
      <c r="X41" s="63">
        <v>5902.0801030302828</v>
      </c>
      <c r="Y41" s="63">
        <v>5985.0884727272787</v>
      </c>
      <c r="Z41" s="63">
        <v>6068.0968424242456</v>
      </c>
      <c r="AA41" s="63">
        <v>6151.1052121212124</v>
      </c>
      <c r="AB41" s="63">
        <v>6234.1135818181792</v>
      </c>
      <c r="AC41" s="63">
        <v>6317.1219515151461</v>
      </c>
      <c r="AD41" s="63">
        <v>6400.1303212121129</v>
      </c>
      <c r="AE41" s="63">
        <v>6483.1386909090797</v>
      </c>
      <c r="AF41" s="63">
        <v>6566.1470606060466</v>
      </c>
      <c r="AG41" s="63">
        <v>6649.1554303030134</v>
      </c>
      <c r="AH41" s="63">
        <v>6732.1637999999803</v>
      </c>
      <c r="AI41" s="63">
        <v>6815.1721696969471</v>
      </c>
      <c r="AJ41" s="54" t="s">
        <v>235</v>
      </c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</row>
    <row r="42" spans="1:53" x14ac:dyDescent="0.25">
      <c r="A42" s="54" t="s">
        <v>227</v>
      </c>
      <c r="B42" s="62">
        <v>5282.9840000000004</v>
      </c>
      <c r="C42" s="62">
        <v>5283.1580000000004</v>
      </c>
      <c r="D42" s="62">
        <v>5283.3320000000003</v>
      </c>
      <c r="E42" s="62">
        <v>5283.5060000000003</v>
      </c>
      <c r="F42" s="62">
        <v>5283.68</v>
      </c>
      <c r="G42" s="62">
        <v>5283.8539999999994</v>
      </c>
      <c r="H42" s="62">
        <v>5316.6317999999992</v>
      </c>
      <c r="I42" s="62">
        <v>5349.409599999999</v>
      </c>
      <c r="J42" s="62">
        <v>5382.1873999999989</v>
      </c>
      <c r="K42" s="62">
        <v>5414.9651999999987</v>
      </c>
      <c r="L42" s="62">
        <v>5447.7430000000004</v>
      </c>
      <c r="M42" s="62">
        <v>5541.4026000000003</v>
      </c>
      <c r="N42" s="62">
        <v>5635.0622000000003</v>
      </c>
      <c r="O42" s="62">
        <v>5728.7218000000003</v>
      </c>
      <c r="P42" s="62">
        <v>5822.3814000000002</v>
      </c>
      <c r="Q42" s="62">
        <v>5916.0410000000002</v>
      </c>
      <c r="R42" s="62">
        <v>6007.2420000000002</v>
      </c>
      <c r="S42" s="62">
        <v>6098.4430000000002</v>
      </c>
      <c r="T42" s="62">
        <v>6189.6440000000002</v>
      </c>
      <c r="U42" s="62">
        <v>6280.8450000000003</v>
      </c>
      <c r="V42" s="62">
        <v>6372.0460000000003</v>
      </c>
      <c r="W42" s="63">
        <v>6466.5251333333435</v>
      </c>
      <c r="X42" s="63">
        <v>6558.7691757575958</v>
      </c>
      <c r="Y42" s="63">
        <v>6651.0132181818481</v>
      </c>
      <c r="Z42" s="63">
        <v>6743.2572606060712</v>
      </c>
      <c r="AA42" s="63">
        <v>6835.5013030303235</v>
      </c>
      <c r="AB42" s="63">
        <v>6927.7453454545757</v>
      </c>
      <c r="AC42" s="63">
        <v>7019.9893878787989</v>
      </c>
      <c r="AD42" s="63">
        <v>7112.2334303030511</v>
      </c>
      <c r="AE42" s="63">
        <v>7204.4774727273034</v>
      </c>
      <c r="AF42" s="63">
        <v>7296.7215151515265</v>
      </c>
      <c r="AG42" s="63">
        <v>7388.9655575757788</v>
      </c>
      <c r="AH42" s="63">
        <v>7481.2096000000311</v>
      </c>
      <c r="AI42" s="63">
        <v>7573.4536424242542</v>
      </c>
      <c r="AJ42" s="54" t="s">
        <v>235</v>
      </c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</row>
    <row r="43" spans="1:53" x14ac:dyDescent="0.25">
      <c r="A43" s="54" t="s">
        <v>228</v>
      </c>
      <c r="B43" s="62">
        <v>27044.906999999999</v>
      </c>
      <c r="C43" s="62">
        <v>27045.8024</v>
      </c>
      <c r="D43" s="62">
        <v>27046.697800000002</v>
      </c>
      <c r="E43" s="62">
        <v>27047.593200000003</v>
      </c>
      <c r="F43" s="62">
        <v>27048.488600000004</v>
      </c>
      <c r="G43" s="62">
        <v>27049.384000000002</v>
      </c>
      <c r="H43" s="62">
        <v>27217.201800000003</v>
      </c>
      <c r="I43" s="62">
        <v>27385.019600000003</v>
      </c>
      <c r="J43" s="62">
        <v>27552.837400000004</v>
      </c>
      <c r="K43" s="62">
        <v>27720.655200000005</v>
      </c>
      <c r="L43" s="62">
        <v>27888.472999999998</v>
      </c>
      <c r="M43" s="62">
        <v>28367.96</v>
      </c>
      <c r="N43" s="62">
        <v>28847.447</v>
      </c>
      <c r="O43" s="62">
        <v>29326.934000000001</v>
      </c>
      <c r="P43" s="62">
        <v>29806.421000000002</v>
      </c>
      <c r="Q43" s="62">
        <v>30285.907999999999</v>
      </c>
      <c r="R43" s="62">
        <v>30752.794000000002</v>
      </c>
      <c r="S43" s="62">
        <v>31219.680000000004</v>
      </c>
      <c r="T43" s="62">
        <v>31686.566000000006</v>
      </c>
      <c r="U43" s="62">
        <v>32153.452000000008</v>
      </c>
      <c r="V43" s="62">
        <v>32620.338000000003</v>
      </c>
      <c r="W43" s="63">
        <v>33104.025333333295</v>
      </c>
      <c r="X43" s="63">
        <v>33576.257212121156</v>
      </c>
      <c r="Y43" s="63">
        <v>34048.489090909017</v>
      </c>
      <c r="Z43" s="63">
        <v>34520.720969696878</v>
      </c>
      <c r="AA43" s="63">
        <v>34992.952848484856</v>
      </c>
      <c r="AB43" s="63">
        <v>35465.184727272717</v>
      </c>
      <c r="AC43" s="63">
        <v>35937.416606060578</v>
      </c>
      <c r="AD43" s="63">
        <v>36409.64848484844</v>
      </c>
      <c r="AE43" s="63">
        <v>36881.880363636301</v>
      </c>
      <c r="AF43" s="63">
        <v>37354.112242424162</v>
      </c>
      <c r="AG43" s="63">
        <v>37826.344121212023</v>
      </c>
      <c r="AH43" s="63">
        <v>38298.576000000001</v>
      </c>
      <c r="AI43" s="63">
        <v>38770.807878787862</v>
      </c>
      <c r="AJ43" s="54" t="s">
        <v>235</v>
      </c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</row>
    <row r="44" spans="1:53" x14ac:dyDescent="0.25">
      <c r="A44" s="54" t="s">
        <v>229</v>
      </c>
      <c r="B44" s="62">
        <v>16228.913</v>
      </c>
      <c r="C44" s="62">
        <v>16229.455</v>
      </c>
      <c r="D44" s="62">
        <v>16229.996999999999</v>
      </c>
      <c r="E44" s="62">
        <v>16230.538999999999</v>
      </c>
      <c r="F44" s="62">
        <v>16231.080999999998</v>
      </c>
      <c r="G44" s="62">
        <v>16231.623</v>
      </c>
      <c r="H44" s="62">
        <v>16332.3094</v>
      </c>
      <c r="I44" s="62">
        <v>16432.995800000001</v>
      </c>
      <c r="J44" s="62">
        <v>16533.682199999999</v>
      </c>
      <c r="K44" s="62">
        <v>16634.368599999998</v>
      </c>
      <c r="L44" s="62">
        <v>16735.055</v>
      </c>
      <c r="M44" s="62">
        <v>17022.7916</v>
      </c>
      <c r="N44" s="62">
        <v>17310.528200000001</v>
      </c>
      <c r="O44" s="62">
        <v>17598.264800000001</v>
      </c>
      <c r="P44" s="62">
        <v>17886.001400000001</v>
      </c>
      <c r="Q44" s="62">
        <v>18173.738000000001</v>
      </c>
      <c r="R44" s="62">
        <v>18453.896000000001</v>
      </c>
      <c r="S44" s="62">
        <v>18734.054</v>
      </c>
      <c r="T44" s="62">
        <v>19014.212</v>
      </c>
      <c r="U44" s="62">
        <v>19294.37</v>
      </c>
      <c r="V44" s="62">
        <v>19574.527999999998</v>
      </c>
      <c r="W44" s="63">
        <v>19864.790800000075</v>
      </c>
      <c r="X44" s="63">
        <v>20148.163963636383</v>
      </c>
      <c r="Y44" s="63">
        <v>20431.537127272808</v>
      </c>
      <c r="Z44" s="63">
        <v>20714.910290909116</v>
      </c>
      <c r="AA44" s="63">
        <v>20998.283454545541</v>
      </c>
      <c r="AB44" s="63">
        <v>21281.656618181849</v>
      </c>
      <c r="AC44" s="63">
        <v>21565.029781818273</v>
      </c>
      <c r="AD44" s="63">
        <v>21848.402945454582</v>
      </c>
      <c r="AE44" s="63">
        <v>22131.77610909089</v>
      </c>
      <c r="AF44" s="63">
        <v>22415.149272727314</v>
      </c>
      <c r="AG44" s="63">
        <v>22698.522436363623</v>
      </c>
      <c r="AH44" s="63">
        <v>22981.895600000047</v>
      </c>
      <c r="AI44" s="63">
        <v>23265.268763636355</v>
      </c>
      <c r="AJ44" s="54" t="s">
        <v>235</v>
      </c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</row>
    <row r="45" spans="1:53" x14ac:dyDescent="0.25">
      <c r="A45" s="64" t="s">
        <v>230</v>
      </c>
      <c r="B45" s="65">
        <v>53310.815000000002</v>
      </c>
      <c r="C45" s="65"/>
      <c r="D45" s="65"/>
      <c r="E45" s="65"/>
      <c r="F45" s="65"/>
      <c r="G45" s="65">
        <v>53319.665000000001</v>
      </c>
      <c r="H45" s="65"/>
      <c r="I45" s="65"/>
      <c r="J45" s="65"/>
      <c r="K45" s="65"/>
      <c r="L45" s="65">
        <v>54973.553999999996</v>
      </c>
      <c r="M45" s="65"/>
      <c r="N45" s="65"/>
      <c r="O45" s="65"/>
      <c r="P45" s="65"/>
      <c r="Q45" s="65">
        <v>59699.396999999997</v>
      </c>
      <c r="R45" s="65"/>
      <c r="S45" s="65"/>
      <c r="T45" s="65"/>
      <c r="U45" s="65"/>
      <c r="V45" s="65">
        <v>64300.959000000003</v>
      </c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</row>
    <row r="48" spans="1:53" ht="33.75" x14ac:dyDescent="0.5">
      <c r="A48" s="66"/>
      <c r="B48" s="67" t="s">
        <v>236</v>
      </c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</row>
    <row r="49" spans="1:53" ht="15.75" x14ac:dyDescent="0.25">
      <c r="A49" s="66"/>
      <c r="B49" s="66" t="s">
        <v>237</v>
      </c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</row>
    <row r="50" spans="1:53" ht="15.75" x14ac:dyDescent="0.25">
      <c r="A50" s="66"/>
      <c r="B50" s="66" t="s">
        <v>238</v>
      </c>
      <c r="C50" s="66">
        <v>2020</v>
      </c>
      <c r="D50" s="66">
        <v>2021</v>
      </c>
      <c r="E50" s="66">
        <v>2022</v>
      </c>
      <c r="F50" s="66">
        <v>2023</v>
      </c>
      <c r="G50" s="66">
        <v>2024</v>
      </c>
      <c r="H50" s="66">
        <v>2025</v>
      </c>
      <c r="I50" s="66">
        <v>2026</v>
      </c>
      <c r="J50" s="66">
        <v>2027</v>
      </c>
      <c r="K50" s="66">
        <v>2028</v>
      </c>
      <c r="L50" s="66">
        <v>2029</v>
      </c>
      <c r="M50" s="66">
        <v>2030</v>
      </c>
      <c r="N50" s="66">
        <v>2031</v>
      </c>
      <c r="O50" s="66">
        <v>2032</v>
      </c>
      <c r="P50" s="66">
        <v>2033</v>
      </c>
      <c r="Q50" s="66">
        <v>2034</v>
      </c>
      <c r="R50" s="66">
        <v>2035</v>
      </c>
      <c r="S50" s="66">
        <v>2036</v>
      </c>
      <c r="T50" s="66">
        <v>2037</v>
      </c>
      <c r="U50" s="66">
        <v>2038</v>
      </c>
      <c r="V50" s="66">
        <v>2039</v>
      </c>
      <c r="W50" s="66">
        <v>2040</v>
      </c>
      <c r="X50" s="66">
        <v>2041</v>
      </c>
      <c r="Y50" s="66">
        <v>2042</v>
      </c>
      <c r="Z50" s="66">
        <v>2043</v>
      </c>
      <c r="AA50" s="66">
        <v>2044</v>
      </c>
      <c r="AB50" s="66">
        <v>2045</v>
      </c>
      <c r="AC50" s="66">
        <v>2046</v>
      </c>
      <c r="AD50" s="66">
        <v>2047</v>
      </c>
      <c r="AE50" s="66">
        <v>2048</v>
      </c>
      <c r="AF50" s="66">
        <v>2049</v>
      </c>
      <c r="AG50" s="66">
        <v>2050</v>
      </c>
      <c r="AH50" s="66">
        <v>2051</v>
      </c>
      <c r="AI50" s="66">
        <v>2052</v>
      </c>
      <c r="AJ50" s="66">
        <v>2053</v>
      </c>
      <c r="AK50" s="66">
        <v>2054</v>
      </c>
      <c r="AL50" s="66">
        <v>2055</v>
      </c>
      <c r="AM50" s="66">
        <v>2056</v>
      </c>
      <c r="AN50" s="66">
        <v>2057</v>
      </c>
      <c r="AO50" s="66">
        <v>2058</v>
      </c>
      <c r="AP50" s="66">
        <v>2059</v>
      </c>
      <c r="AQ50" s="66">
        <v>2060</v>
      </c>
      <c r="AR50" s="66">
        <v>2061</v>
      </c>
      <c r="AS50" s="66">
        <v>2062</v>
      </c>
      <c r="AT50" s="66">
        <v>2063</v>
      </c>
      <c r="AU50" s="66">
        <v>2064</v>
      </c>
      <c r="AV50" s="66">
        <v>2065</v>
      </c>
      <c r="AW50" s="66">
        <v>2066</v>
      </c>
      <c r="AX50" s="66">
        <v>2067</v>
      </c>
      <c r="AY50" s="66">
        <v>2068</v>
      </c>
      <c r="AZ50" s="66">
        <v>2069</v>
      </c>
      <c r="BA50" s="66">
        <v>2070</v>
      </c>
    </row>
    <row r="51" spans="1:53" ht="15.75" x14ac:dyDescent="0.25">
      <c r="A51" s="66" t="s">
        <v>239</v>
      </c>
      <c r="B51" s="66" t="s">
        <v>240</v>
      </c>
      <c r="C51" s="66">
        <v>7282.1416874353799</v>
      </c>
      <c r="D51" s="66">
        <v>7350.0019452482002</v>
      </c>
      <c r="E51" s="66">
        <v>7417.8622030610204</v>
      </c>
      <c r="F51" s="66">
        <v>7485.7224608738397</v>
      </c>
      <c r="G51" s="66">
        <v>7553.58271868666</v>
      </c>
      <c r="H51" s="66">
        <v>7621.4429764994802</v>
      </c>
      <c r="I51" s="66">
        <v>7849.9524195209297</v>
      </c>
      <c r="J51" s="66">
        <v>8078.46186254237</v>
      </c>
      <c r="K51" s="66">
        <v>8306.9713055638204</v>
      </c>
      <c r="L51" s="66">
        <v>8535.4807485852598</v>
      </c>
      <c r="M51" s="66">
        <v>8763.9901916067101</v>
      </c>
      <c r="N51" s="66">
        <v>8847.3832993936594</v>
      </c>
      <c r="O51" s="66">
        <v>8930.7764071805996</v>
      </c>
      <c r="P51" s="66">
        <v>9014.1695149675397</v>
      </c>
      <c r="Q51" s="66">
        <v>9097.5626227544908</v>
      </c>
      <c r="R51" s="66">
        <v>9180.9557305414291</v>
      </c>
      <c r="S51" s="66">
        <v>9222.1208253382392</v>
      </c>
      <c r="T51" s="66">
        <v>9263.2859201350402</v>
      </c>
      <c r="U51" s="66">
        <v>9304.4510149318503</v>
      </c>
      <c r="V51" s="66">
        <v>9345.6161097286495</v>
      </c>
      <c r="W51" s="66">
        <v>9386.7812045254595</v>
      </c>
      <c r="X51" s="66">
        <v>9369.1215439642492</v>
      </c>
      <c r="Y51" s="66">
        <v>9351.4618834030498</v>
      </c>
      <c r="Z51" s="66">
        <v>9333.8022228418395</v>
      </c>
      <c r="AA51" s="66">
        <v>9316.1425622806291</v>
      </c>
      <c r="AB51" s="66">
        <v>9298.4829017194297</v>
      </c>
      <c r="AC51" s="66">
        <v>9319.9003916430102</v>
      </c>
      <c r="AD51" s="66">
        <v>9341.3178815665997</v>
      </c>
      <c r="AE51" s="66">
        <v>9362.7353714901801</v>
      </c>
      <c r="AF51" s="66">
        <v>9384.1528614137696</v>
      </c>
      <c r="AG51" s="66">
        <v>9405.5703513373501</v>
      </c>
      <c r="AH51" s="66">
        <v>9452.4188033549399</v>
      </c>
      <c r="AI51" s="66">
        <v>9499.2672553725406</v>
      </c>
      <c r="AJ51" s="66">
        <v>9546.1157073901304</v>
      </c>
      <c r="AK51" s="66">
        <v>9592.9641594077293</v>
      </c>
      <c r="AL51" s="66">
        <v>9639.8126114253191</v>
      </c>
      <c r="AM51" s="66">
        <v>9681.9087710619006</v>
      </c>
      <c r="AN51" s="66">
        <v>9724.0049306984802</v>
      </c>
      <c r="AO51" s="66">
        <v>9766.1010903350598</v>
      </c>
      <c r="AP51" s="66">
        <v>9808.1972499716394</v>
      </c>
      <c r="AQ51" s="66">
        <v>9850.2934096082208</v>
      </c>
      <c r="AR51" s="66">
        <v>9850.2934096082208</v>
      </c>
      <c r="AS51" s="66">
        <v>9850.2934096082208</v>
      </c>
      <c r="AT51" s="66">
        <v>9850.2934096082208</v>
      </c>
      <c r="AU51" s="66">
        <v>9850.2934096082208</v>
      </c>
      <c r="AV51" s="66">
        <v>9850.2934096082208</v>
      </c>
      <c r="AW51" s="66">
        <v>9850.2934096082208</v>
      </c>
      <c r="AX51" s="66">
        <v>9850.2934096082208</v>
      </c>
      <c r="AY51" s="66">
        <v>9850.2934096082208</v>
      </c>
      <c r="AZ51" s="66">
        <v>9850.2934096082208</v>
      </c>
      <c r="BA51" s="66">
        <v>9850.2934096082208</v>
      </c>
    </row>
    <row r="52" spans="1:53" ht="15.75" x14ac:dyDescent="0.25">
      <c r="A52" s="66" t="s">
        <v>239</v>
      </c>
      <c r="B52" s="66" t="s">
        <v>241</v>
      </c>
      <c r="C52" s="66">
        <v>8136.7392927447199</v>
      </c>
      <c r="D52" s="66">
        <v>8129.89814642275</v>
      </c>
      <c r="E52" s="66">
        <v>8123.05700010079</v>
      </c>
      <c r="F52" s="66">
        <v>8116.21585377882</v>
      </c>
      <c r="G52" s="66">
        <v>8109.37470745685</v>
      </c>
      <c r="H52" s="66">
        <v>8102.5335611348901</v>
      </c>
      <c r="I52" s="66">
        <v>8172.67728868431</v>
      </c>
      <c r="J52" s="66">
        <v>8242.82101623374</v>
      </c>
      <c r="K52" s="66">
        <v>8312.9647437831609</v>
      </c>
      <c r="L52" s="66">
        <v>8383.1084713325799</v>
      </c>
      <c r="M52" s="66">
        <v>8453.2521988820099</v>
      </c>
      <c r="N52" s="66">
        <v>8557.9386804889291</v>
      </c>
      <c r="O52" s="66">
        <v>8662.6251620958501</v>
      </c>
      <c r="P52" s="66">
        <v>8767.3116437027693</v>
      </c>
      <c r="Q52" s="66">
        <v>8871.9981253096903</v>
      </c>
      <c r="R52" s="66">
        <v>8976.6846069166095</v>
      </c>
      <c r="S52" s="66">
        <v>9033.8403811891603</v>
      </c>
      <c r="T52" s="66">
        <v>9090.9961554617003</v>
      </c>
      <c r="U52" s="66">
        <v>9148.1519297342493</v>
      </c>
      <c r="V52" s="66">
        <v>9205.3077040067892</v>
      </c>
      <c r="W52" s="66">
        <v>9262.4634782793401</v>
      </c>
      <c r="X52" s="66">
        <v>9269.66684530575</v>
      </c>
      <c r="Y52" s="66">
        <v>9276.87021233216</v>
      </c>
      <c r="Z52" s="66">
        <v>9284.07357935857</v>
      </c>
      <c r="AA52" s="66">
        <v>9291.2769463849909</v>
      </c>
      <c r="AB52" s="66">
        <v>9298.4803134114009</v>
      </c>
      <c r="AC52" s="66">
        <v>9319.8974401309006</v>
      </c>
      <c r="AD52" s="66">
        <v>9341.3145668504094</v>
      </c>
      <c r="AE52" s="66">
        <v>9362.7316935699091</v>
      </c>
      <c r="AF52" s="66">
        <v>9384.1488202894197</v>
      </c>
      <c r="AG52" s="66">
        <v>9405.5659470089195</v>
      </c>
      <c r="AH52" s="66">
        <v>9452.4154481758997</v>
      </c>
      <c r="AI52" s="66">
        <v>9499.2649493428798</v>
      </c>
      <c r="AJ52" s="66">
        <v>9546.1144505098691</v>
      </c>
      <c r="AK52" s="66">
        <v>9592.9639516768493</v>
      </c>
      <c r="AL52" s="66">
        <v>9639.8134528438295</v>
      </c>
      <c r="AM52" s="66">
        <v>9681.9106629611397</v>
      </c>
      <c r="AN52" s="66">
        <v>9724.0078730784408</v>
      </c>
      <c r="AO52" s="66">
        <v>9766.1050831957491</v>
      </c>
      <c r="AP52" s="66">
        <v>9808.2022933130593</v>
      </c>
      <c r="AQ52" s="66">
        <v>9850.2995034303694</v>
      </c>
      <c r="AR52" s="66">
        <v>9850.2995034303694</v>
      </c>
      <c r="AS52" s="66">
        <v>9850.2995034303694</v>
      </c>
      <c r="AT52" s="66">
        <v>9850.2995034303694</v>
      </c>
      <c r="AU52" s="66">
        <v>9850.2995034303694</v>
      </c>
      <c r="AV52" s="66">
        <v>9850.2995034303694</v>
      </c>
      <c r="AW52" s="66">
        <v>9850.2995034303694</v>
      </c>
      <c r="AX52" s="66">
        <v>9850.2995034303694</v>
      </c>
      <c r="AY52" s="66">
        <v>9850.2995034303694</v>
      </c>
      <c r="AZ52" s="66">
        <v>9850.2995034303694</v>
      </c>
      <c r="BA52" s="66">
        <v>9850.2995034303694</v>
      </c>
    </row>
    <row r="53" spans="1:53" ht="15.75" x14ac:dyDescent="0.25">
      <c r="A53" s="66" t="s">
        <v>239</v>
      </c>
      <c r="B53" s="66" t="s">
        <v>242</v>
      </c>
      <c r="C53" s="66">
        <v>8719.9366767922602</v>
      </c>
      <c r="D53" s="66">
        <v>8710.9261931227702</v>
      </c>
      <c r="E53" s="66">
        <v>8701.9157094532693</v>
      </c>
      <c r="F53" s="66">
        <v>8692.9052257837793</v>
      </c>
      <c r="G53" s="66">
        <v>8683.8947421142802</v>
      </c>
      <c r="H53" s="66">
        <v>8674.8842584447793</v>
      </c>
      <c r="I53" s="66">
        <v>8710.6315544953795</v>
      </c>
      <c r="J53" s="66">
        <v>8746.3788505459797</v>
      </c>
      <c r="K53" s="66">
        <v>8782.1261465965799</v>
      </c>
      <c r="L53" s="66">
        <v>8817.8734426471801</v>
      </c>
      <c r="M53" s="66">
        <v>8853.6207386977803</v>
      </c>
      <c r="N53" s="66">
        <v>8903.4735663380998</v>
      </c>
      <c r="O53" s="66">
        <v>8953.3263939784301</v>
      </c>
      <c r="P53" s="66">
        <v>9003.1792216187605</v>
      </c>
      <c r="Q53" s="66">
        <v>9053.0320492590909</v>
      </c>
      <c r="R53" s="66">
        <v>9102.8848768994194</v>
      </c>
      <c r="S53" s="66">
        <v>9139.2060599065098</v>
      </c>
      <c r="T53" s="66">
        <v>9175.5272429136003</v>
      </c>
      <c r="U53" s="66">
        <v>9211.8484259206907</v>
      </c>
      <c r="V53" s="66">
        <v>9248.1696089277793</v>
      </c>
      <c r="W53" s="66">
        <v>9284.4907919348807</v>
      </c>
      <c r="X53" s="66">
        <v>9287.2933523149804</v>
      </c>
      <c r="Y53" s="66">
        <v>9290.0959126950893</v>
      </c>
      <c r="Z53" s="66">
        <v>9292.8984730751909</v>
      </c>
      <c r="AA53" s="66">
        <v>9295.7010334552997</v>
      </c>
      <c r="AB53" s="66">
        <v>9298.5035938353994</v>
      </c>
      <c r="AC53" s="66">
        <v>9319.9192845638208</v>
      </c>
      <c r="AD53" s="66">
        <v>9341.3349752922404</v>
      </c>
      <c r="AE53" s="66">
        <v>9362.7506660206509</v>
      </c>
      <c r="AF53" s="66">
        <v>9384.1663567490705</v>
      </c>
      <c r="AG53" s="66">
        <v>9405.5820474774901</v>
      </c>
      <c r="AH53" s="66">
        <v>9452.4314031117792</v>
      </c>
      <c r="AI53" s="66">
        <v>9499.2807587460793</v>
      </c>
      <c r="AJ53" s="66">
        <v>9546.1301143803703</v>
      </c>
      <c r="AK53" s="66">
        <v>9592.9794700146595</v>
      </c>
      <c r="AL53" s="66">
        <v>9639.8288256489595</v>
      </c>
      <c r="AM53" s="66">
        <v>9681.9269695596195</v>
      </c>
      <c r="AN53" s="66">
        <v>9724.0251134702703</v>
      </c>
      <c r="AO53" s="66">
        <v>9766.1232573809302</v>
      </c>
      <c r="AP53" s="66">
        <v>9808.2214012915792</v>
      </c>
      <c r="AQ53" s="66">
        <v>9850.3195452022392</v>
      </c>
      <c r="AR53" s="66">
        <v>9850.3195452022392</v>
      </c>
      <c r="AS53" s="66">
        <v>9850.3195452022392</v>
      </c>
      <c r="AT53" s="66">
        <v>9850.3195452022392</v>
      </c>
      <c r="AU53" s="66">
        <v>9850.3195452022392</v>
      </c>
      <c r="AV53" s="66">
        <v>9850.3195452022392</v>
      </c>
      <c r="AW53" s="66">
        <v>9850.3195452022392</v>
      </c>
      <c r="AX53" s="66">
        <v>9850.3195452022392</v>
      </c>
      <c r="AY53" s="66">
        <v>9850.3195452022392</v>
      </c>
      <c r="AZ53" s="66">
        <v>9850.3195452022392</v>
      </c>
      <c r="BA53" s="66">
        <v>9850.3195452022392</v>
      </c>
    </row>
    <row r="54" spans="1:53" ht="15.75" x14ac:dyDescent="0.25">
      <c r="A54" s="66" t="s">
        <v>239</v>
      </c>
      <c r="B54" s="66" t="s">
        <v>243</v>
      </c>
      <c r="C54" s="66">
        <v>47403.3425431941</v>
      </c>
      <c r="D54" s="66">
        <v>47370.819333551997</v>
      </c>
      <c r="E54" s="66">
        <v>47338.2961239098</v>
      </c>
      <c r="F54" s="66">
        <v>47305.772914267603</v>
      </c>
      <c r="G54" s="66">
        <v>47273.249704625399</v>
      </c>
      <c r="H54" s="66">
        <v>47240.726494983202</v>
      </c>
      <c r="I54" s="66">
        <v>47313.685103101299</v>
      </c>
      <c r="J54" s="66">
        <v>47386.643711219403</v>
      </c>
      <c r="K54" s="66">
        <v>47459.602319337399</v>
      </c>
      <c r="L54" s="66">
        <v>47532.560927455503</v>
      </c>
      <c r="M54" s="66">
        <v>47605.5195355736</v>
      </c>
      <c r="N54" s="66">
        <v>47813.840253793001</v>
      </c>
      <c r="O54" s="66">
        <v>48022.160972012498</v>
      </c>
      <c r="P54" s="66">
        <v>48230.4816902319</v>
      </c>
      <c r="Q54" s="66">
        <v>48438.802408451404</v>
      </c>
      <c r="R54" s="66">
        <v>48647.123126670798</v>
      </c>
      <c r="S54" s="66">
        <v>49000.982680654299</v>
      </c>
      <c r="T54" s="66">
        <v>49354.842234637799</v>
      </c>
      <c r="U54" s="66">
        <v>49708.7017886213</v>
      </c>
      <c r="V54" s="66">
        <v>50062.5613426048</v>
      </c>
      <c r="W54" s="66">
        <v>50416.420896588301</v>
      </c>
      <c r="X54" s="66">
        <v>50436.5317338143</v>
      </c>
      <c r="Y54" s="66">
        <v>50456.642571040204</v>
      </c>
      <c r="Z54" s="66">
        <v>50476.753408266202</v>
      </c>
      <c r="AA54" s="66">
        <v>50496.864245492099</v>
      </c>
      <c r="AB54" s="66">
        <v>50516.975082718098</v>
      </c>
      <c r="AC54" s="66">
        <v>50482.10912501</v>
      </c>
      <c r="AD54" s="66">
        <v>50447.243167301902</v>
      </c>
      <c r="AE54" s="66">
        <v>50412.377209593797</v>
      </c>
      <c r="AF54" s="66">
        <v>50377.5112518858</v>
      </c>
      <c r="AG54" s="66">
        <v>50342.645294177702</v>
      </c>
      <c r="AH54" s="66">
        <v>50354.0822247123</v>
      </c>
      <c r="AI54" s="66">
        <v>50365.519155246897</v>
      </c>
      <c r="AJ54" s="66">
        <v>50376.956085781399</v>
      </c>
      <c r="AK54" s="66">
        <v>50388.393016315997</v>
      </c>
      <c r="AL54" s="66">
        <v>50399.829946850601</v>
      </c>
      <c r="AM54" s="66">
        <v>50409.758310406403</v>
      </c>
      <c r="AN54" s="66">
        <v>50419.686673962198</v>
      </c>
      <c r="AO54" s="66">
        <v>50429.615037518</v>
      </c>
      <c r="AP54" s="66">
        <v>50439.543401073803</v>
      </c>
      <c r="AQ54" s="66">
        <v>50449.471764629598</v>
      </c>
      <c r="AR54" s="66">
        <v>50449.471764629598</v>
      </c>
      <c r="AS54" s="66">
        <v>50449.471764629598</v>
      </c>
      <c r="AT54" s="66">
        <v>50449.471764629598</v>
      </c>
      <c r="AU54" s="66">
        <v>50449.471764629598</v>
      </c>
      <c r="AV54" s="66">
        <v>50449.471764629598</v>
      </c>
      <c r="AW54" s="66">
        <v>50449.471764629598</v>
      </c>
      <c r="AX54" s="66">
        <v>50449.471764629598</v>
      </c>
      <c r="AY54" s="66">
        <v>50449.471764629598</v>
      </c>
      <c r="AZ54" s="66">
        <v>50449.471764629598</v>
      </c>
      <c r="BA54" s="66">
        <v>50449.471764629598</v>
      </c>
    </row>
    <row r="55" spans="1:53" ht="15.75" x14ac:dyDescent="0.25">
      <c r="A55" s="68" t="s">
        <v>229</v>
      </c>
      <c r="B55" s="66" t="s">
        <v>244</v>
      </c>
      <c r="C55" s="66">
        <v>46342.194513281</v>
      </c>
      <c r="D55" s="66">
        <v>46524.799897631303</v>
      </c>
      <c r="E55" s="66">
        <v>46707.405281981599</v>
      </c>
      <c r="F55" s="66">
        <v>46890.010666331997</v>
      </c>
      <c r="G55" s="66">
        <v>47072.6160506823</v>
      </c>
      <c r="H55" s="66">
        <v>47255.221435032698</v>
      </c>
      <c r="I55" s="66">
        <v>47488.017480245799</v>
      </c>
      <c r="J55" s="66">
        <v>47720.813525459002</v>
      </c>
      <c r="K55" s="66">
        <v>47953.609570672197</v>
      </c>
      <c r="L55" s="66">
        <v>48186.405615885298</v>
      </c>
      <c r="M55" s="66">
        <v>48419.201661098501</v>
      </c>
      <c r="N55" s="66">
        <v>48697.120556422902</v>
      </c>
      <c r="O55" s="66">
        <v>48975.039451747398</v>
      </c>
      <c r="P55" s="66">
        <v>49252.958347071799</v>
      </c>
      <c r="Q55" s="66">
        <v>49530.8772423962</v>
      </c>
      <c r="R55" s="66">
        <v>49808.796137720703</v>
      </c>
      <c r="S55" s="66">
        <v>50037.092172565797</v>
      </c>
      <c r="T55" s="66">
        <v>50265.388207411001</v>
      </c>
      <c r="U55" s="66">
        <v>50493.684242256102</v>
      </c>
      <c r="V55" s="66">
        <v>50721.980277101298</v>
      </c>
      <c r="W55" s="66">
        <v>50950.2763119464</v>
      </c>
      <c r="X55" s="66">
        <v>50863.640684938699</v>
      </c>
      <c r="Y55" s="66">
        <v>50777.005057930903</v>
      </c>
      <c r="Z55" s="66">
        <v>50690.3694309231</v>
      </c>
      <c r="AA55" s="66">
        <v>50603.733803915398</v>
      </c>
      <c r="AB55" s="66">
        <v>50517.098176907602</v>
      </c>
      <c r="AC55" s="66">
        <v>50482.235228493199</v>
      </c>
      <c r="AD55" s="66">
        <v>50447.3722800787</v>
      </c>
      <c r="AE55" s="66">
        <v>50412.509331664303</v>
      </c>
      <c r="AF55" s="66">
        <v>50377.646383249899</v>
      </c>
      <c r="AG55" s="66">
        <v>50342.783434835503</v>
      </c>
      <c r="AH55" s="66">
        <v>50354.217722337198</v>
      </c>
      <c r="AI55" s="66">
        <v>50365.652009838799</v>
      </c>
      <c r="AJ55" s="66">
        <v>50377.086297340502</v>
      </c>
      <c r="AK55" s="66">
        <v>50388.520584842197</v>
      </c>
      <c r="AL55" s="66">
        <v>50399.9548723439</v>
      </c>
      <c r="AM55" s="66">
        <v>50409.8910974135</v>
      </c>
      <c r="AN55" s="66">
        <v>50419.827322483201</v>
      </c>
      <c r="AO55" s="66">
        <v>50429.7635475528</v>
      </c>
      <c r="AP55" s="66">
        <v>50439.699772622502</v>
      </c>
      <c r="AQ55" s="66">
        <v>50449.635997692203</v>
      </c>
      <c r="AR55" s="66">
        <v>50449.635997692203</v>
      </c>
      <c r="AS55" s="66">
        <v>50449.635997692203</v>
      </c>
      <c r="AT55" s="66">
        <v>50449.635997692203</v>
      </c>
      <c r="AU55" s="66">
        <v>50449.635997692203</v>
      </c>
      <c r="AV55" s="66">
        <v>50449.635997692203</v>
      </c>
      <c r="AW55" s="66">
        <v>50449.635997692203</v>
      </c>
      <c r="AX55" s="66">
        <v>50449.635997692203</v>
      </c>
      <c r="AY55" s="66">
        <v>50449.635997692203</v>
      </c>
      <c r="AZ55" s="66">
        <v>50449.635997692203</v>
      </c>
      <c r="BA55" s="66">
        <v>50449.635997692203</v>
      </c>
    </row>
    <row r="56" spans="1:53" ht="15.75" x14ac:dyDescent="0.25">
      <c r="A56" s="68" t="s">
        <v>229</v>
      </c>
      <c r="B56" s="66" t="s">
        <v>245</v>
      </c>
      <c r="C56" s="66">
        <v>47278.1584279175</v>
      </c>
      <c r="D56" s="66">
        <v>47569.074100935803</v>
      </c>
      <c r="E56" s="66">
        <v>47859.989773954097</v>
      </c>
      <c r="F56" s="66">
        <v>48150.9054469724</v>
      </c>
      <c r="G56" s="66">
        <v>48441.821119990702</v>
      </c>
      <c r="H56" s="66">
        <v>48732.736793008997</v>
      </c>
      <c r="I56" s="66">
        <v>48956.526623976002</v>
      </c>
      <c r="J56" s="66">
        <v>49180.316454943102</v>
      </c>
      <c r="K56" s="66">
        <v>49404.1062859101</v>
      </c>
      <c r="L56" s="66">
        <v>49627.8961168772</v>
      </c>
      <c r="M56" s="66">
        <v>49851.685947844198</v>
      </c>
      <c r="N56" s="66">
        <v>49992.597794347399</v>
      </c>
      <c r="O56" s="66">
        <v>50133.5096408506</v>
      </c>
      <c r="P56" s="66">
        <v>50274.4214873538</v>
      </c>
      <c r="Q56" s="66">
        <v>50415.333333857001</v>
      </c>
      <c r="R56" s="66">
        <v>50556.245180360202</v>
      </c>
      <c r="S56" s="66">
        <v>50632.372515471499</v>
      </c>
      <c r="T56" s="66">
        <v>50708.499850582797</v>
      </c>
      <c r="U56" s="66">
        <v>50784.627185694102</v>
      </c>
      <c r="V56" s="66">
        <v>50860.7545208054</v>
      </c>
      <c r="W56" s="66">
        <v>50936.881855916698</v>
      </c>
      <c r="X56" s="66">
        <v>50852.920852365198</v>
      </c>
      <c r="Y56" s="66">
        <v>50768.959848813698</v>
      </c>
      <c r="Z56" s="66">
        <v>50684.9988452623</v>
      </c>
      <c r="AA56" s="66">
        <v>50601.0378417108</v>
      </c>
      <c r="AB56" s="66">
        <v>50517.076838159403</v>
      </c>
      <c r="AC56" s="66">
        <v>50482.206494930797</v>
      </c>
      <c r="AD56" s="66">
        <v>50447.3361517023</v>
      </c>
      <c r="AE56" s="66">
        <v>50412.465808473702</v>
      </c>
      <c r="AF56" s="66">
        <v>50377.595465245198</v>
      </c>
      <c r="AG56" s="66">
        <v>50342.725122016702</v>
      </c>
      <c r="AH56" s="66">
        <v>50354.162869706503</v>
      </c>
      <c r="AI56" s="66">
        <v>50365.600617396398</v>
      </c>
      <c r="AJ56" s="66">
        <v>50377.0383650863</v>
      </c>
      <c r="AK56" s="66">
        <v>50388.476112776101</v>
      </c>
      <c r="AL56" s="66">
        <v>50399.913860465997</v>
      </c>
      <c r="AM56" s="66">
        <v>50409.8556951274</v>
      </c>
      <c r="AN56" s="66">
        <v>50419.797529788797</v>
      </c>
      <c r="AO56" s="66">
        <v>50429.739364450201</v>
      </c>
      <c r="AP56" s="66">
        <v>50439.681199111699</v>
      </c>
      <c r="AQ56" s="66">
        <v>50449.623033773103</v>
      </c>
      <c r="AR56" s="66">
        <v>50449.623033773103</v>
      </c>
      <c r="AS56" s="66">
        <v>50449.623033773103</v>
      </c>
      <c r="AT56" s="66">
        <v>50449.623033773103</v>
      </c>
      <c r="AU56" s="66">
        <v>50449.623033773103</v>
      </c>
      <c r="AV56" s="66">
        <v>50449.623033773103</v>
      </c>
      <c r="AW56" s="66">
        <v>50449.623033773103</v>
      </c>
      <c r="AX56" s="66">
        <v>50449.623033773103</v>
      </c>
      <c r="AY56" s="66">
        <v>50449.623033773103</v>
      </c>
      <c r="AZ56" s="66">
        <v>50449.623033773103</v>
      </c>
      <c r="BA56" s="66">
        <v>50449.623033773103</v>
      </c>
    </row>
    <row r="57" spans="1:53" ht="15.75" x14ac:dyDescent="0.25">
      <c r="A57" s="68" t="s">
        <v>226</v>
      </c>
      <c r="B57" s="66" t="s">
        <v>246</v>
      </c>
      <c r="C57" s="66">
        <v>16553.996349754801</v>
      </c>
      <c r="D57" s="66">
        <v>16490.0208218193</v>
      </c>
      <c r="E57" s="66">
        <v>16426.045293883901</v>
      </c>
      <c r="F57" s="66">
        <v>16362.069765948399</v>
      </c>
      <c r="G57" s="66">
        <v>16298.094238013</v>
      </c>
      <c r="H57" s="66">
        <v>16234.118710077601</v>
      </c>
      <c r="I57" s="66">
        <v>16231.1416573607</v>
      </c>
      <c r="J57" s="66">
        <v>16228.1646046439</v>
      </c>
      <c r="K57" s="66">
        <v>16225.187551927</v>
      </c>
      <c r="L57" s="66">
        <v>16222.210499210199</v>
      </c>
      <c r="M57" s="66">
        <v>16219.233446493399</v>
      </c>
      <c r="N57" s="66">
        <v>16279.774472630001</v>
      </c>
      <c r="O57" s="66">
        <v>16340.3154987665</v>
      </c>
      <c r="P57" s="66">
        <v>16400.856524903102</v>
      </c>
      <c r="Q57" s="66">
        <v>16461.397551039699</v>
      </c>
      <c r="R57" s="66">
        <v>16521.938577176301</v>
      </c>
      <c r="S57" s="66">
        <v>16649.0811900755</v>
      </c>
      <c r="T57" s="66">
        <v>16776.223802974699</v>
      </c>
      <c r="U57" s="66">
        <v>16903.366415873901</v>
      </c>
      <c r="V57" s="66">
        <v>17030.5090287731</v>
      </c>
      <c r="W57" s="66">
        <v>17157.651641672299</v>
      </c>
      <c r="X57" s="66">
        <v>17212.593460200598</v>
      </c>
      <c r="Y57" s="66">
        <v>17267.535278728799</v>
      </c>
      <c r="Z57" s="66">
        <v>17322.477097257099</v>
      </c>
      <c r="AA57" s="66">
        <v>17377.418915785402</v>
      </c>
      <c r="AB57" s="66">
        <v>17432.360734313701</v>
      </c>
      <c r="AC57" s="66">
        <v>17419.187550922499</v>
      </c>
      <c r="AD57" s="66">
        <v>17406.014367531399</v>
      </c>
      <c r="AE57" s="66">
        <v>17392.841184140299</v>
      </c>
      <c r="AF57" s="66">
        <v>17379.668000749101</v>
      </c>
      <c r="AG57" s="66">
        <v>17366.494817358001</v>
      </c>
      <c r="AH57" s="66">
        <v>17369.148701652699</v>
      </c>
      <c r="AI57" s="66">
        <v>17371.8025859474</v>
      </c>
      <c r="AJ57" s="66">
        <v>17374.456470242101</v>
      </c>
      <c r="AK57" s="66">
        <v>17377.110354536799</v>
      </c>
      <c r="AL57" s="66">
        <v>17379.7642388315</v>
      </c>
      <c r="AM57" s="66">
        <v>17382.863465345799</v>
      </c>
      <c r="AN57" s="66">
        <v>17385.962691860099</v>
      </c>
      <c r="AO57" s="66">
        <v>17389.061918374398</v>
      </c>
      <c r="AP57" s="66">
        <v>17392.161144888702</v>
      </c>
      <c r="AQ57" s="66">
        <v>17395.260371403001</v>
      </c>
      <c r="AR57" s="66">
        <v>17395.260371403001</v>
      </c>
      <c r="AS57" s="66">
        <v>17395.260371403001</v>
      </c>
      <c r="AT57" s="66">
        <v>17395.260371403001</v>
      </c>
      <c r="AU57" s="66">
        <v>17395.260371403001</v>
      </c>
      <c r="AV57" s="66">
        <v>17395.260371403001</v>
      </c>
      <c r="AW57" s="66">
        <v>17395.260371403001</v>
      </c>
      <c r="AX57" s="66">
        <v>17395.260371403001</v>
      </c>
      <c r="AY57" s="66">
        <v>17395.260371403001</v>
      </c>
      <c r="AZ57" s="66">
        <v>17395.260371403001</v>
      </c>
      <c r="BA57" s="66">
        <v>17395.260371403001</v>
      </c>
    </row>
    <row r="58" spans="1:53" ht="15.75" x14ac:dyDescent="0.25">
      <c r="A58" s="68" t="s">
        <v>228</v>
      </c>
      <c r="B58" s="66" t="s">
        <v>247</v>
      </c>
      <c r="C58" s="66">
        <v>16570.754794578301</v>
      </c>
      <c r="D58" s="66">
        <v>16622.4153990339</v>
      </c>
      <c r="E58" s="66">
        <v>16674.076003489401</v>
      </c>
      <c r="F58" s="66">
        <v>16725.736607945</v>
      </c>
      <c r="G58" s="66">
        <v>16777.3972124006</v>
      </c>
      <c r="H58" s="66">
        <v>16829.057816856101</v>
      </c>
      <c r="I58" s="66">
        <v>16868.7637990484</v>
      </c>
      <c r="J58" s="66">
        <v>16908.469781240699</v>
      </c>
      <c r="K58" s="66">
        <v>16948.175763432999</v>
      </c>
      <c r="L58" s="66">
        <v>16987.881745625298</v>
      </c>
      <c r="M58" s="66">
        <v>17027.587727817601</v>
      </c>
      <c r="N58" s="66">
        <v>17080.179941132999</v>
      </c>
      <c r="O58" s="66">
        <v>17132.772154448401</v>
      </c>
      <c r="P58" s="66">
        <v>17185.364367763799</v>
      </c>
      <c r="Q58" s="66">
        <v>17237.956581079201</v>
      </c>
      <c r="R58" s="66">
        <v>17290.548794394599</v>
      </c>
      <c r="S58" s="66">
        <v>17338.470504758399</v>
      </c>
      <c r="T58" s="66">
        <v>17386.3922151222</v>
      </c>
      <c r="U58" s="66">
        <v>17434.313925485902</v>
      </c>
      <c r="V58" s="66">
        <v>17482.235635849702</v>
      </c>
      <c r="W58" s="66">
        <v>17530.1573462134</v>
      </c>
      <c r="X58" s="66">
        <v>17510.593600268901</v>
      </c>
      <c r="Y58" s="66">
        <v>17491.029854324301</v>
      </c>
      <c r="Z58" s="66">
        <v>17471.466108379798</v>
      </c>
      <c r="AA58" s="66">
        <v>17451.902362435201</v>
      </c>
      <c r="AB58" s="66">
        <v>17432.338616490601</v>
      </c>
      <c r="AC58" s="66">
        <v>17419.1652077334</v>
      </c>
      <c r="AD58" s="66">
        <v>17405.9917989762</v>
      </c>
      <c r="AE58" s="66">
        <v>17392.818390218999</v>
      </c>
      <c r="AF58" s="66">
        <v>17379.644981461701</v>
      </c>
      <c r="AG58" s="66">
        <v>17366.4715727045</v>
      </c>
      <c r="AH58" s="66">
        <v>17369.1280221659</v>
      </c>
      <c r="AI58" s="66">
        <v>17371.784471627299</v>
      </c>
      <c r="AJ58" s="66">
        <v>17374.440921088699</v>
      </c>
      <c r="AK58" s="66">
        <v>17377.097370550098</v>
      </c>
      <c r="AL58" s="66">
        <v>17379.753820011501</v>
      </c>
      <c r="AM58" s="66">
        <v>17382.852288731701</v>
      </c>
      <c r="AN58" s="66">
        <v>17385.950757451799</v>
      </c>
      <c r="AO58" s="66">
        <v>17389.049226171999</v>
      </c>
      <c r="AP58" s="66">
        <v>17392.147694892101</v>
      </c>
      <c r="AQ58" s="66">
        <v>17395.246163612301</v>
      </c>
      <c r="AR58" s="66">
        <v>17395.246163612301</v>
      </c>
      <c r="AS58" s="66">
        <v>17395.246163612301</v>
      </c>
      <c r="AT58" s="66">
        <v>17395.246163612301</v>
      </c>
      <c r="AU58" s="66">
        <v>17395.246163612301</v>
      </c>
      <c r="AV58" s="66">
        <v>17395.246163612301</v>
      </c>
      <c r="AW58" s="66">
        <v>17395.246163612301</v>
      </c>
      <c r="AX58" s="66">
        <v>17395.246163612301</v>
      </c>
      <c r="AY58" s="66">
        <v>17395.246163612301</v>
      </c>
      <c r="AZ58" s="66">
        <v>17395.246163612301</v>
      </c>
      <c r="BA58" s="66">
        <v>17395.246163612301</v>
      </c>
    </row>
    <row r="59" spans="1:53" ht="15.75" x14ac:dyDescent="0.25">
      <c r="A59" s="68" t="s">
        <v>228</v>
      </c>
      <c r="B59" s="66" t="s">
        <v>248</v>
      </c>
      <c r="C59" s="66">
        <v>16704.542098382299</v>
      </c>
      <c r="D59" s="66">
        <v>16744.325322286499</v>
      </c>
      <c r="E59" s="66">
        <v>16784.108546190699</v>
      </c>
      <c r="F59" s="66">
        <v>16823.8917700948</v>
      </c>
      <c r="G59" s="66">
        <v>16863.674993999</v>
      </c>
      <c r="H59" s="66">
        <v>16903.458217903099</v>
      </c>
      <c r="I59" s="66">
        <v>16930.0178621267</v>
      </c>
      <c r="J59" s="66">
        <v>16956.577506350299</v>
      </c>
      <c r="K59" s="66">
        <v>16983.137150573799</v>
      </c>
      <c r="L59" s="66">
        <v>17009.696794797401</v>
      </c>
      <c r="M59" s="66">
        <v>17036.256439020999</v>
      </c>
      <c r="N59" s="66">
        <v>17092.802504269799</v>
      </c>
      <c r="O59" s="66">
        <v>17149.348569518501</v>
      </c>
      <c r="P59" s="66">
        <v>17205.894634767301</v>
      </c>
      <c r="Q59" s="66">
        <v>17262.440700016101</v>
      </c>
      <c r="R59" s="66">
        <v>17318.986765264901</v>
      </c>
      <c r="S59" s="66">
        <v>17364.257959149501</v>
      </c>
      <c r="T59" s="66">
        <v>17409.529153034098</v>
      </c>
      <c r="U59" s="66">
        <v>17454.800346918801</v>
      </c>
      <c r="V59" s="66">
        <v>17500.071540803401</v>
      </c>
      <c r="W59" s="66">
        <v>17545.342734688002</v>
      </c>
      <c r="X59" s="66">
        <v>17522.7431531449</v>
      </c>
      <c r="Y59" s="66">
        <v>17500.143571601799</v>
      </c>
      <c r="Z59" s="66">
        <v>17477.543990058701</v>
      </c>
      <c r="AA59" s="66">
        <v>17454.944408515501</v>
      </c>
      <c r="AB59" s="66">
        <v>17432.344826972399</v>
      </c>
      <c r="AC59" s="66">
        <v>17419.170605622599</v>
      </c>
      <c r="AD59" s="66">
        <v>17405.996384272799</v>
      </c>
      <c r="AE59" s="66">
        <v>17392.822162922999</v>
      </c>
      <c r="AF59" s="66">
        <v>17379.647941573199</v>
      </c>
      <c r="AG59" s="66">
        <v>17366.473720223399</v>
      </c>
      <c r="AH59" s="66">
        <v>17369.1279193954</v>
      </c>
      <c r="AI59" s="66">
        <v>17371.7821185674</v>
      </c>
      <c r="AJ59" s="66">
        <v>17374.436317739401</v>
      </c>
      <c r="AK59" s="66">
        <v>17377.090516911499</v>
      </c>
      <c r="AL59" s="66">
        <v>17379.7447160835</v>
      </c>
      <c r="AM59" s="66">
        <v>17382.842621448199</v>
      </c>
      <c r="AN59" s="66">
        <v>17385.940526812999</v>
      </c>
      <c r="AO59" s="66">
        <v>17389.038432177698</v>
      </c>
      <c r="AP59" s="66">
        <v>17392.136337542499</v>
      </c>
      <c r="AQ59" s="66">
        <v>17395.234242907201</v>
      </c>
      <c r="AR59" s="66">
        <v>17395.234242907201</v>
      </c>
      <c r="AS59" s="66">
        <v>17395.234242907201</v>
      </c>
      <c r="AT59" s="66">
        <v>17395.234242907201</v>
      </c>
      <c r="AU59" s="66">
        <v>17395.234242907201</v>
      </c>
      <c r="AV59" s="66">
        <v>17395.234242907201</v>
      </c>
      <c r="AW59" s="66">
        <v>17395.234242907201</v>
      </c>
      <c r="AX59" s="66">
        <v>17395.234242907201</v>
      </c>
      <c r="AY59" s="66">
        <v>17395.234242907201</v>
      </c>
      <c r="AZ59" s="66">
        <v>17395.234242907201</v>
      </c>
      <c r="BA59" s="66">
        <v>17395.234242907201</v>
      </c>
    </row>
    <row r="60" spans="1:53" ht="15.75" x14ac:dyDescent="0.25">
      <c r="A60" s="68" t="s">
        <v>226</v>
      </c>
      <c r="B60" s="66" t="s">
        <v>249</v>
      </c>
      <c r="C60" s="66">
        <v>48680.059179703101</v>
      </c>
      <c r="D60" s="66">
        <v>48531.565439054502</v>
      </c>
      <c r="E60" s="66">
        <v>48383.071698405802</v>
      </c>
      <c r="F60" s="66">
        <v>48234.577957757203</v>
      </c>
      <c r="G60" s="66">
        <v>48086.084217108597</v>
      </c>
      <c r="H60" s="66">
        <v>47937.590476459998</v>
      </c>
      <c r="I60" s="66">
        <v>47927.115820955602</v>
      </c>
      <c r="J60" s="66">
        <v>47916.641165451198</v>
      </c>
      <c r="K60" s="66">
        <v>47906.166509946699</v>
      </c>
      <c r="L60" s="66">
        <v>47895.691854442302</v>
      </c>
      <c r="M60" s="66">
        <v>47885.217198937899</v>
      </c>
      <c r="N60" s="66">
        <v>47968.700590354703</v>
      </c>
      <c r="O60" s="66">
        <v>48052.183981771501</v>
      </c>
      <c r="P60" s="66">
        <v>48135.667373188298</v>
      </c>
      <c r="Q60" s="66">
        <v>48219.150764605103</v>
      </c>
      <c r="R60" s="66">
        <v>48302.634156021901</v>
      </c>
      <c r="S60" s="66">
        <v>48572.493863907002</v>
      </c>
      <c r="T60" s="66">
        <v>48842.353571792097</v>
      </c>
      <c r="U60" s="66">
        <v>49112.213279677198</v>
      </c>
      <c r="V60" s="66">
        <v>49382.0729875623</v>
      </c>
      <c r="W60" s="66">
        <v>49651.932695447402</v>
      </c>
      <c r="X60" s="66">
        <v>49714.262858998103</v>
      </c>
      <c r="Y60" s="66">
        <v>49776.593022548797</v>
      </c>
      <c r="Z60" s="66">
        <v>49838.923186099499</v>
      </c>
      <c r="AA60" s="66">
        <v>49901.2533496502</v>
      </c>
      <c r="AB60" s="66">
        <v>49963.583513200902</v>
      </c>
      <c r="AC60" s="66">
        <v>49892.910659401299</v>
      </c>
      <c r="AD60" s="66">
        <v>49822.237805601799</v>
      </c>
      <c r="AE60" s="66">
        <v>49751.564951802298</v>
      </c>
      <c r="AF60" s="66">
        <v>49680.892098002798</v>
      </c>
      <c r="AG60" s="66">
        <v>49610.219244203297</v>
      </c>
      <c r="AH60" s="66">
        <v>49619.684017236097</v>
      </c>
      <c r="AI60" s="66">
        <v>49629.148790268999</v>
      </c>
      <c r="AJ60" s="66">
        <v>49638.6135633019</v>
      </c>
      <c r="AK60" s="66">
        <v>49648.078336334802</v>
      </c>
      <c r="AL60" s="66">
        <v>49657.543109367602</v>
      </c>
      <c r="AM60" s="66">
        <v>49669.802400022898</v>
      </c>
      <c r="AN60" s="66">
        <v>49682.061690678202</v>
      </c>
      <c r="AO60" s="66">
        <v>49694.3209813336</v>
      </c>
      <c r="AP60" s="66">
        <v>49706.580271988903</v>
      </c>
      <c r="AQ60" s="66">
        <v>49718.8395626442</v>
      </c>
      <c r="AR60" s="66">
        <v>49718.8395626442</v>
      </c>
      <c r="AS60" s="66">
        <v>49718.8395626442</v>
      </c>
      <c r="AT60" s="66">
        <v>49718.8395626442</v>
      </c>
      <c r="AU60" s="66">
        <v>49718.8395626442</v>
      </c>
      <c r="AV60" s="66">
        <v>49718.8395626442</v>
      </c>
      <c r="AW60" s="66">
        <v>49718.8395626442</v>
      </c>
      <c r="AX60" s="66">
        <v>49718.8395626442</v>
      </c>
      <c r="AY60" s="66">
        <v>49718.8395626442</v>
      </c>
      <c r="AZ60" s="66">
        <v>49718.8395626442</v>
      </c>
      <c r="BA60" s="66">
        <v>49718.8395626442</v>
      </c>
    </row>
    <row r="61" spans="1:53" ht="15.75" x14ac:dyDescent="0.25">
      <c r="A61" s="68" t="s">
        <v>227</v>
      </c>
      <c r="B61" s="66" t="s">
        <v>250</v>
      </c>
      <c r="C61" s="66">
        <v>48928.255233450298</v>
      </c>
      <c r="D61" s="66">
        <v>48905.9512639452</v>
      </c>
      <c r="E61" s="66">
        <v>48883.647294440001</v>
      </c>
      <c r="F61" s="66">
        <v>48861.343324934896</v>
      </c>
      <c r="G61" s="66">
        <v>48839.039355429697</v>
      </c>
      <c r="H61" s="66">
        <v>48816.7353859246</v>
      </c>
      <c r="I61" s="66">
        <v>48853.189681665601</v>
      </c>
      <c r="J61" s="66">
        <v>48889.643977406697</v>
      </c>
      <c r="K61" s="66">
        <v>48926.098273147698</v>
      </c>
      <c r="L61" s="66">
        <v>48962.552568888801</v>
      </c>
      <c r="M61" s="66">
        <v>48999.006864629802</v>
      </c>
      <c r="N61" s="66">
        <v>49142.051968313703</v>
      </c>
      <c r="O61" s="66">
        <v>49285.097071997698</v>
      </c>
      <c r="P61" s="66">
        <v>49428.142175681598</v>
      </c>
      <c r="Q61" s="66">
        <v>49571.187279365498</v>
      </c>
      <c r="R61" s="66">
        <v>49714.232383049399</v>
      </c>
      <c r="S61" s="66">
        <v>49870.381640020802</v>
      </c>
      <c r="T61" s="66">
        <v>50026.530896992299</v>
      </c>
      <c r="U61" s="66">
        <v>50182.680153963702</v>
      </c>
      <c r="V61" s="66">
        <v>50338.829410935097</v>
      </c>
      <c r="W61" s="66">
        <v>50494.9786679065</v>
      </c>
      <c r="X61" s="66">
        <v>50388.725495065999</v>
      </c>
      <c r="Y61" s="66">
        <v>50282.472322225498</v>
      </c>
      <c r="Z61" s="66">
        <v>50176.219149384902</v>
      </c>
      <c r="AA61" s="66">
        <v>50069.965976544401</v>
      </c>
      <c r="AB61" s="66">
        <v>49963.712803703798</v>
      </c>
      <c r="AC61" s="66">
        <v>49893.036372125403</v>
      </c>
      <c r="AD61" s="66">
        <v>49822.359940547001</v>
      </c>
      <c r="AE61" s="66">
        <v>49751.683508968599</v>
      </c>
      <c r="AF61" s="66">
        <v>49681.007077390197</v>
      </c>
      <c r="AG61" s="66">
        <v>49610.3306458117</v>
      </c>
      <c r="AH61" s="66">
        <v>49619.803571141398</v>
      </c>
      <c r="AI61" s="66">
        <v>49629.276496471102</v>
      </c>
      <c r="AJ61" s="66">
        <v>49638.7494218008</v>
      </c>
      <c r="AK61" s="66">
        <v>49648.222347130497</v>
      </c>
      <c r="AL61" s="66">
        <v>49657.695272460202</v>
      </c>
      <c r="AM61" s="66">
        <v>49669.9530566182</v>
      </c>
      <c r="AN61" s="66">
        <v>49682.210840776199</v>
      </c>
      <c r="AO61" s="66">
        <v>49694.468624934198</v>
      </c>
      <c r="AP61" s="66">
        <v>49706.726409092298</v>
      </c>
      <c r="AQ61" s="66">
        <v>49718.984193250297</v>
      </c>
      <c r="AR61" s="66">
        <v>49718.984193250297</v>
      </c>
      <c r="AS61" s="66">
        <v>49718.984193250297</v>
      </c>
      <c r="AT61" s="66">
        <v>49718.984193250297</v>
      </c>
      <c r="AU61" s="66">
        <v>49718.984193250297</v>
      </c>
      <c r="AV61" s="66">
        <v>49718.984193250297</v>
      </c>
      <c r="AW61" s="66">
        <v>49718.984193250297</v>
      </c>
      <c r="AX61" s="66">
        <v>49718.984193250297</v>
      </c>
      <c r="AY61" s="66">
        <v>49718.984193250297</v>
      </c>
      <c r="AZ61" s="66">
        <v>49718.984193250297</v>
      </c>
      <c r="BA61" s="66">
        <v>49718.984193250297</v>
      </c>
    </row>
    <row r="62" spans="1:53" ht="15.75" x14ac:dyDescent="0.25">
      <c r="A62" s="68" t="s">
        <v>227</v>
      </c>
      <c r="B62" s="66" t="s">
        <v>251</v>
      </c>
      <c r="C62" s="66">
        <v>41840.8040271758</v>
      </c>
      <c r="D62" s="66">
        <v>40833.384495642596</v>
      </c>
      <c r="E62" s="66">
        <v>39825.964964109298</v>
      </c>
      <c r="F62" s="66">
        <v>38818.545432576102</v>
      </c>
      <c r="G62" s="66">
        <v>37811.125901042898</v>
      </c>
      <c r="H62" s="66">
        <v>36803.7063695096</v>
      </c>
      <c r="I62" s="66">
        <v>35882.5363325976</v>
      </c>
      <c r="J62" s="66">
        <v>34961.366295685497</v>
      </c>
      <c r="K62" s="66">
        <v>34040.196258773401</v>
      </c>
      <c r="L62" s="66">
        <v>33119.026221861401</v>
      </c>
      <c r="M62" s="66">
        <v>32197.856184949302</v>
      </c>
      <c r="N62" s="66">
        <v>31358.835275197402</v>
      </c>
      <c r="O62" s="66">
        <v>30519.814365445502</v>
      </c>
      <c r="P62" s="66">
        <v>29680.793455693602</v>
      </c>
      <c r="Q62" s="66">
        <v>28841.772545941702</v>
      </c>
      <c r="R62" s="66">
        <v>28002.751636189802</v>
      </c>
      <c r="S62" s="66">
        <v>28002.751636189802</v>
      </c>
      <c r="T62" s="66">
        <v>28002.751636189802</v>
      </c>
      <c r="U62" s="66">
        <v>28002.751636189802</v>
      </c>
      <c r="V62" s="66">
        <v>28002.751636189802</v>
      </c>
      <c r="W62" s="66">
        <v>28002.751636189802</v>
      </c>
      <c r="X62" s="66">
        <v>28002.751636189802</v>
      </c>
      <c r="Y62" s="66">
        <v>28002.751636189802</v>
      </c>
      <c r="Z62" s="66">
        <v>28002.751636189802</v>
      </c>
      <c r="AA62" s="66">
        <v>28002.751636189802</v>
      </c>
      <c r="AB62" s="66">
        <v>28002.751636189802</v>
      </c>
      <c r="AC62" s="66">
        <v>28002.751636189802</v>
      </c>
      <c r="AD62" s="66">
        <v>28002.751636189802</v>
      </c>
      <c r="AE62" s="66">
        <v>28002.751636189802</v>
      </c>
      <c r="AF62" s="66">
        <v>28002.751636189802</v>
      </c>
      <c r="AG62" s="66">
        <v>28002.751636189802</v>
      </c>
      <c r="AH62" s="66">
        <v>28002.751636189802</v>
      </c>
      <c r="AI62" s="66">
        <v>28002.751636189802</v>
      </c>
      <c r="AJ62" s="66">
        <v>28002.751636189802</v>
      </c>
      <c r="AK62" s="66">
        <v>28002.751636189802</v>
      </c>
      <c r="AL62" s="66">
        <v>28002.751636189802</v>
      </c>
      <c r="AM62" s="66">
        <v>28002.751636189802</v>
      </c>
      <c r="AN62" s="66">
        <v>28002.751636189802</v>
      </c>
      <c r="AO62" s="66">
        <v>28002.751636189802</v>
      </c>
      <c r="AP62" s="66">
        <v>28002.751636189802</v>
      </c>
      <c r="AQ62" s="66">
        <v>28002.751636189802</v>
      </c>
      <c r="AR62" s="66">
        <v>28002.751636189802</v>
      </c>
      <c r="AS62" s="66">
        <v>28002.751636189802</v>
      </c>
      <c r="AT62" s="66">
        <v>28002.751636189802</v>
      </c>
      <c r="AU62" s="66">
        <v>28002.751636189802</v>
      </c>
      <c r="AV62" s="66">
        <v>28002.751636189802</v>
      </c>
      <c r="AW62" s="66">
        <v>28002.751636189802</v>
      </c>
      <c r="AX62" s="66">
        <v>28002.751636189802</v>
      </c>
      <c r="AY62" s="66">
        <v>28002.751636189802</v>
      </c>
      <c r="AZ62" s="66">
        <v>28002.751636189802</v>
      </c>
      <c r="BA62" s="66">
        <v>28002.751636189802</v>
      </c>
    </row>
    <row r="63" spans="1:53" ht="15.75" x14ac:dyDescent="0.25">
      <c r="A63" s="66" t="s">
        <v>239</v>
      </c>
      <c r="B63" s="66" t="s">
        <v>252</v>
      </c>
      <c r="C63" s="66">
        <v>50685.4623430063</v>
      </c>
      <c r="D63" s="66">
        <v>50583.8805170345</v>
      </c>
      <c r="E63" s="66">
        <v>50482.298691062599</v>
      </c>
      <c r="F63" s="66">
        <v>50380.716865090799</v>
      </c>
      <c r="G63" s="66">
        <v>50279.135039118897</v>
      </c>
      <c r="H63" s="66">
        <v>50177.553213147097</v>
      </c>
      <c r="I63" s="66">
        <v>50126.056446811002</v>
      </c>
      <c r="J63" s="66">
        <v>50074.559680475002</v>
      </c>
      <c r="K63" s="66">
        <v>50023.0629141389</v>
      </c>
      <c r="L63" s="66">
        <v>49971.566147802798</v>
      </c>
      <c r="M63" s="66">
        <v>49920.069381466797</v>
      </c>
      <c r="N63" s="66">
        <v>49971.697861011198</v>
      </c>
      <c r="O63" s="66">
        <v>50023.326340555599</v>
      </c>
      <c r="P63" s="66">
        <v>50074.954820099898</v>
      </c>
      <c r="Q63" s="66">
        <v>50126.583299644299</v>
      </c>
      <c r="R63" s="66">
        <v>50178.211779188699</v>
      </c>
      <c r="S63" s="66">
        <v>50243.600408327002</v>
      </c>
      <c r="T63" s="66">
        <v>50308.989037465297</v>
      </c>
      <c r="U63" s="66">
        <v>50374.377666603599</v>
      </c>
      <c r="V63" s="66">
        <v>50439.7662957418</v>
      </c>
      <c r="W63" s="66">
        <v>50505.154924880102</v>
      </c>
      <c r="X63" s="66">
        <v>50396.860215410503</v>
      </c>
      <c r="Y63" s="66">
        <v>50288.565505940802</v>
      </c>
      <c r="Z63" s="66">
        <v>50180.270796471203</v>
      </c>
      <c r="AA63" s="66">
        <v>50071.976087001603</v>
      </c>
      <c r="AB63" s="66">
        <v>49963.681377531902</v>
      </c>
      <c r="AC63" s="66">
        <v>49893.016098539498</v>
      </c>
      <c r="AD63" s="66">
        <v>49822.350819546999</v>
      </c>
      <c r="AE63" s="66">
        <v>49751.685540554499</v>
      </c>
      <c r="AF63" s="66">
        <v>49681.020261562102</v>
      </c>
      <c r="AG63" s="66">
        <v>49610.354982569603</v>
      </c>
      <c r="AH63" s="66">
        <v>49619.818479635702</v>
      </c>
      <c r="AI63" s="66">
        <v>49629.281976701699</v>
      </c>
      <c r="AJ63" s="66">
        <v>49638.745473767798</v>
      </c>
      <c r="AK63" s="66">
        <v>49648.208970833897</v>
      </c>
      <c r="AL63" s="66">
        <v>49657.672467899902</v>
      </c>
      <c r="AM63" s="66">
        <v>49669.930950411203</v>
      </c>
      <c r="AN63" s="66">
        <v>49682.189432922401</v>
      </c>
      <c r="AO63" s="66">
        <v>49694.447915433702</v>
      </c>
      <c r="AP63" s="66">
        <v>49706.706397945003</v>
      </c>
      <c r="AQ63" s="66">
        <v>49718.964880456202</v>
      </c>
      <c r="AR63" s="66">
        <v>49718.964880456202</v>
      </c>
      <c r="AS63" s="66">
        <v>49718.964880456202</v>
      </c>
      <c r="AT63" s="66">
        <v>49718.964880456202</v>
      </c>
      <c r="AU63" s="66">
        <v>49718.964880456202</v>
      </c>
      <c r="AV63" s="66">
        <v>49718.964880456202</v>
      </c>
      <c r="AW63" s="66">
        <v>49718.964880456202</v>
      </c>
      <c r="AX63" s="66">
        <v>49718.964880456202</v>
      </c>
      <c r="AY63" s="66">
        <v>49718.964880456202</v>
      </c>
      <c r="AZ63" s="66">
        <v>49718.964880456202</v>
      </c>
      <c r="BA63" s="66">
        <v>49718.964880456202</v>
      </c>
    </row>
    <row r="64" spans="1:53" ht="15.75" x14ac:dyDescent="0.25">
      <c r="A64" s="66" t="s">
        <v>253</v>
      </c>
      <c r="B64" s="66" t="s">
        <v>254</v>
      </c>
      <c r="C64" s="66">
        <v>18168.339556343199</v>
      </c>
      <c r="D64" s="66">
        <v>18087.779843213699</v>
      </c>
      <c r="E64" s="66">
        <v>18007.220130084301</v>
      </c>
      <c r="F64" s="66">
        <v>17926.660416954801</v>
      </c>
      <c r="G64" s="66">
        <v>17846.100703825399</v>
      </c>
      <c r="H64" s="66">
        <v>17765.540990695899</v>
      </c>
      <c r="I64" s="66">
        <v>17855.717347129601</v>
      </c>
      <c r="J64" s="66">
        <v>17945.893703563201</v>
      </c>
      <c r="K64" s="66">
        <v>18036.0700599968</v>
      </c>
      <c r="L64" s="66">
        <v>18126.246416430498</v>
      </c>
      <c r="M64" s="66">
        <v>18216.422772864102</v>
      </c>
      <c r="N64" s="66">
        <v>18333.793370800799</v>
      </c>
      <c r="O64" s="66">
        <v>18451.163968737499</v>
      </c>
      <c r="P64" s="66">
        <v>18568.534566674101</v>
      </c>
      <c r="Q64" s="66">
        <v>18685.905164610798</v>
      </c>
      <c r="R64" s="66">
        <v>18803.275762547499</v>
      </c>
      <c r="S64" s="66">
        <v>18989.4734114286</v>
      </c>
      <c r="T64" s="66">
        <v>19175.671060309702</v>
      </c>
      <c r="U64" s="66">
        <v>19361.8687091908</v>
      </c>
      <c r="V64" s="66">
        <v>19548.066358071999</v>
      </c>
      <c r="W64" s="66">
        <v>19734.264006953101</v>
      </c>
      <c r="X64" s="66">
        <v>19821.558269623201</v>
      </c>
      <c r="Y64" s="66">
        <v>19908.852532293298</v>
      </c>
      <c r="Z64" s="66">
        <v>19996.146794963501</v>
      </c>
      <c r="AA64" s="66">
        <v>20083.441057633601</v>
      </c>
      <c r="AB64" s="66">
        <v>20170.735320303698</v>
      </c>
      <c r="AC64" s="66">
        <v>20216.8878974441</v>
      </c>
      <c r="AD64" s="66">
        <v>20263.040474584599</v>
      </c>
      <c r="AE64" s="66">
        <v>20309.193051725</v>
      </c>
      <c r="AF64" s="66">
        <v>20355.345628865402</v>
      </c>
      <c r="AG64" s="66">
        <v>20401.498206005799</v>
      </c>
      <c r="AH64" s="66">
        <v>20465.361529331502</v>
      </c>
      <c r="AI64" s="66">
        <v>20529.2248526572</v>
      </c>
      <c r="AJ64" s="66">
        <v>20593.088175982801</v>
      </c>
      <c r="AK64" s="66">
        <v>20656.951499308499</v>
      </c>
      <c r="AL64" s="66">
        <v>20720.814822634198</v>
      </c>
      <c r="AM64" s="66">
        <v>20782.652656748</v>
      </c>
      <c r="AN64" s="66">
        <v>20844.490490861801</v>
      </c>
      <c r="AO64" s="66">
        <v>20906.328324975599</v>
      </c>
      <c r="AP64" s="66">
        <v>20968.166159089302</v>
      </c>
      <c r="AQ64" s="66">
        <v>21030.0039932031</v>
      </c>
      <c r="AR64" s="66">
        <v>21030.0039932031</v>
      </c>
      <c r="AS64" s="66">
        <v>21030.0039932031</v>
      </c>
      <c r="AT64" s="66">
        <v>21030.0039932031</v>
      </c>
      <c r="AU64" s="66">
        <v>21030.0039932031</v>
      </c>
      <c r="AV64" s="66">
        <v>21030.0039932031</v>
      </c>
      <c r="AW64" s="66">
        <v>21030.0039932031</v>
      </c>
      <c r="AX64" s="66">
        <v>21030.0039932031</v>
      </c>
      <c r="AY64" s="66">
        <v>21030.0039932031</v>
      </c>
      <c r="AZ64" s="66">
        <v>21030.0039932031</v>
      </c>
      <c r="BA64" s="66">
        <v>21030.0039932031</v>
      </c>
    </row>
    <row r="65" spans="1:53" ht="15.75" x14ac:dyDescent="0.25">
      <c r="A65" s="66" t="s">
        <v>253</v>
      </c>
      <c r="B65" s="66" t="s">
        <v>255</v>
      </c>
      <c r="C65" s="66">
        <v>20917.827201155302</v>
      </c>
      <c r="D65" s="66">
        <v>20769.874522766298</v>
      </c>
      <c r="E65" s="66">
        <v>20621.921844377201</v>
      </c>
      <c r="F65" s="66">
        <v>20473.969165988099</v>
      </c>
      <c r="G65" s="66">
        <v>20326.016487599099</v>
      </c>
      <c r="H65" s="66">
        <v>20178.063809210002</v>
      </c>
      <c r="I65" s="66">
        <v>20110.102201513899</v>
      </c>
      <c r="J65" s="66">
        <v>20042.1405938178</v>
      </c>
      <c r="K65" s="66">
        <v>19974.178986121799</v>
      </c>
      <c r="L65" s="66">
        <v>19906.217378425699</v>
      </c>
      <c r="M65" s="66">
        <v>19838.2557707296</v>
      </c>
      <c r="N65" s="66">
        <v>19789.940504021601</v>
      </c>
      <c r="O65" s="66">
        <v>19741.625237313499</v>
      </c>
      <c r="P65" s="66">
        <v>19693.3099706055</v>
      </c>
      <c r="Q65" s="66">
        <v>19644.994703897399</v>
      </c>
      <c r="R65" s="66">
        <v>19596.679437189301</v>
      </c>
      <c r="S65" s="66">
        <v>19630.934993729701</v>
      </c>
      <c r="T65" s="66">
        <v>19665.190550270101</v>
      </c>
      <c r="U65" s="66">
        <v>19699.446106810399</v>
      </c>
      <c r="V65" s="66">
        <v>19733.701663350799</v>
      </c>
      <c r="W65" s="66">
        <v>19767.957219891101</v>
      </c>
      <c r="X65" s="66">
        <v>19842.261503890299</v>
      </c>
      <c r="Y65" s="66">
        <v>19916.5657878895</v>
      </c>
      <c r="Z65" s="66">
        <v>19990.870071888599</v>
      </c>
      <c r="AA65" s="66">
        <v>20065.174355887801</v>
      </c>
      <c r="AB65" s="66">
        <v>20139.478639886998</v>
      </c>
      <c r="AC65" s="66">
        <v>20205.411162817101</v>
      </c>
      <c r="AD65" s="66">
        <v>20271.343685747201</v>
      </c>
      <c r="AE65" s="66">
        <v>20337.2762086773</v>
      </c>
      <c r="AF65" s="66">
        <v>20403.208731607399</v>
      </c>
      <c r="AG65" s="66">
        <v>20469.141254537499</v>
      </c>
      <c r="AH65" s="66">
        <v>20531.942875398301</v>
      </c>
      <c r="AI65" s="66">
        <v>20594.744496259002</v>
      </c>
      <c r="AJ65" s="66">
        <v>20657.546117119698</v>
      </c>
      <c r="AK65" s="66">
        <v>20720.347737980501</v>
      </c>
      <c r="AL65" s="66">
        <v>20783.149358841201</v>
      </c>
      <c r="AM65" s="66">
        <v>20840.506481954799</v>
      </c>
      <c r="AN65" s="66">
        <v>20897.863605068502</v>
      </c>
      <c r="AO65" s="66">
        <v>20955.220728182099</v>
      </c>
      <c r="AP65" s="66">
        <v>21012.577851295799</v>
      </c>
      <c r="AQ65" s="66">
        <v>21069.9349744094</v>
      </c>
      <c r="AR65" s="66">
        <v>21069.9349744094</v>
      </c>
      <c r="AS65" s="66">
        <v>21069.9349744094</v>
      </c>
      <c r="AT65" s="66">
        <v>21069.9349744094</v>
      </c>
      <c r="AU65" s="66">
        <v>21069.9349744094</v>
      </c>
      <c r="AV65" s="66">
        <v>21069.9349744094</v>
      </c>
      <c r="AW65" s="66">
        <v>21069.9349744094</v>
      </c>
      <c r="AX65" s="66">
        <v>21069.9349744094</v>
      </c>
      <c r="AY65" s="66">
        <v>21069.9349744094</v>
      </c>
      <c r="AZ65" s="66">
        <v>21069.9349744094</v>
      </c>
      <c r="BA65" s="66">
        <v>21069.9349744094</v>
      </c>
    </row>
    <row r="66" spans="1:53" ht="15.75" x14ac:dyDescent="0.25">
      <c r="A66" s="66" t="s">
        <v>253</v>
      </c>
      <c r="B66" s="66" t="s">
        <v>256</v>
      </c>
      <c r="C66" s="66">
        <v>19711.017562032201</v>
      </c>
      <c r="D66" s="66">
        <v>19686.4424373316</v>
      </c>
      <c r="E66" s="66">
        <v>19661.867312630999</v>
      </c>
      <c r="F66" s="66">
        <v>19637.292187930401</v>
      </c>
      <c r="G66" s="66">
        <v>19612.7170632298</v>
      </c>
      <c r="H66" s="66">
        <v>19588.141938529199</v>
      </c>
      <c r="I66" s="66">
        <v>19605.874300359101</v>
      </c>
      <c r="J66" s="66">
        <v>19623.6066621891</v>
      </c>
      <c r="K66" s="66">
        <v>19641.339024018998</v>
      </c>
      <c r="L66" s="66">
        <v>19659.071385849002</v>
      </c>
      <c r="M66" s="66">
        <v>19676.8037476789</v>
      </c>
      <c r="N66" s="66">
        <v>19666.568665689101</v>
      </c>
      <c r="O66" s="66">
        <v>19656.333583699299</v>
      </c>
      <c r="P66" s="66">
        <v>19646.098501709501</v>
      </c>
      <c r="Q66" s="66">
        <v>19635.863419719699</v>
      </c>
      <c r="R66" s="66">
        <v>19625.628337729901</v>
      </c>
      <c r="S66" s="66">
        <v>19664.817091797599</v>
      </c>
      <c r="T66" s="66">
        <v>19704.0058458653</v>
      </c>
      <c r="U66" s="66">
        <v>19743.194599932998</v>
      </c>
      <c r="V66" s="66">
        <v>19782.3833540007</v>
      </c>
      <c r="W66" s="66">
        <v>19821.572108068402</v>
      </c>
      <c r="X66" s="66">
        <v>19877.844543290899</v>
      </c>
      <c r="Y66" s="66">
        <v>19934.116978513401</v>
      </c>
      <c r="Z66" s="66">
        <v>19990.389413735898</v>
      </c>
      <c r="AA66" s="66">
        <v>20046.6618489584</v>
      </c>
      <c r="AB66" s="66">
        <v>20102.934284180901</v>
      </c>
      <c r="AC66" s="66">
        <v>20177.648909189898</v>
      </c>
      <c r="AD66" s="66">
        <v>20252.363534198899</v>
      </c>
      <c r="AE66" s="66">
        <v>20327.0781592079</v>
      </c>
      <c r="AF66" s="66">
        <v>20401.792784216999</v>
      </c>
      <c r="AG66" s="66">
        <v>20476.507409226</v>
      </c>
      <c r="AH66" s="66">
        <v>20541.9653622769</v>
      </c>
      <c r="AI66" s="66">
        <v>20607.4233153278</v>
      </c>
      <c r="AJ66" s="66">
        <v>20672.8812683787</v>
      </c>
      <c r="AK66" s="66">
        <v>20738.3392214296</v>
      </c>
      <c r="AL66" s="66">
        <v>20803.7971744805</v>
      </c>
      <c r="AM66" s="66">
        <v>20861.918369165</v>
      </c>
      <c r="AN66" s="66">
        <v>20920.039563849499</v>
      </c>
      <c r="AO66" s="66">
        <v>20978.160758533999</v>
      </c>
      <c r="AP66" s="66">
        <v>21036.281953218499</v>
      </c>
      <c r="AQ66" s="66">
        <v>21094.403147903002</v>
      </c>
      <c r="AR66" s="66">
        <v>21094.403147903002</v>
      </c>
      <c r="AS66" s="66">
        <v>21094.403147903002</v>
      </c>
      <c r="AT66" s="66">
        <v>21094.403147903002</v>
      </c>
      <c r="AU66" s="66">
        <v>21094.403147903002</v>
      </c>
      <c r="AV66" s="66">
        <v>21094.403147903002</v>
      </c>
      <c r="AW66" s="66">
        <v>21094.403147903002</v>
      </c>
      <c r="AX66" s="66">
        <v>21094.403147903002</v>
      </c>
      <c r="AY66" s="66">
        <v>21094.403147903002</v>
      </c>
      <c r="AZ66" s="66">
        <v>21094.403147903002</v>
      </c>
      <c r="BA66" s="66">
        <v>21094.403147903002</v>
      </c>
    </row>
    <row r="67" spans="1:53" ht="15.75" x14ac:dyDescent="0.25">
      <c r="A67" s="66" t="s">
        <v>253</v>
      </c>
      <c r="B67" s="66" t="s">
        <v>257</v>
      </c>
      <c r="C67" s="66">
        <v>4020.7458490282002</v>
      </c>
      <c r="D67" s="66">
        <v>4009.3755094142798</v>
      </c>
      <c r="E67" s="66">
        <v>3998.0051698003599</v>
      </c>
      <c r="F67" s="66">
        <v>3986.63483018643</v>
      </c>
      <c r="G67" s="66">
        <v>3975.2644905725101</v>
      </c>
      <c r="H67" s="66">
        <v>3963.8941509585902</v>
      </c>
      <c r="I67" s="66">
        <v>3956.4469152118099</v>
      </c>
      <c r="J67" s="66">
        <v>3948.9996794650301</v>
      </c>
      <c r="K67" s="66">
        <v>3941.5524437182598</v>
      </c>
      <c r="L67" s="66">
        <v>3934.10520797148</v>
      </c>
      <c r="M67" s="66">
        <v>3926.6579722247002</v>
      </c>
      <c r="N67" s="66">
        <v>3906.55227623563</v>
      </c>
      <c r="O67" s="66">
        <v>3886.4465802465602</v>
      </c>
      <c r="P67" s="66">
        <v>3866.34088425748</v>
      </c>
      <c r="Q67" s="66">
        <v>3846.2351882684102</v>
      </c>
      <c r="R67" s="66">
        <v>3826.12949227934</v>
      </c>
      <c r="S67" s="66">
        <v>3806.4515496110998</v>
      </c>
      <c r="T67" s="66">
        <v>3786.7736069428702</v>
      </c>
      <c r="U67" s="66">
        <v>3767.0956642746401</v>
      </c>
      <c r="V67" s="66">
        <v>3747.4177216064099</v>
      </c>
      <c r="W67" s="66">
        <v>3727.7397789381698</v>
      </c>
      <c r="X67" s="66">
        <v>3710.80597965675</v>
      </c>
      <c r="Y67" s="66">
        <v>3693.8721803753201</v>
      </c>
      <c r="Z67" s="66">
        <v>3676.9383810938998</v>
      </c>
      <c r="AA67" s="66">
        <v>3660.00458181247</v>
      </c>
      <c r="AB67" s="66">
        <v>3643.0707825310501</v>
      </c>
      <c r="AC67" s="66">
        <v>3634.6787038867601</v>
      </c>
      <c r="AD67" s="66">
        <v>3626.2866252424601</v>
      </c>
      <c r="AE67" s="66">
        <v>3617.8945465981701</v>
      </c>
      <c r="AF67" s="66">
        <v>3609.5024679538801</v>
      </c>
      <c r="AG67" s="66">
        <v>3601.1103893095801</v>
      </c>
      <c r="AH67" s="66">
        <v>3596.2500154659301</v>
      </c>
      <c r="AI67" s="66">
        <v>3591.3896416222801</v>
      </c>
      <c r="AJ67" s="66">
        <v>3586.5292677786301</v>
      </c>
      <c r="AK67" s="66">
        <v>3581.6688939349801</v>
      </c>
      <c r="AL67" s="66">
        <v>3576.8085200913301</v>
      </c>
      <c r="AM67" s="66">
        <v>3571.9814206059</v>
      </c>
      <c r="AN67" s="66">
        <v>3567.1543211204698</v>
      </c>
      <c r="AO67" s="66">
        <v>3562.3272216350401</v>
      </c>
      <c r="AP67" s="66">
        <v>3557.50012214961</v>
      </c>
      <c r="AQ67" s="66">
        <v>3552.6730226641798</v>
      </c>
      <c r="AR67" s="66">
        <v>3552.6730226641798</v>
      </c>
      <c r="AS67" s="66">
        <v>3552.6730226641798</v>
      </c>
      <c r="AT67" s="66">
        <v>3552.6730226641798</v>
      </c>
      <c r="AU67" s="66">
        <v>3552.6730226641798</v>
      </c>
      <c r="AV67" s="66">
        <v>3552.6730226641798</v>
      </c>
      <c r="AW67" s="66">
        <v>3552.6730226641798</v>
      </c>
      <c r="AX67" s="66">
        <v>3552.6730226641798</v>
      </c>
      <c r="AY67" s="66">
        <v>3552.6730226641798</v>
      </c>
      <c r="AZ67" s="66">
        <v>3552.6730226641798</v>
      </c>
      <c r="BA67" s="66">
        <v>3552.6730226641798</v>
      </c>
    </row>
    <row r="68" spans="1:53" ht="15.75" x14ac:dyDescent="0.25">
      <c r="A68" s="66" t="s">
        <v>253</v>
      </c>
      <c r="B68" s="66" t="s">
        <v>258</v>
      </c>
      <c r="C68" s="66">
        <v>17973.6624094611</v>
      </c>
      <c r="D68" s="66">
        <v>17954.289625518501</v>
      </c>
      <c r="E68" s="66">
        <v>17934.916841576</v>
      </c>
      <c r="F68" s="66">
        <v>17915.544057633499</v>
      </c>
      <c r="G68" s="66">
        <v>17896.171273690899</v>
      </c>
      <c r="H68" s="66">
        <v>17876.798489748398</v>
      </c>
      <c r="I68" s="66">
        <v>17935.451709955902</v>
      </c>
      <c r="J68" s="66">
        <v>17994.104930163299</v>
      </c>
      <c r="K68" s="66">
        <v>18052.758150370799</v>
      </c>
      <c r="L68" s="66">
        <v>18111.4113705782</v>
      </c>
      <c r="M68" s="66">
        <v>18170.0645907857</v>
      </c>
      <c r="N68" s="66">
        <v>18231.495605779499</v>
      </c>
      <c r="O68" s="66">
        <v>18292.926620773302</v>
      </c>
      <c r="P68" s="66">
        <v>18354.357635767199</v>
      </c>
      <c r="Q68" s="66">
        <v>18415.788650760998</v>
      </c>
      <c r="R68" s="66">
        <v>18477.219665754801</v>
      </c>
      <c r="S68" s="66">
        <v>18557.101117931001</v>
      </c>
      <c r="T68" s="66">
        <v>18636.9825701072</v>
      </c>
      <c r="U68" s="66">
        <v>18716.864022283498</v>
      </c>
      <c r="V68" s="66">
        <v>18796.745474459702</v>
      </c>
      <c r="W68" s="66">
        <v>18876.626926635901</v>
      </c>
      <c r="X68" s="66">
        <v>18925.201737731099</v>
      </c>
      <c r="Y68" s="66">
        <v>18973.776548826299</v>
      </c>
      <c r="Z68" s="66">
        <v>19022.351359921598</v>
      </c>
      <c r="AA68" s="66">
        <v>19070.926171016799</v>
      </c>
      <c r="AB68" s="66">
        <v>19119.500982112098</v>
      </c>
      <c r="AC68" s="66">
        <v>19157.192925413699</v>
      </c>
      <c r="AD68" s="66">
        <v>19194.884868715399</v>
      </c>
      <c r="AE68" s="66">
        <v>19232.576812017</v>
      </c>
      <c r="AF68" s="66">
        <v>19270.268755318699</v>
      </c>
      <c r="AG68" s="66">
        <v>19307.9606986203</v>
      </c>
      <c r="AH68" s="66">
        <v>19346.846818670299</v>
      </c>
      <c r="AI68" s="66">
        <v>19385.732938720299</v>
      </c>
      <c r="AJ68" s="66">
        <v>19424.619058770299</v>
      </c>
      <c r="AK68" s="66">
        <v>19463.505178820302</v>
      </c>
      <c r="AL68" s="66">
        <v>19502.391298870301</v>
      </c>
      <c r="AM68" s="66">
        <v>19541.963390087101</v>
      </c>
      <c r="AN68" s="66">
        <v>19581.535481303999</v>
      </c>
      <c r="AO68" s="66">
        <v>19621.107572520901</v>
      </c>
      <c r="AP68" s="66">
        <v>19660.679663737701</v>
      </c>
      <c r="AQ68" s="66">
        <v>19700.251754954599</v>
      </c>
      <c r="AR68" s="66">
        <v>19700.251754954599</v>
      </c>
      <c r="AS68" s="66">
        <v>19700.251754954599</v>
      </c>
      <c r="AT68" s="66">
        <v>19700.251754954599</v>
      </c>
      <c r="AU68" s="66">
        <v>19700.251754954599</v>
      </c>
      <c r="AV68" s="66">
        <v>19700.251754954599</v>
      </c>
      <c r="AW68" s="66">
        <v>19700.251754954599</v>
      </c>
      <c r="AX68" s="66">
        <v>19700.251754954599</v>
      </c>
      <c r="AY68" s="66">
        <v>19700.251754954599</v>
      </c>
      <c r="AZ68" s="66">
        <v>19700.251754954599</v>
      </c>
      <c r="BA68" s="66">
        <v>19700.251754954599</v>
      </c>
    </row>
    <row r="69" spans="1:53" ht="15.75" x14ac:dyDescent="0.25">
      <c r="A69" s="66" t="s">
        <v>253</v>
      </c>
      <c r="B69" s="66" t="s">
        <v>259</v>
      </c>
      <c r="C69" s="66">
        <v>17469.851457130699</v>
      </c>
      <c r="D69" s="66">
        <v>17675.241642131401</v>
      </c>
      <c r="E69" s="66">
        <v>17880.6318271321</v>
      </c>
      <c r="F69" s="66">
        <v>18086.022012132798</v>
      </c>
      <c r="G69" s="66">
        <v>18291.412197133501</v>
      </c>
      <c r="H69" s="66">
        <v>18496.802382134199</v>
      </c>
      <c r="I69" s="66">
        <v>18718.869345213701</v>
      </c>
      <c r="J69" s="66">
        <v>18940.936308293301</v>
      </c>
      <c r="K69" s="66">
        <v>19163.003271372902</v>
      </c>
      <c r="L69" s="66">
        <v>19385.070234452502</v>
      </c>
      <c r="M69" s="66">
        <v>19607.137197532102</v>
      </c>
      <c r="N69" s="66">
        <v>19703.901797418999</v>
      </c>
      <c r="O69" s="66">
        <v>19800.666397305999</v>
      </c>
      <c r="P69" s="66">
        <v>19897.4309971929</v>
      </c>
      <c r="Q69" s="66">
        <v>19994.195597079801</v>
      </c>
      <c r="R69" s="66">
        <v>20090.9601969668</v>
      </c>
      <c r="S69" s="66">
        <v>20130.9816244496</v>
      </c>
      <c r="T69" s="66">
        <v>20171.003051932501</v>
      </c>
      <c r="U69" s="66">
        <v>20211.024479415399</v>
      </c>
      <c r="V69" s="66">
        <v>20251.0459068983</v>
      </c>
      <c r="W69" s="66">
        <v>20291.067334381201</v>
      </c>
      <c r="X69" s="66">
        <v>20285.970104992699</v>
      </c>
      <c r="Y69" s="66">
        <v>20280.8728756042</v>
      </c>
      <c r="Z69" s="66">
        <v>20275.775646215701</v>
      </c>
      <c r="AA69" s="66">
        <v>20270.678416827199</v>
      </c>
      <c r="AB69" s="66">
        <v>20265.5811874387</v>
      </c>
      <c r="AC69" s="66">
        <v>20297.143188716102</v>
      </c>
      <c r="AD69" s="66">
        <v>20328.705189993601</v>
      </c>
      <c r="AE69" s="66">
        <v>20360.267191270999</v>
      </c>
      <c r="AF69" s="66">
        <v>20391.829192548401</v>
      </c>
      <c r="AG69" s="66">
        <v>20423.391193825901</v>
      </c>
      <c r="AH69" s="66">
        <v>20485.4421145704</v>
      </c>
      <c r="AI69" s="66">
        <v>20547.493035314899</v>
      </c>
      <c r="AJ69" s="66">
        <v>20609.543956059399</v>
      </c>
      <c r="AK69" s="66">
        <v>20671.594876804</v>
      </c>
      <c r="AL69" s="66">
        <v>20733.645797548499</v>
      </c>
      <c r="AM69" s="66">
        <v>20794.9371745811</v>
      </c>
      <c r="AN69" s="66">
        <v>20856.228551613702</v>
      </c>
      <c r="AO69" s="66">
        <v>20917.519928646299</v>
      </c>
      <c r="AP69" s="66">
        <v>20978.811305678799</v>
      </c>
      <c r="AQ69" s="66">
        <v>21040.1026827114</v>
      </c>
      <c r="AR69" s="66">
        <v>21040.1026827114</v>
      </c>
      <c r="AS69" s="66">
        <v>21040.1026827114</v>
      </c>
      <c r="AT69" s="66">
        <v>21040.1026827114</v>
      </c>
      <c r="AU69" s="66">
        <v>21040.1026827114</v>
      </c>
      <c r="AV69" s="66">
        <v>21040.1026827114</v>
      </c>
      <c r="AW69" s="66">
        <v>21040.1026827114</v>
      </c>
      <c r="AX69" s="66">
        <v>21040.1026827114</v>
      </c>
      <c r="AY69" s="66">
        <v>21040.1026827114</v>
      </c>
      <c r="AZ69" s="66">
        <v>21040.1026827114</v>
      </c>
      <c r="BA69" s="66">
        <v>21040.1026827114</v>
      </c>
    </row>
    <row r="70" spans="1:53" ht="15.75" x14ac:dyDescent="0.25">
      <c r="A70" s="66" t="s">
        <v>253</v>
      </c>
      <c r="B70" s="66" t="s">
        <v>260</v>
      </c>
      <c r="C70" s="66">
        <v>8881.8420615397299</v>
      </c>
      <c r="D70" s="66">
        <v>7546.38357193908</v>
      </c>
      <c r="E70" s="66">
        <v>6210.92508233843</v>
      </c>
      <c r="F70" s="66">
        <v>4875.46659273778</v>
      </c>
      <c r="G70" s="66">
        <v>3540.0081031371301</v>
      </c>
      <c r="H70" s="66">
        <v>2204.5496135364801</v>
      </c>
      <c r="I70" s="66">
        <v>2204.5496135364801</v>
      </c>
      <c r="J70" s="66">
        <v>2204.5496135364801</v>
      </c>
      <c r="K70" s="66">
        <v>2204.5496135364801</v>
      </c>
      <c r="L70" s="66">
        <v>2204.5496135364801</v>
      </c>
      <c r="M70" s="66">
        <v>2204.5496135364801</v>
      </c>
      <c r="N70" s="66">
        <v>2204.5496135364801</v>
      </c>
      <c r="O70" s="66">
        <v>2204.5496135364801</v>
      </c>
      <c r="P70" s="66">
        <v>2204.5496135364801</v>
      </c>
      <c r="Q70" s="66">
        <v>2204.5496135364801</v>
      </c>
      <c r="R70" s="66">
        <v>2204.5496135364801</v>
      </c>
      <c r="S70" s="66">
        <v>2204.5496135364801</v>
      </c>
      <c r="T70" s="66">
        <v>2204.5496135364801</v>
      </c>
      <c r="U70" s="66">
        <v>2204.5496135364801</v>
      </c>
      <c r="V70" s="66">
        <v>2204.5496135364801</v>
      </c>
      <c r="W70" s="66">
        <v>2204.5496135364801</v>
      </c>
      <c r="X70" s="66">
        <v>2204.5496135364801</v>
      </c>
      <c r="Y70" s="66">
        <v>2204.5496135364801</v>
      </c>
      <c r="Z70" s="66">
        <v>2204.5496135364801</v>
      </c>
      <c r="AA70" s="66">
        <v>2204.5496135364801</v>
      </c>
      <c r="AB70" s="66">
        <v>2204.5496135364801</v>
      </c>
      <c r="AC70" s="66">
        <v>2204.5496135364801</v>
      </c>
      <c r="AD70" s="66">
        <v>2204.5496135364801</v>
      </c>
      <c r="AE70" s="66">
        <v>2204.5496135364801</v>
      </c>
      <c r="AF70" s="66">
        <v>2204.5496135364801</v>
      </c>
      <c r="AG70" s="66">
        <v>2204.5496135364801</v>
      </c>
      <c r="AH70" s="66">
        <v>2204.5496135364801</v>
      </c>
      <c r="AI70" s="66">
        <v>2204.5496135364801</v>
      </c>
      <c r="AJ70" s="66">
        <v>2204.5496135364801</v>
      </c>
      <c r="AK70" s="66">
        <v>2204.5496135364801</v>
      </c>
      <c r="AL70" s="66">
        <v>2204.5496135364801</v>
      </c>
      <c r="AM70" s="66">
        <v>2204.5496135364801</v>
      </c>
      <c r="AN70" s="66">
        <v>2204.5496135364801</v>
      </c>
      <c r="AO70" s="66">
        <v>2204.5496135364801</v>
      </c>
      <c r="AP70" s="66">
        <v>2204.5496135364801</v>
      </c>
      <c r="AQ70" s="66">
        <v>2204.5496135364801</v>
      </c>
      <c r="AR70" s="66">
        <v>2204.5496135364801</v>
      </c>
      <c r="AS70" s="66">
        <v>2204.5496135364801</v>
      </c>
      <c r="AT70" s="66">
        <v>2204.5496135364801</v>
      </c>
      <c r="AU70" s="66">
        <v>2204.5496135364801</v>
      </c>
      <c r="AV70" s="66">
        <v>2204.5496135364801</v>
      </c>
      <c r="AW70" s="66">
        <v>2204.5496135364801</v>
      </c>
      <c r="AX70" s="66">
        <v>2204.5496135364801</v>
      </c>
      <c r="AY70" s="66">
        <v>2204.5496135364801</v>
      </c>
      <c r="AZ70" s="66">
        <v>2204.5496135364801</v>
      </c>
      <c r="BA70" s="66">
        <v>2204.5496135364801</v>
      </c>
    </row>
    <row r="71" spans="1:53" ht="15.75" x14ac:dyDescent="0.25">
      <c r="A71" s="66" t="s">
        <v>253</v>
      </c>
      <c r="B71" s="66" t="s">
        <v>261</v>
      </c>
      <c r="C71" s="66">
        <v>9806.50378464393</v>
      </c>
      <c r="D71" s="66">
        <v>9655.4741716267999</v>
      </c>
      <c r="E71" s="66">
        <v>9504.4445586096808</v>
      </c>
      <c r="F71" s="66">
        <v>9353.4149455925508</v>
      </c>
      <c r="G71" s="66">
        <v>9202.3853325754208</v>
      </c>
      <c r="H71" s="66">
        <v>9051.3557195582907</v>
      </c>
      <c r="I71" s="66">
        <v>9051.3557195582907</v>
      </c>
      <c r="J71" s="66">
        <v>9051.3557195582907</v>
      </c>
      <c r="K71" s="66">
        <v>9051.3557195582907</v>
      </c>
      <c r="L71" s="66">
        <v>9051.3557195582907</v>
      </c>
      <c r="M71" s="66">
        <v>9051.3557195582907</v>
      </c>
      <c r="N71" s="66">
        <v>9051.3557195582907</v>
      </c>
      <c r="O71" s="66">
        <v>9051.3557195582907</v>
      </c>
      <c r="P71" s="66">
        <v>9051.3557195582907</v>
      </c>
      <c r="Q71" s="66">
        <v>9051.3557195582907</v>
      </c>
      <c r="R71" s="66">
        <v>9051.3557195582907</v>
      </c>
      <c r="S71" s="66">
        <v>9051.3557195582907</v>
      </c>
      <c r="T71" s="66">
        <v>9051.3557195582907</v>
      </c>
      <c r="U71" s="66">
        <v>9051.3557195582907</v>
      </c>
      <c r="V71" s="66">
        <v>9051.3557195582907</v>
      </c>
      <c r="W71" s="66">
        <v>9051.3557195582907</v>
      </c>
      <c r="X71" s="66">
        <v>9051.3557195582907</v>
      </c>
      <c r="Y71" s="66">
        <v>9051.3557195582907</v>
      </c>
      <c r="Z71" s="66">
        <v>9051.3557195582907</v>
      </c>
      <c r="AA71" s="66">
        <v>9051.3557195582907</v>
      </c>
      <c r="AB71" s="66">
        <v>9051.3557195582907</v>
      </c>
      <c r="AC71" s="66">
        <v>9051.3557195582907</v>
      </c>
      <c r="AD71" s="66">
        <v>9051.3557195582907</v>
      </c>
      <c r="AE71" s="66">
        <v>9051.3557195582907</v>
      </c>
      <c r="AF71" s="66">
        <v>9051.3557195582907</v>
      </c>
      <c r="AG71" s="66">
        <v>9051.3557195582907</v>
      </c>
      <c r="AH71" s="66">
        <v>9051.3557195582907</v>
      </c>
      <c r="AI71" s="66">
        <v>9051.3557195582907</v>
      </c>
      <c r="AJ71" s="66">
        <v>9051.3557195582907</v>
      </c>
      <c r="AK71" s="66">
        <v>9051.3557195582907</v>
      </c>
      <c r="AL71" s="66">
        <v>9051.3557195582907</v>
      </c>
      <c r="AM71" s="66">
        <v>9051.3557195582907</v>
      </c>
      <c r="AN71" s="66">
        <v>9051.3557195582907</v>
      </c>
      <c r="AO71" s="66">
        <v>9051.3557195582907</v>
      </c>
      <c r="AP71" s="66">
        <v>9051.3557195582907</v>
      </c>
      <c r="AQ71" s="66">
        <v>9051.3557195582907</v>
      </c>
      <c r="AR71" s="66">
        <v>9051.3557195582907</v>
      </c>
      <c r="AS71" s="66">
        <v>9051.3557195582907</v>
      </c>
      <c r="AT71" s="66">
        <v>9051.3557195582907</v>
      </c>
      <c r="AU71" s="66">
        <v>9051.3557195582907</v>
      </c>
      <c r="AV71" s="66">
        <v>9051.3557195582907</v>
      </c>
      <c r="AW71" s="66">
        <v>9051.3557195582907</v>
      </c>
      <c r="AX71" s="66">
        <v>9051.3557195582907</v>
      </c>
      <c r="AY71" s="66">
        <v>9051.3557195582907</v>
      </c>
      <c r="AZ71" s="66">
        <v>9051.3557195582907</v>
      </c>
      <c r="BA71" s="66">
        <v>9051.3557195582907</v>
      </c>
    </row>
    <row r="72" spans="1:53" ht="15.75" x14ac:dyDescent="0.25">
      <c r="A72" s="66" t="s">
        <v>253</v>
      </c>
      <c r="B72" s="66" t="s">
        <v>262</v>
      </c>
      <c r="C72" s="66">
        <v>29590.554377012799</v>
      </c>
      <c r="D72" s="66">
        <v>29843.707659375901</v>
      </c>
      <c r="E72" s="66">
        <v>30096.860941739</v>
      </c>
      <c r="F72" s="66">
        <v>30350.014224102099</v>
      </c>
      <c r="G72" s="66">
        <v>30603.167506465201</v>
      </c>
      <c r="H72" s="66">
        <v>30856.320788828201</v>
      </c>
      <c r="I72" s="66">
        <v>31215.788652550498</v>
      </c>
      <c r="J72" s="66">
        <v>31575.256516272701</v>
      </c>
      <c r="K72" s="66">
        <v>31934.724379995001</v>
      </c>
      <c r="L72" s="66">
        <v>32294.1922437172</v>
      </c>
      <c r="M72" s="66">
        <v>32653.660107439398</v>
      </c>
      <c r="N72" s="66">
        <v>32855.763706417398</v>
      </c>
      <c r="O72" s="66">
        <v>33057.867305395303</v>
      </c>
      <c r="P72" s="66">
        <v>33259.970904373302</v>
      </c>
      <c r="Q72" s="66">
        <v>33462.074503351199</v>
      </c>
      <c r="R72" s="66">
        <v>33664.178102329097</v>
      </c>
      <c r="S72" s="66">
        <v>33952.175930452599</v>
      </c>
      <c r="T72" s="66">
        <v>34240.1737585761</v>
      </c>
      <c r="U72" s="66">
        <v>34528.1715866995</v>
      </c>
      <c r="V72" s="66">
        <v>34816.169414823002</v>
      </c>
      <c r="W72" s="66">
        <v>35104.167242946503</v>
      </c>
      <c r="X72" s="66">
        <v>35244.166328981097</v>
      </c>
      <c r="Y72" s="66">
        <v>35384.165415015697</v>
      </c>
      <c r="Z72" s="66">
        <v>35524.164501050298</v>
      </c>
      <c r="AA72" s="66">
        <v>35664.163587084899</v>
      </c>
      <c r="AB72" s="66">
        <v>35804.162673119499</v>
      </c>
      <c r="AC72" s="66">
        <v>35876.120541892902</v>
      </c>
      <c r="AD72" s="66">
        <v>35948.078410666298</v>
      </c>
      <c r="AE72" s="66">
        <v>36020.036279439599</v>
      </c>
      <c r="AF72" s="66">
        <v>36091.994148213002</v>
      </c>
      <c r="AG72" s="66">
        <v>36163.952016986303</v>
      </c>
      <c r="AH72" s="66">
        <v>36287.348008594199</v>
      </c>
      <c r="AI72" s="66">
        <v>36410.744000202198</v>
      </c>
      <c r="AJ72" s="66">
        <v>36534.139991810101</v>
      </c>
      <c r="AK72" s="66">
        <v>36657.535983417998</v>
      </c>
      <c r="AL72" s="66">
        <v>36780.931975025902</v>
      </c>
      <c r="AM72" s="66">
        <v>36913.565554859102</v>
      </c>
      <c r="AN72" s="66">
        <v>37046.199134692397</v>
      </c>
      <c r="AO72" s="66">
        <v>37178.832714525597</v>
      </c>
      <c r="AP72" s="66">
        <v>37311.466294358797</v>
      </c>
      <c r="AQ72" s="66">
        <v>37444.099874192099</v>
      </c>
      <c r="AR72" s="66">
        <v>37444.099874192099</v>
      </c>
      <c r="AS72" s="66">
        <v>37444.099874192099</v>
      </c>
      <c r="AT72" s="66">
        <v>37444.099874192099</v>
      </c>
      <c r="AU72" s="66">
        <v>37444.099874192099</v>
      </c>
      <c r="AV72" s="66">
        <v>37444.099874192099</v>
      </c>
      <c r="AW72" s="66">
        <v>37444.099874192099</v>
      </c>
      <c r="AX72" s="66">
        <v>37444.099874192099</v>
      </c>
      <c r="AY72" s="66">
        <v>37444.099874192099</v>
      </c>
      <c r="AZ72" s="66">
        <v>37444.099874192099</v>
      </c>
      <c r="BA72" s="66">
        <v>37444.099874192099</v>
      </c>
    </row>
    <row r="73" spans="1:53" ht="15.75" x14ac:dyDescent="0.25">
      <c r="A73" s="66" t="s">
        <v>253</v>
      </c>
      <c r="B73" s="66" t="s">
        <v>263</v>
      </c>
      <c r="C73" s="66">
        <v>20601.9178116148</v>
      </c>
      <c r="D73" s="66">
        <v>20613.482334111901</v>
      </c>
      <c r="E73" s="66">
        <v>20625.046856608998</v>
      </c>
      <c r="F73" s="66">
        <v>20636.611379106002</v>
      </c>
      <c r="G73" s="66">
        <v>20648.175901603099</v>
      </c>
      <c r="H73" s="66">
        <v>20659.7404241002</v>
      </c>
      <c r="I73" s="66">
        <v>20848.529148828398</v>
      </c>
      <c r="J73" s="66">
        <v>21037.3178735566</v>
      </c>
      <c r="K73" s="66">
        <v>21226.1065982849</v>
      </c>
      <c r="L73" s="66">
        <v>21414.895323013101</v>
      </c>
      <c r="M73" s="66">
        <v>21603.684047741299</v>
      </c>
      <c r="N73" s="66">
        <v>21736.752972212998</v>
      </c>
      <c r="O73" s="66">
        <v>21869.821896684702</v>
      </c>
      <c r="P73" s="66">
        <v>22002.890821156299</v>
      </c>
      <c r="Q73" s="66">
        <v>22135.959745627999</v>
      </c>
      <c r="R73" s="66">
        <v>22269.0286700996</v>
      </c>
      <c r="S73" s="66">
        <v>22455.030324339499</v>
      </c>
      <c r="T73" s="66">
        <v>22641.031978579402</v>
      </c>
      <c r="U73" s="66">
        <v>22827.033632819301</v>
      </c>
      <c r="V73" s="66">
        <v>23013.035287059101</v>
      </c>
      <c r="W73" s="66">
        <v>23199.036941299</v>
      </c>
      <c r="X73" s="66">
        <v>23288.025731774698</v>
      </c>
      <c r="Y73" s="66">
        <v>23377.014522250302</v>
      </c>
      <c r="Z73" s="66">
        <v>23466.003312725999</v>
      </c>
      <c r="AA73" s="66">
        <v>23554.992103201599</v>
      </c>
      <c r="AB73" s="66">
        <v>23643.980893677301</v>
      </c>
      <c r="AC73" s="66">
        <v>23696.157259764499</v>
      </c>
      <c r="AD73" s="66">
        <v>23748.333625851701</v>
      </c>
      <c r="AE73" s="66">
        <v>23800.509991939001</v>
      </c>
      <c r="AF73" s="66">
        <v>23852.6863580262</v>
      </c>
      <c r="AG73" s="66">
        <v>23904.8627241135</v>
      </c>
      <c r="AH73" s="66">
        <v>23991.679599139399</v>
      </c>
      <c r="AI73" s="66">
        <v>24078.496474165298</v>
      </c>
      <c r="AJ73" s="66">
        <v>24165.313349191201</v>
      </c>
      <c r="AK73" s="66">
        <v>24252.130224217199</v>
      </c>
      <c r="AL73" s="66">
        <v>24338.947099243102</v>
      </c>
      <c r="AM73" s="66">
        <v>24427.752812512401</v>
      </c>
      <c r="AN73" s="66">
        <v>24516.5585257817</v>
      </c>
      <c r="AO73" s="66">
        <v>24605.364239050999</v>
      </c>
      <c r="AP73" s="66">
        <v>24694.169952320299</v>
      </c>
      <c r="AQ73" s="66">
        <v>24782.9756655897</v>
      </c>
      <c r="AR73" s="66">
        <v>24782.9756655897</v>
      </c>
      <c r="AS73" s="66">
        <v>24782.9756655897</v>
      </c>
      <c r="AT73" s="66">
        <v>24782.9756655897</v>
      </c>
      <c r="AU73" s="66">
        <v>24782.9756655897</v>
      </c>
      <c r="AV73" s="66">
        <v>24782.9756655897</v>
      </c>
      <c r="AW73" s="66">
        <v>24782.9756655897</v>
      </c>
      <c r="AX73" s="66">
        <v>24782.9756655897</v>
      </c>
      <c r="AY73" s="66">
        <v>24782.9756655897</v>
      </c>
      <c r="AZ73" s="66">
        <v>24782.9756655897</v>
      </c>
      <c r="BA73" s="66">
        <v>24782.9756655897</v>
      </c>
    </row>
    <row r="74" spans="1:53" ht="15.75" x14ac:dyDescent="0.25">
      <c r="A74" s="68" t="s">
        <v>223</v>
      </c>
      <c r="B74" s="66" t="s">
        <v>264</v>
      </c>
      <c r="C74" s="66">
        <v>190484.51206755501</v>
      </c>
      <c r="D74" s="66">
        <v>185869.99882967299</v>
      </c>
      <c r="E74" s="66">
        <v>181255.48559179201</v>
      </c>
      <c r="F74" s="66">
        <v>176640.972353911</v>
      </c>
      <c r="G74" s="66">
        <v>172026.459116029</v>
      </c>
      <c r="H74" s="66">
        <v>167411.94587814799</v>
      </c>
      <c r="I74" s="66">
        <v>164530.66751514899</v>
      </c>
      <c r="J74" s="66">
        <v>161649.38915214999</v>
      </c>
      <c r="K74" s="66">
        <v>158768.11078915099</v>
      </c>
      <c r="L74" s="66">
        <v>155886.83242615301</v>
      </c>
      <c r="M74" s="66">
        <v>153005.55406315401</v>
      </c>
      <c r="N74" s="66">
        <v>152117.022918339</v>
      </c>
      <c r="O74" s="66">
        <v>151228.491773524</v>
      </c>
      <c r="P74" s="66">
        <v>150339.96062870999</v>
      </c>
      <c r="Q74" s="66">
        <v>149451.42948389499</v>
      </c>
      <c r="R74" s="66">
        <v>148562.89833908001</v>
      </c>
      <c r="S74" s="66">
        <v>148377.44336477001</v>
      </c>
      <c r="T74" s="66">
        <v>148191.98839045901</v>
      </c>
      <c r="U74" s="66">
        <v>148006.533416149</v>
      </c>
      <c r="V74" s="66">
        <v>147821.07844183801</v>
      </c>
      <c r="W74" s="66">
        <v>147635.623467528</v>
      </c>
      <c r="X74" s="66">
        <v>147766.400561377</v>
      </c>
      <c r="Y74" s="66">
        <v>147897.17765522501</v>
      </c>
      <c r="Z74" s="66">
        <v>148027.95474907401</v>
      </c>
      <c r="AA74" s="66">
        <v>148158.73184292301</v>
      </c>
      <c r="AB74" s="66">
        <v>148289.50893677099</v>
      </c>
      <c r="AC74" s="66">
        <v>149440.60907093601</v>
      </c>
      <c r="AD74" s="66">
        <v>150591.70920510101</v>
      </c>
      <c r="AE74" s="66">
        <v>151742.80933926499</v>
      </c>
      <c r="AF74" s="66">
        <v>152893.90947342999</v>
      </c>
      <c r="AG74" s="66">
        <v>154045.00960759501</v>
      </c>
      <c r="AH74" s="66">
        <v>154636.241342714</v>
      </c>
      <c r="AI74" s="66">
        <v>155227.47307783301</v>
      </c>
      <c r="AJ74" s="66">
        <v>155818.704812952</v>
      </c>
      <c r="AK74" s="66">
        <v>156409.93654807101</v>
      </c>
      <c r="AL74" s="66">
        <v>157001.16828319</v>
      </c>
      <c r="AM74" s="66">
        <v>157740.077000555</v>
      </c>
      <c r="AN74" s="66">
        <v>158478.98571791899</v>
      </c>
      <c r="AO74" s="66">
        <v>159217.89443528399</v>
      </c>
      <c r="AP74" s="66">
        <v>159956.803152648</v>
      </c>
      <c r="AQ74" s="66">
        <v>160695.71187001199</v>
      </c>
      <c r="AR74" s="66">
        <v>160695.71187001199</v>
      </c>
      <c r="AS74" s="66">
        <v>160695.71187001199</v>
      </c>
      <c r="AT74" s="66">
        <v>160695.71187001199</v>
      </c>
      <c r="AU74" s="66">
        <v>160695.71187001199</v>
      </c>
      <c r="AV74" s="66">
        <v>160695.71187001199</v>
      </c>
      <c r="AW74" s="66">
        <v>160695.71187001199</v>
      </c>
      <c r="AX74" s="66">
        <v>160695.71187001199</v>
      </c>
      <c r="AY74" s="66">
        <v>160695.71187001199</v>
      </c>
      <c r="AZ74" s="66">
        <v>160695.71187001199</v>
      </c>
      <c r="BA74" s="66">
        <v>160695.71187001199</v>
      </c>
    </row>
    <row r="75" spans="1:53" ht="15.75" x14ac:dyDescent="0.25">
      <c r="A75" s="68" t="s">
        <v>223</v>
      </c>
      <c r="B75" s="66" t="s">
        <v>265</v>
      </c>
      <c r="C75" s="66">
        <v>28394.8576211994</v>
      </c>
      <c r="D75" s="66">
        <v>26500.136287038</v>
      </c>
      <c r="E75" s="66">
        <v>24605.414952876599</v>
      </c>
      <c r="F75" s="66">
        <v>22710.693618715301</v>
      </c>
      <c r="G75" s="66">
        <v>20815.9722845539</v>
      </c>
      <c r="H75" s="66">
        <v>18921.250950392499</v>
      </c>
      <c r="I75" s="66">
        <v>18676.8852736097</v>
      </c>
      <c r="J75" s="66">
        <v>18432.5195968269</v>
      </c>
      <c r="K75" s="66">
        <v>18188.1539200441</v>
      </c>
      <c r="L75" s="66">
        <v>17943.788243261199</v>
      </c>
      <c r="M75" s="66">
        <v>17699.422566478399</v>
      </c>
      <c r="N75" s="66">
        <v>17464.265516594802</v>
      </c>
      <c r="O75" s="66">
        <v>17229.108466711201</v>
      </c>
      <c r="P75" s="66">
        <v>16993.951416827698</v>
      </c>
      <c r="Q75" s="66">
        <v>16758.794366944101</v>
      </c>
      <c r="R75" s="66">
        <v>16523.6373170605</v>
      </c>
      <c r="S75" s="66">
        <v>16523.6373170605</v>
      </c>
      <c r="T75" s="66">
        <v>16523.6373170605</v>
      </c>
      <c r="U75" s="66">
        <v>16523.6373170605</v>
      </c>
      <c r="V75" s="66">
        <v>16523.6373170605</v>
      </c>
      <c r="W75" s="66">
        <v>16523.6373170605</v>
      </c>
      <c r="X75" s="66">
        <v>16523.6373170605</v>
      </c>
      <c r="Y75" s="66">
        <v>16523.6373170605</v>
      </c>
      <c r="Z75" s="66">
        <v>16523.6373170605</v>
      </c>
      <c r="AA75" s="66">
        <v>16523.6373170605</v>
      </c>
      <c r="AB75" s="66">
        <v>16523.6373170605</v>
      </c>
      <c r="AC75" s="66">
        <v>16523.6373170605</v>
      </c>
      <c r="AD75" s="66">
        <v>16523.6373170605</v>
      </c>
      <c r="AE75" s="66">
        <v>16523.6373170605</v>
      </c>
      <c r="AF75" s="66">
        <v>16523.6373170605</v>
      </c>
      <c r="AG75" s="66">
        <v>16523.6373170605</v>
      </c>
      <c r="AH75" s="66">
        <v>16523.6373170605</v>
      </c>
      <c r="AI75" s="66">
        <v>16523.6373170605</v>
      </c>
      <c r="AJ75" s="66">
        <v>16523.6373170605</v>
      </c>
      <c r="AK75" s="66">
        <v>16523.6373170605</v>
      </c>
      <c r="AL75" s="66">
        <v>16523.6373170605</v>
      </c>
      <c r="AM75" s="66">
        <v>16523.6373170605</v>
      </c>
      <c r="AN75" s="66">
        <v>16523.6373170605</v>
      </c>
      <c r="AO75" s="66">
        <v>16523.6373170605</v>
      </c>
      <c r="AP75" s="66">
        <v>16523.6373170605</v>
      </c>
      <c r="AQ75" s="66">
        <v>16523.6373170605</v>
      </c>
      <c r="AR75" s="66">
        <v>16523.6373170605</v>
      </c>
      <c r="AS75" s="66">
        <v>16523.6373170605</v>
      </c>
      <c r="AT75" s="66">
        <v>16523.6373170605</v>
      </c>
      <c r="AU75" s="66">
        <v>16523.6373170605</v>
      </c>
      <c r="AV75" s="66">
        <v>16523.6373170605</v>
      </c>
      <c r="AW75" s="66">
        <v>16523.6373170605</v>
      </c>
      <c r="AX75" s="66">
        <v>16523.6373170605</v>
      </c>
      <c r="AY75" s="66">
        <v>16523.6373170605</v>
      </c>
      <c r="AZ75" s="66">
        <v>16523.6373170605</v>
      </c>
      <c r="BA75" s="66">
        <v>16523.6373170605</v>
      </c>
    </row>
    <row r="76" spans="1:53" ht="15.75" x14ac:dyDescent="0.25">
      <c r="A76" s="68" t="s">
        <v>223</v>
      </c>
      <c r="B76" s="66" t="s">
        <v>266</v>
      </c>
      <c r="C76" s="66">
        <v>138294.38126705101</v>
      </c>
      <c r="D76" s="66">
        <v>139104.112757758</v>
      </c>
      <c r="E76" s="66">
        <v>139913.84424846599</v>
      </c>
      <c r="F76" s="66">
        <v>140723.57573917299</v>
      </c>
      <c r="G76" s="66">
        <v>141533.30722988001</v>
      </c>
      <c r="H76" s="66">
        <v>142343.038720588</v>
      </c>
      <c r="I76" s="66">
        <v>143239.89194552699</v>
      </c>
      <c r="J76" s="66">
        <v>144136.74517046599</v>
      </c>
      <c r="K76" s="66">
        <v>145033.59839540499</v>
      </c>
      <c r="L76" s="66">
        <v>145930.45162034401</v>
      </c>
      <c r="M76" s="66">
        <v>146827.30484528301</v>
      </c>
      <c r="N76" s="66">
        <v>147871.22505721301</v>
      </c>
      <c r="O76" s="66">
        <v>148915.14526914299</v>
      </c>
      <c r="P76" s="66">
        <v>149959.06548107401</v>
      </c>
      <c r="Q76" s="66">
        <v>151002.98569300401</v>
      </c>
      <c r="R76" s="66">
        <v>152046.90590493401</v>
      </c>
      <c r="S76" s="66">
        <v>153172.02501982299</v>
      </c>
      <c r="T76" s="66">
        <v>154297.144134712</v>
      </c>
      <c r="U76" s="66">
        <v>155422.26324959999</v>
      </c>
      <c r="V76" s="66">
        <v>156547.38236448899</v>
      </c>
      <c r="W76" s="66">
        <v>157672.501479378</v>
      </c>
      <c r="X76" s="66">
        <v>158090.231596289</v>
      </c>
      <c r="Y76" s="66">
        <v>158507.9617132</v>
      </c>
      <c r="Z76" s="66">
        <v>158925.691830111</v>
      </c>
      <c r="AA76" s="66">
        <v>159343.42194702101</v>
      </c>
      <c r="AB76" s="66">
        <v>159761.15206393201</v>
      </c>
      <c r="AC76" s="66">
        <v>160280.50917428601</v>
      </c>
      <c r="AD76" s="66">
        <v>160799.86628464001</v>
      </c>
      <c r="AE76" s="66">
        <v>161319.22339499299</v>
      </c>
      <c r="AF76" s="66">
        <v>161838.580505347</v>
      </c>
      <c r="AG76" s="66">
        <v>162357.937615701</v>
      </c>
      <c r="AH76" s="66">
        <v>163001.17365393401</v>
      </c>
      <c r="AI76" s="66">
        <v>163644.40969216701</v>
      </c>
      <c r="AJ76" s="66">
        <v>164287.64573039999</v>
      </c>
      <c r="AK76" s="66">
        <v>164930.881768633</v>
      </c>
      <c r="AL76" s="66">
        <v>165574.11780686601</v>
      </c>
      <c r="AM76" s="66">
        <v>166236.21381735301</v>
      </c>
      <c r="AN76" s="66">
        <v>166898.30982784001</v>
      </c>
      <c r="AO76" s="66">
        <v>167560.40583832699</v>
      </c>
      <c r="AP76" s="66">
        <v>168222.50184881399</v>
      </c>
      <c r="AQ76" s="66">
        <v>168884.59785930099</v>
      </c>
      <c r="AR76" s="66">
        <v>168884.59785930099</v>
      </c>
      <c r="AS76" s="66">
        <v>168884.59785930099</v>
      </c>
      <c r="AT76" s="66">
        <v>168884.59785930099</v>
      </c>
      <c r="AU76" s="66">
        <v>168884.59785930099</v>
      </c>
      <c r="AV76" s="66">
        <v>168884.59785930099</v>
      </c>
      <c r="AW76" s="66">
        <v>168884.59785930099</v>
      </c>
      <c r="AX76" s="66">
        <v>168884.59785930099</v>
      </c>
      <c r="AY76" s="66">
        <v>168884.59785930099</v>
      </c>
      <c r="AZ76" s="66">
        <v>168884.59785930099</v>
      </c>
      <c r="BA76" s="66">
        <v>168884.59785930099</v>
      </c>
    </row>
    <row r="77" spans="1:53" ht="15.75" x14ac:dyDescent="0.25">
      <c r="A77" s="68" t="s">
        <v>222</v>
      </c>
      <c r="B77" s="66" t="s">
        <v>267</v>
      </c>
      <c r="C77" s="66">
        <v>97482.285015364498</v>
      </c>
      <c r="D77" s="66">
        <v>94547.246519103603</v>
      </c>
      <c r="E77" s="66">
        <v>91612.208022842795</v>
      </c>
      <c r="F77" s="66">
        <v>88677.169526582002</v>
      </c>
      <c r="G77" s="66">
        <v>85742.131030321107</v>
      </c>
      <c r="H77" s="66">
        <v>82807.092534060299</v>
      </c>
      <c r="I77" s="66">
        <v>80681.429948827004</v>
      </c>
      <c r="J77" s="66">
        <v>78555.767363593695</v>
      </c>
      <c r="K77" s="66">
        <v>76430.104778360401</v>
      </c>
      <c r="L77" s="66">
        <v>74304.442193127194</v>
      </c>
      <c r="M77" s="66">
        <v>72178.779607893899</v>
      </c>
      <c r="N77" s="66">
        <v>71369.036015554506</v>
      </c>
      <c r="O77" s="66">
        <v>70559.292423215098</v>
      </c>
      <c r="P77" s="66">
        <v>69749.548830875603</v>
      </c>
      <c r="Q77" s="66">
        <v>68939.805238536195</v>
      </c>
      <c r="R77" s="66">
        <v>68130.061646196802</v>
      </c>
      <c r="S77" s="66">
        <v>67922.795119143106</v>
      </c>
      <c r="T77" s="66">
        <v>67715.528592089395</v>
      </c>
      <c r="U77" s="66">
        <v>67508.262065035698</v>
      </c>
      <c r="V77" s="66">
        <v>67300.995537982002</v>
      </c>
      <c r="W77" s="66">
        <v>67093.729010928306</v>
      </c>
      <c r="X77" s="66">
        <v>67012.204587708999</v>
      </c>
      <c r="Y77" s="66">
        <v>66930.680164489604</v>
      </c>
      <c r="Z77" s="66">
        <v>66849.155741270195</v>
      </c>
      <c r="AA77" s="66">
        <v>66767.6313180508</v>
      </c>
      <c r="AB77" s="66">
        <v>66686.106894831493</v>
      </c>
      <c r="AC77" s="66">
        <v>67204.251713669102</v>
      </c>
      <c r="AD77" s="66">
        <v>67722.396532506697</v>
      </c>
      <c r="AE77" s="66">
        <v>68240.541351344305</v>
      </c>
      <c r="AF77" s="66">
        <v>68758.686170182002</v>
      </c>
      <c r="AG77" s="66">
        <v>69276.830989019596</v>
      </c>
      <c r="AH77" s="66">
        <v>69563.164489717296</v>
      </c>
      <c r="AI77" s="66">
        <v>69849.497990414995</v>
      </c>
      <c r="AJ77" s="66">
        <v>70135.831491112694</v>
      </c>
      <c r="AK77" s="66">
        <v>70422.164991810394</v>
      </c>
      <c r="AL77" s="66">
        <v>70708.498492508093</v>
      </c>
      <c r="AM77" s="66">
        <v>71037.151684264696</v>
      </c>
      <c r="AN77" s="66">
        <v>71365.804876021401</v>
      </c>
      <c r="AO77" s="66">
        <v>71694.458067778003</v>
      </c>
      <c r="AP77" s="66">
        <v>72023.111259534693</v>
      </c>
      <c r="AQ77" s="66">
        <v>72351.764451291296</v>
      </c>
      <c r="AR77" s="66">
        <v>72351.764451291296</v>
      </c>
      <c r="AS77" s="66">
        <v>72351.764451291296</v>
      </c>
      <c r="AT77" s="66">
        <v>72351.764451291296</v>
      </c>
      <c r="AU77" s="66">
        <v>72351.764451291296</v>
      </c>
      <c r="AV77" s="66">
        <v>72351.764451291296</v>
      </c>
      <c r="AW77" s="66">
        <v>72351.764451291296</v>
      </c>
      <c r="AX77" s="66">
        <v>72351.764451291296</v>
      </c>
      <c r="AY77" s="66">
        <v>72351.764451291296</v>
      </c>
      <c r="AZ77" s="66">
        <v>72351.764451291296</v>
      </c>
      <c r="BA77" s="66">
        <v>72351.764451291296</v>
      </c>
    </row>
    <row r="78" spans="1:53" ht="15.75" x14ac:dyDescent="0.25">
      <c r="A78" s="68" t="s">
        <v>222</v>
      </c>
      <c r="B78" s="66" t="s">
        <v>268</v>
      </c>
      <c r="C78" s="66">
        <v>59019.370874527798</v>
      </c>
      <c r="D78" s="66">
        <v>60182.230590568302</v>
      </c>
      <c r="E78" s="66">
        <v>61345.090306608901</v>
      </c>
      <c r="F78" s="66">
        <v>62507.950022649398</v>
      </c>
      <c r="G78" s="66">
        <v>63670.809738689903</v>
      </c>
      <c r="H78" s="66">
        <v>64833.669454730501</v>
      </c>
      <c r="I78" s="66">
        <v>65335.714840973502</v>
      </c>
      <c r="J78" s="66">
        <v>65837.760227216495</v>
      </c>
      <c r="K78" s="66">
        <v>66339.805613459495</v>
      </c>
      <c r="L78" s="66">
        <v>66841.850999702496</v>
      </c>
      <c r="M78" s="66">
        <v>67343.896385945598</v>
      </c>
      <c r="N78" s="66">
        <v>67811.559032627905</v>
      </c>
      <c r="O78" s="66">
        <v>68279.2216793103</v>
      </c>
      <c r="P78" s="66">
        <v>68746.884325992607</v>
      </c>
      <c r="Q78" s="66">
        <v>69214.546972675002</v>
      </c>
      <c r="R78" s="66">
        <v>69682.209619357396</v>
      </c>
      <c r="S78" s="66">
        <v>70168.452056750495</v>
      </c>
      <c r="T78" s="66">
        <v>70654.694494143696</v>
      </c>
      <c r="U78" s="66">
        <v>71140.936931536897</v>
      </c>
      <c r="V78" s="66">
        <v>71627.179368929996</v>
      </c>
      <c r="W78" s="66">
        <v>72113.421806323197</v>
      </c>
      <c r="X78" s="66">
        <v>72254.578302727299</v>
      </c>
      <c r="Y78" s="66">
        <v>72395.734799131402</v>
      </c>
      <c r="Z78" s="66">
        <v>72536.891295535403</v>
      </c>
      <c r="AA78" s="66">
        <v>72678.047791939505</v>
      </c>
      <c r="AB78" s="66">
        <v>72819.204288343593</v>
      </c>
      <c r="AC78" s="66">
        <v>73076.874988623793</v>
      </c>
      <c r="AD78" s="66">
        <v>73334.545688903905</v>
      </c>
      <c r="AE78" s="66">
        <v>73592.216389184105</v>
      </c>
      <c r="AF78" s="66">
        <v>73849.887089464304</v>
      </c>
      <c r="AG78" s="66">
        <v>74107.557789744504</v>
      </c>
      <c r="AH78" s="66">
        <v>74403.922994788503</v>
      </c>
      <c r="AI78" s="66">
        <v>74700.288199832605</v>
      </c>
      <c r="AJ78" s="66">
        <v>74996.653404876604</v>
      </c>
      <c r="AK78" s="66">
        <v>75293.018609920604</v>
      </c>
      <c r="AL78" s="66">
        <v>75589.383814964604</v>
      </c>
      <c r="AM78" s="66">
        <v>75876.299282349006</v>
      </c>
      <c r="AN78" s="66">
        <v>76163.214749733394</v>
      </c>
      <c r="AO78" s="66">
        <v>76450.130217117694</v>
      </c>
      <c r="AP78" s="66">
        <v>76737.045684502096</v>
      </c>
      <c r="AQ78" s="66">
        <v>77023.961151886499</v>
      </c>
      <c r="AR78" s="66">
        <v>77023.961151886499</v>
      </c>
      <c r="AS78" s="66">
        <v>77023.961151886499</v>
      </c>
      <c r="AT78" s="66">
        <v>77023.961151886499</v>
      </c>
      <c r="AU78" s="66">
        <v>77023.961151886499</v>
      </c>
      <c r="AV78" s="66">
        <v>77023.961151886499</v>
      </c>
      <c r="AW78" s="66">
        <v>77023.961151886499</v>
      </c>
      <c r="AX78" s="66">
        <v>77023.961151886499</v>
      </c>
      <c r="AY78" s="66">
        <v>77023.961151886499</v>
      </c>
      <c r="AZ78" s="66">
        <v>77023.961151886499</v>
      </c>
      <c r="BA78" s="66">
        <v>77023.961151886499</v>
      </c>
    </row>
    <row r="79" spans="1:53" ht="15.75" x14ac:dyDescent="0.25">
      <c r="A79" s="68" t="s">
        <v>222</v>
      </c>
      <c r="B79" s="66" t="s">
        <v>269</v>
      </c>
      <c r="C79" s="66">
        <v>55872.689100644697</v>
      </c>
      <c r="D79" s="66">
        <v>57397.498968030501</v>
      </c>
      <c r="E79" s="66">
        <v>58922.308835416297</v>
      </c>
      <c r="F79" s="66">
        <v>60447.118702802101</v>
      </c>
      <c r="G79" s="66">
        <v>61971.928570187898</v>
      </c>
      <c r="H79" s="66">
        <v>63496.738437573702</v>
      </c>
      <c r="I79" s="66">
        <v>64360.659543596099</v>
      </c>
      <c r="J79" s="66">
        <v>65224.580649618598</v>
      </c>
      <c r="K79" s="66">
        <v>66088.501755641002</v>
      </c>
      <c r="L79" s="66">
        <v>66952.422861663494</v>
      </c>
      <c r="M79" s="66">
        <v>67816.343967685898</v>
      </c>
      <c r="N79" s="66">
        <v>68250.988822889907</v>
      </c>
      <c r="O79" s="66">
        <v>68685.633678094004</v>
      </c>
      <c r="P79" s="66">
        <v>69120.278533297998</v>
      </c>
      <c r="Q79" s="66">
        <v>69554.923388502095</v>
      </c>
      <c r="R79" s="66">
        <v>69989.568243706104</v>
      </c>
      <c r="S79" s="66">
        <v>70468.787934473003</v>
      </c>
      <c r="T79" s="66">
        <v>70948.007625239901</v>
      </c>
      <c r="U79" s="66">
        <v>71427.2273160068</v>
      </c>
      <c r="V79" s="66">
        <v>71906.4470067738</v>
      </c>
      <c r="W79" s="66">
        <v>72385.666697540699</v>
      </c>
      <c r="X79" s="66">
        <v>72518.591640727798</v>
      </c>
      <c r="Y79" s="66">
        <v>72651.516583914898</v>
      </c>
      <c r="Z79" s="66">
        <v>72784.441527102099</v>
      </c>
      <c r="AA79" s="66">
        <v>72917.366470289198</v>
      </c>
      <c r="AB79" s="66">
        <v>73050.2914134764</v>
      </c>
      <c r="AC79" s="66">
        <v>73295.0666035373</v>
      </c>
      <c r="AD79" s="66">
        <v>73539.8417935982</v>
      </c>
      <c r="AE79" s="66">
        <v>73784.6169836591</v>
      </c>
      <c r="AF79" s="66">
        <v>74029.39217372</v>
      </c>
      <c r="AG79" s="66">
        <v>74274.1673637809</v>
      </c>
      <c r="AH79" s="66">
        <v>74568.931474696903</v>
      </c>
      <c r="AI79" s="66">
        <v>74863.695585612993</v>
      </c>
      <c r="AJ79" s="66">
        <v>75158.459696529098</v>
      </c>
      <c r="AK79" s="66">
        <v>75453.223807445102</v>
      </c>
      <c r="AL79" s="66">
        <v>75747.987918361207</v>
      </c>
      <c r="AM79" s="66">
        <v>76031.667268913705</v>
      </c>
      <c r="AN79" s="66">
        <v>76315.346619466305</v>
      </c>
      <c r="AO79" s="66">
        <v>76599.025970018803</v>
      </c>
      <c r="AP79" s="66">
        <v>76882.705320571404</v>
      </c>
      <c r="AQ79" s="66">
        <v>77166.384671123902</v>
      </c>
      <c r="AR79" s="66">
        <v>77166.384671123902</v>
      </c>
      <c r="AS79" s="66">
        <v>77166.384671123902</v>
      </c>
      <c r="AT79" s="66">
        <v>77166.384671123902</v>
      </c>
      <c r="AU79" s="66">
        <v>77166.384671123902</v>
      </c>
      <c r="AV79" s="66">
        <v>77166.384671123902</v>
      </c>
      <c r="AW79" s="66">
        <v>77166.384671123902</v>
      </c>
      <c r="AX79" s="66">
        <v>77166.384671123902</v>
      </c>
      <c r="AY79" s="66">
        <v>77166.384671123902</v>
      </c>
      <c r="AZ79" s="66">
        <v>77166.384671123902</v>
      </c>
      <c r="BA79" s="66">
        <v>77166.384671123902</v>
      </c>
    </row>
    <row r="80" spans="1:53" ht="15.75" x14ac:dyDescent="0.25">
      <c r="A80" s="68" t="s">
        <v>224</v>
      </c>
      <c r="B80" s="66" t="s">
        <v>270</v>
      </c>
      <c r="C80" s="66">
        <v>9774.9513045954609</v>
      </c>
      <c r="D80" s="66">
        <v>8876.3608749922205</v>
      </c>
      <c r="E80" s="66">
        <v>7977.7704453889701</v>
      </c>
      <c r="F80" s="66">
        <v>7079.1800157857297</v>
      </c>
      <c r="G80" s="66">
        <v>6180.5895861824802</v>
      </c>
      <c r="H80" s="66">
        <v>5281.9991565792297</v>
      </c>
      <c r="I80" s="66">
        <v>5281.9991565792297</v>
      </c>
      <c r="J80" s="66">
        <v>5281.9991565792297</v>
      </c>
      <c r="K80" s="66">
        <v>5281.9991565792297</v>
      </c>
      <c r="L80" s="66">
        <v>5281.9991565792297</v>
      </c>
      <c r="M80" s="66">
        <v>5281.9991565792297</v>
      </c>
      <c r="N80" s="66">
        <v>5281.9991565792297</v>
      </c>
      <c r="O80" s="66">
        <v>5281.9991565792297</v>
      </c>
      <c r="P80" s="66">
        <v>5281.9991565792297</v>
      </c>
      <c r="Q80" s="66">
        <v>5281.9991565792297</v>
      </c>
      <c r="R80" s="66">
        <v>5281.9991565792297</v>
      </c>
      <c r="S80" s="66">
        <v>5281.9991565792297</v>
      </c>
      <c r="T80" s="66">
        <v>5281.9991565792297</v>
      </c>
      <c r="U80" s="66">
        <v>5281.9991565792297</v>
      </c>
      <c r="V80" s="66">
        <v>5281.9991565792297</v>
      </c>
      <c r="W80" s="66">
        <v>5281.9991565792297</v>
      </c>
      <c r="X80" s="66">
        <v>5281.9991565792297</v>
      </c>
      <c r="Y80" s="66">
        <v>5281.9991565792297</v>
      </c>
      <c r="Z80" s="66">
        <v>5281.9991565792297</v>
      </c>
      <c r="AA80" s="66">
        <v>5281.9991565792297</v>
      </c>
      <c r="AB80" s="66">
        <v>5281.9991565792297</v>
      </c>
      <c r="AC80" s="66">
        <v>5281.9991565792297</v>
      </c>
      <c r="AD80" s="66">
        <v>5281.9991565792297</v>
      </c>
      <c r="AE80" s="66">
        <v>5281.9991565792297</v>
      </c>
      <c r="AF80" s="66">
        <v>5281.9991565792297</v>
      </c>
      <c r="AG80" s="66">
        <v>5281.9991565792297</v>
      </c>
      <c r="AH80" s="66">
        <v>5281.9991565792297</v>
      </c>
      <c r="AI80" s="66">
        <v>5281.9991565792297</v>
      </c>
      <c r="AJ80" s="66">
        <v>5281.9991565792297</v>
      </c>
      <c r="AK80" s="66">
        <v>5281.9991565792297</v>
      </c>
      <c r="AL80" s="66">
        <v>5281.9991565792297</v>
      </c>
      <c r="AM80" s="66">
        <v>5281.9991565792297</v>
      </c>
      <c r="AN80" s="66">
        <v>5281.9991565792297</v>
      </c>
      <c r="AO80" s="66">
        <v>5281.9991565792297</v>
      </c>
      <c r="AP80" s="66">
        <v>5281.9991565792297</v>
      </c>
      <c r="AQ80" s="66">
        <v>5281.9991565792297</v>
      </c>
      <c r="AR80" s="66">
        <v>5281.9991565792297</v>
      </c>
      <c r="AS80" s="66">
        <v>5281.9991565792297</v>
      </c>
      <c r="AT80" s="66">
        <v>5281.9991565792297</v>
      </c>
      <c r="AU80" s="66">
        <v>5281.9991565792297</v>
      </c>
      <c r="AV80" s="66">
        <v>5281.9991565792297</v>
      </c>
      <c r="AW80" s="66">
        <v>5281.9991565792297</v>
      </c>
      <c r="AX80" s="66">
        <v>5281.9991565792297</v>
      </c>
      <c r="AY80" s="66">
        <v>5281.9991565792297</v>
      </c>
      <c r="AZ80" s="66">
        <v>5281.9991565792297</v>
      </c>
      <c r="BA80" s="66">
        <v>5281.9991565792297</v>
      </c>
    </row>
    <row r="81" spans="1:53" ht="15.75" x14ac:dyDescent="0.25">
      <c r="A81" s="68" t="s">
        <v>224</v>
      </c>
      <c r="B81" s="66" t="s">
        <v>271</v>
      </c>
      <c r="C81" s="66">
        <v>28293.7961012509</v>
      </c>
      <c r="D81" s="66">
        <v>28394.2099718805</v>
      </c>
      <c r="E81" s="66">
        <v>28494.6238425101</v>
      </c>
      <c r="F81" s="66">
        <v>28595.0377131397</v>
      </c>
      <c r="G81" s="66">
        <v>28695.4515837693</v>
      </c>
      <c r="H81" s="66">
        <v>28795.8654543989</v>
      </c>
      <c r="I81" s="66">
        <v>29125.892695095899</v>
      </c>
      <c r="J81" s="66">
        <v>29455.919935793001</v>
      </c>
      <c r="K81" s="66">
        <v>29785.947176490001</v>
      </c>
      <c r="L81" s="66">
        <v>30115.974417187099</v>
      </c>
      <c r="M81" s="66">
        <v>30446.001657884099</v>
      </c>
      <c r="N81" s="66">
        <v>31110.395693909701</v>
      </c>
      <c r="O81" s="66">
        <v>31774.789729935201</v>
      </c>
      <c r="P81" s="66">
        <v>32439.183765960799</v>
      </c>
      <c r="Q81" s="66">
        <v>33103.577801986401</v>
      </c>
      <c r="R81" s="66">
        <v>33767.971838011901</v>
      </c>
      <c r="S81" s="66">
        <v>34108.489276413296</v>
      </c>
      <c r="T81" s="66">
        <v>34449.006714814699</v>
      </c>
      <c r="U81" s="66">
        <v>34789.524153216204</v>
      </c>
      <c r="V81" s="66">
        <v>35130.041591617599</v>
      </c>
      <c r="W81" s="66">
        <v>35470.559030019002</v>
      </c>
      <c r="X81" s="66">
        <v>35553.576702596103</v>
      </c>
      <c r="Y81" s="66">
        <v>35636.594375173197</v>
      </c>
      <c r="Z81" s="66">
        <v>35719.612047750401</v>
      </c>
      <c r="AA81" s="66">
        <v>35802.629720327503</v>
      </c>
      <c r="AB81" s="66">
        <v>35885.647392904597</v>
      </c>
      <c r="AC81" s="66">
        <v>35942.882074081601</v>
      </c>
      <c r="AD81" s="66">
        <v>36000.116755258503</v>
      </c>
      <c r="AE81" s="66">
        <v>36057.3514364355</v>
      </c>
      <c r="AF81" s="66">
        <v>36114.586117612402</v>
      </c>
      <c r="AG81" s="66">
        <v>36171.820798789398</v>
      </c>
      <c r="AH81" s="66">
        <v>36335.919549424703</v>
      </c>
      <c r="AI81" s="66">
        <v>36500.018300060001</v>
      </c>
      <c r="AJ81" s="66">
        <v>36664.117050695299</v>
      </c>
      <c r="AK81" s="66">
        <v>36828.215801330502</v>
      </c>
      <c r="AL81" s="66">
        <v>36992.314551965799</v>
      </c>
      <c r="AM81" s="66">
        <v>37139.883741300997</v>
      </c>
      <c r="AN81" s="66">
        <v>37287.452930636202</v>
      </c>
      <c r="AO81" s="66">
        <v>37435.022119971298</v>
      </c>
      <c r="AP81" s="66">
        <v>37582.591309306503</v>
      </c>
      <c r="AQ81" s="66">
        <v>37730.160498641599</v>
      </c>
      <c r="AR81" s="66">
        <v>37730.160498641599</v>
      </c>
      <c r="AS81" s="66">
        <v>37730.160498641599</v>
      </c>
      <c r="AT81" s="66">
        <v>37730.160498641599</v>
      </c>
      <c r="AU81" s="66">
        <v>37730.160498641599</v>
      </c>
      <c r="AV81" s="66">
        <v>37730.160498641599</v>
      </c>
      <c r="AW81" s="66">
        <v>37730.160498641599</v>
      </c>
      <c r="AX81" s="66">
        <v>37730.160498641599</v>
      </c>
      <c r="AY81" s="66">
        <v>37730.160498641599</v>
      </c>
      <c r="AZ81" s="66">
        <v>37730.160498641599</v>
      </c>
      <c r="BA81" s="66">
        <v>37730.160498641599</v>
      </c>
    </row>
    <row r="82" spans="1:53" ht="15.75" x14ac:dyDescent="0.25">
      <c r="A82" s="68" t="s">
        <v>224</v>
      </c>
      <c r="B82" s="66" t="s">
        <v>272</v>
      </c>
      <c r="C82" s="66">
        <v>29743.257671373602</v>
      </c>
      <c r="D82" s="66">
        <v>30023.0241217086</v>
      </c>
      <c r="E82" s="66">
        <v>30302.790572043599</v>
      </c>
      <c r="F82" s="66">
        <v>30582.5570223787</v>
      </c>
      <c r="G82" s="66">
        <v>30862.323472713699</v>
      </c>
      <c r="H82" s="66">
        <v>31142.089923048799</v>
      </c>
      <c r="I82" s="66">
        <v>31588.249456296198</v>
      </c>
      <c r="J82" s="66">
        <v>32034.408989543699</v>
      </c>
      <c r="K82" s="66">
        <v>32480.5685227912</v>
      </c>
      <c r="L82" s="66">
        <v>32926.728056038701</v>
      </c>
      <c r="M82" s="66">
        <v>33372.887589286198</v>
      </c>
      <c r="N82" s="66">
        <v>33741.876910819199</v>
      </c>
      <c r="O82" s="66">
        <v>34110.8662323522</v>
      </c>
      <c r="P82" s="66">
        <v>34479.855553885303</v>
      </c>
      <c r="Q82" s="66">
        <v>34848.844875418297</v>
      </c>
      <c r="R82" s="66">
        <v>35217.8341969514</v>
      </c>
      <c r="S82" s="66">
        <v>35407.1533924588</v>
      </c>
      <c r="T82" s="66">
        <v>35596.4725879662</v>
      </c>
      <c r="U82" s="66">
        <v>35785.7917834736</v>
      </c>
      <c r="V82" s="66">
        <v>35975.110978981</v>
      </c>
      <c r="W82" s="66">
        <v>36164.4301744884</v>
      </c>
      <c r="X82" s="66">
        <v>36108.663249625402</v>
      </c>
      <c r="Y82" s="66">
        <v>36052.896324762398</v>
      </c>
      <c r="Z82" s="66">
        <v>35997.129399899401</v>
      </c>
      <c r="AA82" s="66">
        <v>35941.362475036301</v>
      </c>
      <c r="AB82" s="66">
        <v>35885.595550173297</v>
      </c>
      <c r="AC82" s="66">
        <v>35942.827475116297</v>
      </c>
      <c r="AD82" s="66">
        <v>36000.059400059297</v>
      </c>
      <c r="AE82" s="66">
        <v>36057.291325002298</v>
      </c>
      <c r="AF82" s="66">
        <v>36114.523249945298</v>
      </c>
      <c r="AG82" s="66">
        <v>36171.755174888298</v>
      </c>
      <c r="AH82" s="66">
        <v>36335.859731908997</v>
      </c>
      <c r="AI82" s="66">
        <v>36499.964288929703</v>
      </c>
      <c r="AJ82" s="66">
        <v>36664.068845950402</v>
      </c>
      <c r="AK82" s="66">
        <v>36828.173402971101</v>
      </c>
      <c r="AL82" s="66">
        <v>36992.277959991799</v>
      </c>
      <c r="AM82" s="66">
        <v>37139.840213364601</v>
      </c>
      <c r="AN82" s="66">
        <v>37287.402466737301</v>
      </c>
      <c r="AO82" s="66">
        <v>37434.964720110103</v>
      </c>
      <c r="AP82" s="66">
        <v>37582.526973482898</v>
      </c>
      <c r="AQ82" s="66">
        <v>37730.089226855598</v>
      </c>
      <c r="AR82" s="66">
        <v>37730.089226855598</v>
      </c>
      <c r="AS82" s="66">
        <v>37730.089226855598</v>
      </c>
      <c r="AT82" s="66">
        <v>37730.089226855598</v>
      </c>
      <c r="AU82" s="66">
        <v>37730.089226855598</v>
      </c>
      <c r="AV82" s="66">
        <v>37730.089226855598</v>
      </c>
      <c r="AW82" s="66">
        <v>37730.089226855598</v>
      </c>
      <c r="AX82" s="66">
        <v>37730.089226855598</v>
      </c>
      <c r="AY82" s="66">
        <v>37730.089226855598</v>
      </c>
      <c r="AZ82" s="66">
        <v>37730.089226855598</v>
      </c>
      <c r="BA82" s="66">
        <v>37730.089226855598</v>
      </c>
    </row>
    <row r="83" spans="1:53" ht="15.75" x14ac:dyDescent="0.25">
      <c r="A83" s="68" t="s">
        <v>219</v>
      </c>
      <c r="B83" s="66" t="s">
        <v>273</v>
      </c>
      <c r="C83" s="66">
        <v>33506.174613714997</v>
      </c>
      <c r="D83" s="66">
        <v>33567.945136029201</v>
      </c>
      <c r="E83" s="66">
        <v>33629.715658343302</v>
      </c>
      <c r="F83" s="66">
        <v>33691.486180657499</v>
      </c>
      <c r="G83" s="66">
        <v>33753.256702971601</v>
      </c>
      <c r="H83" s="66">
        <v>33815.027225285798</v>
      </c>
      <c r="I83" s="66">
        <v>33563.849751429203</v>
      </c>
      <c r="J83" s="66">
        <v>33312.672277572601</v>
      </c>
      <c r="K83" s="66">
        <v>33061.494803715999</v>
      </c>
      <c r="L83" s="66">
        <v>32810.317329859499</v>
      </c>
      <c r="M83" s="66">
        <v>32559.139856002901</v>
      </c>
      <c r="N83" s="66">
        <v>32888.823987353098</v>
      </c>
      <c r="O83" s="66">
        <v>33218.508118703401</v>
      </c>
      <c r="P83" s="66">
        <v>33548.192250053602</v>
      </c>
      <c r="Q83" s="66">
        <v>33877.876381403898</v>
      </c>
      <c r="R83" s="66">
        <v>34207.560512754098</v>
      </c>
      <c r="S83" s="66">
        <v>34394.800427427297</v>
      </c>
      <c r="T83" s="66">
        <v>34582.040342100503</v>
      </c>
      <c r="U83" s="66">
        <v>34769.280256773702</v>
      </c>
      <c r="V83" s="66">
        <v>34956.5201714469</v>
      </c>
      <c r="W83" s="66">
        <v>35143.760086119997</v>
      </c>
      <c r="X83" s="66">
        <v>35275.832030121303</v>
      </c>
      <c r="Y83" s="66">
        <v>35407.903974122601</v>
      </c>
      <c r="Z83" s="66">
        <v>35539.975918123899</v>
      </c>
      <c r="AA83" s="66">
        <v>35672.047862125197</v>
      </c>
      <c r="AB83" s="66">
        <v>35804.119806126502</v>
      </c>
      <c r="AC83" s="66">
        <v>35876.0838533231</v>
      </c>
      <c r="AD83" s="66">
        <v>35948.047900519698</v>
      </c>
      <c r="AE83" s="66">
        <v>36020.011947716303</v>
      </c>
      <c r="AF83" s="66">
        <v>36091.9759949129</v>
      </c>
      <c r="AG83" s="66">
        <v>36163.940042109498</v>
      </c>
      <c r="AH83" s="66">
        <v>36287.331365920501</v>
      </c>
      <c r="AI83" s="66">
        <v>36410.722689731498</v>
      </c>
      <c r="AJ83" s="66">
        <v>36534.114013542501</v>
      </c>
      <c r="AK83" s="66">
        <v>36657.505337353497</v>
      </c>
      <c r="AL83" s="66">
        <v>36780.896661164501</v>
      </c>
      <c r="AM83" s="66">
        <v>36913.529601854199</v>
      </c>
      <c r="AN83" s="66">
        <v>37046.162542544</v>
      </c>
      <c r="AO83" s="66">
        <v>37178.795483233698</v>
      </c>
      <c r="AP83" s="66">
        <v>37311.428423923397</v>
      </c>
      <c r="AQ83" s="66">
        <v>37444.061364613197</v>
      </c>
      <c r="AR83" s="66">
        <v>37444.061364613197</v>
      </c>
      <c r="AS83" s="66">
        <v>37444.061364613197</v>
      </c>
      <c r="AT83" s="66">
        <v>37444.061364613197</v>
      </c>
      <c r="AU83" s="66">
        <v>37444.061364613197</v>
      </c>
      <c r="AV83" s="66">
        <v>37444.061364613197</v>
      </c>
      <c r="AW83" s="66">
        <v>37444.061364613197</v>
      </c>
      <c r="AX83" s="66">
        <v>37444.061364613197</v>
      </c>
      <c r="AY83" s="66">
        <v>37444.061364613197</v>
      </c>
      <c r="AZ83" s="66">
        <v>37444.061364613197</v>
      </c>
      <c r="BA83" s="66">
        <v>37444.061364613197</v>
      </c>
    </row>
    <row r="84" spans="1:53" ht="15.75" x14ac:dyDescent="0.25">
      <c r="A84" s="68" t="s">
        <v>220</v>
      </c>
      <c r="B84" s="66" t="s">
        <v>274</v>
      </c>
      <c r="C84" s="66">
        <v>33346.165253846499</v>
      </c>
      <c r="D84" s="66">
        <v>33196.863402926603</v>
      </c>
      <c r="E84" s="66">
        <v>33047.5615520067</v>
      </c>
      <c r="F84" s="66">
        <v>32898.259701086798</v>
      </c>
      <c r="G84" s="66">
        <v>32748.957850166898</v>
      </c>
      <c r="H84" s="66">
        <v>32599.655999246999</v>
      </c>
      <c r="I84" s="66">
        <v>32842.649489881202</v>
      </c>
      <c r="J84" s="66">
        <v>33085.642980515498</v>
      </c>
      <c r="K84" s="66">
        <v>33328.636471149803</v>
      </c>
      <c r="L84" s="66">
        <v>33571.6299617841</v>
      </c>
      <c r="M84" s="66">
        <v>33814.623452418396</v>
      </c>
      <c r="N84" s="66">
        <v>34018.455779169803</v>
      </c>
      <c r="O84" s="66">
        <v>34222.288105921303</v>
      </c>
      <c r="P84" s="66">
        <v>34426.120432672702</v>
      </c>
      <c r="Q84" s="66">
        <v>34629.952759424203</v>
      </c>
      <c r="R84" s="66">
        <v>34833.785086175601</v>
      </c>
      <c r="S84" s="66">
        <v>35044.833122538897</v>
      </c>
      <c r="T84" s="66">
        <v>35255.881158902099</v>
      </c>
      <c r="U84" s="66">
        <v>35466.9291952653</v>
      </c>
      <c r="V84" s="66">
        <v>35677.977231628502</v>
      </c>
      <c r="W84" s="66">
        <v>35889.025267991703</v>
      </c>
      <c r="X84" s="66">
        <v>35872.046367672701</v>
      </c>
      <c r="Y84" s="66">
        <v>35855.067467353598</v>
      </c>
      <c r="Z84" s="66">
        <v>35838.088567034501</v>
      </c>
      <c r="AA84" s="66">
        <v>35821.1096667155</v>
      </c>
      <c r="AB84" s="66">
        <v>35804.130766396403</v>
      </c>
      <c r="AC84" s="66">
        <v>35876.088240460398</v>
      </c>
      <c r="AD84" s="66">
        <v>35948.045714524298</v>
      </c>
      <c r="AE84" s="66">
        <v>36020.0031885883</v>
      </c>
      <c r="AF84" s="66">
        <v>36091.960662652302</v>
      </c>
      <c r="AG84" s="66">
        <v>36163.918136716296</v>
      </c>
      <c r="AH84" s="66">
        <v>36287.315730036702</v>
      </c>
      <c r="AI84" s="66">
        <v>36410.713323357202</v>
      </c>
      <c r="AJ84" s="66">
        <v>36534.110916677702</v>
      </c>
      <c r="AK84" s="66">
        <v>36657.508509998101</v>
      </c>
      <c r="AL84" s="66">
        <v>36780.906103318601</v>
      </c>
      <c r="AM84" s="66">
        <v>36913.536544001203</v>
      </c>
      <c r="AN84" s="66">
        <v>37046.166984683798</v>
      </c>
      <c r="AO84" s="66">
        <v>37178.7974253664</v>
      </c>
      <c r="AP84" s="66">
        <v>37311.427866049002</v>
      </c>
      <c r="AQ84" s="66">
        <v>37444.058306731597</v>
      </c>
      <c r="AR84" s="66">
        <v>37444.058306731597</v>
      </c>
      <c r="AS84" s="66">
        <v>37444.058306731597</v>
      </c>
      <c r="AT84" s="66">
        <v>37444.058306731597</v>
      </c>
      <c r="AU84" s="66">
        <v>37444.058306731597</v>
      </c>
      <c r="AV84" s="66">
        <v>37444.058306731597</v>
      </c>
      <c r="AW84" s="66">
        <v>37444.058306731597</v>
      </c>
      <c r="AX84" s="66">
        <v>37444.058306731597</v>
      </c>
      <c r="AY84" s="66">
        <v>37444.058306731597</v>
      </c>
      <c r="AZ84" s="66">
        <v>37444.058306731597</v>
      </c>
      <c r="BA84" s="66">
        <v>37444.058306731597</v>
      </c>
    </row>
    <row r="85" spans="1:53" ht="15.75" x14ac:dyDescent="0.25">
      <c r="A85" s="68" t="s">
        <v>221</v>
      </c>
      <c r="B85" s="66" t="s">
        <v>275</v>
      </c>
      <c r="C85" s="66">
        <v>34768.761814708399</v>
      </c>
      <c r="D85" s="66">
        <v>34874.359196547302</v>
      </c>
      <c r="E85" s="66">
        <v>34979.956578386104</v>
      </c>
      <c r="F85" s="66">
        <v>35085.553960224897</v>
      </c>
      <c r="G85" s="66">
        <v>35191.1513420638</v>
      </c>
      <c r="H85" s="66">
        <v>35296.748723902601</v>
      </c>
      <c r="I85" s="66">
        <v>35258.3694670431</v>
      </c>
      <c r="J85" s="66">
        <v>35219.9902101837</v>
      </c>
      <c r="K85" s="66">
        <v>35181.610953324198</v>
      </c>
      <c r="L85" s="66">
        <v>35143.231696464703</v>
      </c>
      <c r="M85" s="66">
        <v>35104.852439605202</v>
      </c>
      <c r="N85" s="66">
        <v>35196.179680737703</v>
      </c>
      <c r="O85" s="66">
        <v>35287.506921870197</v>
      </c>
      <c r="P85" s="66">
        <v>35378.834163002699</v>
      </c>
      <c r="Q85" s="66">
        <v>35470.161404135099</v>
      </c>
      <c r="R85" s="66">
        <v>35561.4886452676</v>
      </c>
      <c r="S85" s="66">
        <v>35651.631605449198</v>
      </c>
      <c r="T85" s="66">
        <v>35741.774565630702</v>
      </c>
      <c r="U85" s="66">
        <v>35831.9175258123</v>
      </c>
      <c r="V85" s="66">
        <v>35922.060485993898</v>
      </c>
      <c r="W85" s="66">
        <v>36012.203446175503</v>
      </c>
      <c r="X85" s="66">
        <v>35970.592426470401</v>
      </c>
      <c r="Y85" s="66">
        <v>35928.981406765299</v>
      </c>
      <c r="Z85" s="66">
        <v>35887.370387060197</v>
      </c>
      <c r="AA85" s="66">
        <v>35845.759367355102</v>
      </c>
      <c r="AB85" s="66">
        <v>35804.148347650102</v>
      </c>
      <c r="AC85" s="66">
        <v>35876.111654955297</v>
      </c>
      <c r="AD85" s="66">
        <v>35948.074962260602</v>
      </c>
      <c r="AE85" s="66">
        <v>36020.038269565899</v>
      </c>
      <c r="AF85" s="66">
        <v>36092.001576871102</v>
      </c>
      <c r="AG85" s="66">
        <v>36163.964884176399</v>
      </c>
      <c r="AH85" s="66">
        <v>36287.359135307503</v>
      </c>
      <c r="AI85" s="66">
        <v>36410.753386438599</v>
      </c>
      <c r="AJ85" s="66">
        <v>36534.147637569797</v>
      </c>
      <c r="AK85" s="66">
        <v>36657.5418887009</v>
      </c>
      <c r="AL85" s="66">
        <v>36780.936139832003</v>
      </c>
      <c r="AM85" s="66">
        <v>36913.564143494397</v>
      </c>
      <c r="AN85" s="66">
        <v>37046.1921471569</v>
      </c>
      <c r="AO85" s="66">
        <v>37178.820150819301</v>
      </c>
      <c r="AP85" s="66">
        <v>37311.448154481703</v>
      </c>
      <c r="AQ85" s="66">
        <v>37444.076158144198</v>
      </c>
      <c r="AR85" s="66">
        <v>37444.076158144198</v>
      </c>
      <c r="AS85" s="66">
        <v>37444.076158144198</v>
      </c>
      <c r="AT85" s="66">
        <v>37444.076158144198</v>
      </c>
      <c r="AU85" s="66">
        <v>37444.076158144198</v>
      </c>
      <c r="AV85" s="66">
        <v>37444.076158144198</v>
      </c>
      <c r="AW85" s="66">
        <v>37444.076158144198</v>
      </c>
      <c r="AX85" s="66">
        <v>37444.076158144198</v>
      </c>
      <c r="AY85" s="66">
        <v>37444.076158144198</v>
      </c>
      <c r="AZ85" s="66">
        <v>37444.076158144198</v>
      </c>
      <c r="BA85" s="66">
        <v>37444.076158144198</v>
      </c>
    </row>
    <row r="86" spans="1:53" ht="15.75" x14ac:dyDescent="0.25">
      <c r="A86" s="68" t="s">
        <v>219</v>
      </c>
      <c r="B86" s="66" t="s">
        <v>276</v>
      </c>
      <c r="C86" s="66">
        <v>21091.627394977299</v>
      </c>
      <c r="D86" s="66">
        <v>21037.2655284008</v>
      </c>
      <c r="E86" s="66">
        <v>20982.903661824399</v>
      </c>
      <c r="F86" s="66">
        <v>20928.5417952479</v>
      </c>
      <c r="G86" s="66">
        <v>20874.1799286715</v>
      </c>
      <c r="H86" s="66">
        <v>20819.818062095001</v>
      </c>
      <c r="I86" s="66">
        <v>20953.839773384399</v>
      </c>
      <c r="J86" s="66">
        <v>21087.861484673798</v>
      </c>
      <c r="K86" s="66">
        <v>21221.883195963299</v>
      </c>
      <c r="L86" s="66">
        <v>21355.904907252701</v>
      </c>
      <c r="M86" s="66">
        <v>21489.9266185421</v>
      </c>
      <c r="N86" s="66">
        <v>21724.936820316099</v>
      </c>
      <c r="O86" s="66">
        <v>21959.9470220902</v>
      </c>
      <c r="P86" s="66">
        <v>22194.957223864199</v>
      </c>
      <c r="Q86" s="66">
        <v>22429.967425638199</v>
      </c>
      <c r="R86" s="66">
        <v>22664.9776274123</v>
      </c>
      <c r="S86" s="66">
        <v>22777.3993085865</v>
      </c>
      <c r="T86" s="66">
        <v>22889.820989760701</v>
      </c>
      <c r="U86" s="66">
        <v>23002.2426709348</v>
      </c>
      <c r="V86" s="66">
        <v>23114.664352109001</v>
      </c>
      <c r="W86" s="66">
        <v>23227.086033283202</v>
      </c>
      <c r="X86" s="66">
        <v>23310.4589883958</v>
      </c>
      <c r="Y86" s="66">
        <v>23393.831943508401</v>
      </c>
      <c r="Z86" s="66">
        <v>23477.204898620901</v>
      </c>
      <c r="AA86" s="66">
        <v>23560.577853733499</v>
      </c>
      <c r="AB86" s="66">
        <v>23643.950808846101</v>
      </c>
      <c r="AC86" s="66">
        <v>23696.126683395501</v>
      </c>
      <c r="AD86" s="66">
        <v>23748.302557944899</v>
      </c>
      <c r="AE86" s="66">
        <v>23800.478432494299</v>
      </c>
      <c r="AF86" s="66">
        <v>23852.6543070437</v>
      </c>
      <c r="AG86" s="66">
        <v>23904.830181593101</v>
      </c>
      <c r="AH86" s="66">
        <v>23991.649797753798</v>
      </c>
      <c r="AI86" s="66">
        <v>24078.469413914601</v>
      </c>
      <c r="AJ86" s="66">
        <v>24165.289030075299</v>
      </c>
      <c r="AK86" s="66">
        <v>24252.108646236</v>
      </c>
      <c r="AL86" s="66">
        <v>24338.928262396701</v>
      </c>
      <c r="AM86" s="66">
        <v>24427.7320157084</v>
      </c>
      <c r="AN86" s="66">
        <v>24516.535769020102</v>
      </c>
      <c r="AO86" s="66">
        <v>24605.339522331698</v>
      </c>
      <c r="AP86" s="66">
        <v>24694.143275643401</v>
      </c>
      <c r="AQ86" s="66">
        <v>24782.947028955099</v>
      </c>
      <c r="AR86" s="66">
        <v>24782.947028955099</v>
      </c>
      <c r="AS86" s="66">
        <v>24782.947028955099</v>
      </c>
      <c r="AT86" s="66">
        <v>24782.947028955099</v>
      </c>
      <c r="AU86" s="66">
        <v>24782.947028955099</v>
      </c>
      <c r="AV86" s="66">
        <v>24782.947028955099</v>
      </c>
      <c r="AW86" s="66">
        <v>24782.947028955099</v>
      </c>
      <c r="AX86" s="66">
        <v>24782.947028955099</v>
      </c>
      <c r="AY86" s="66">
        <v>24782.947028955099</v>
      </c>
      <c r="AZ86" s="66">
        <v>24782.947028955099</v>
      </c>
      <c r="BA86" s="66">
        <v>24782.947028955099</v>
      </c>
    </row>
    <row r="87" spans="1:53" ht="15.75" x14ac:dyDescent="0.25">
      <c r="A87" s="68" t="s">
        <v>220</v>
      </c>
      <c r="B87" s="66" t="s">
        <v>277</v>
      </c>
      <c r="C87" s="66">
        <v>21659.777928002099</v>
      </c>
      <c r="D87" s="66">
        <v>21791.387955775499</v>
      </c>
      <c r="E87" s="66">
        <v>21922.997983548899</v>
      </c>
      <c r="F87" s="66">
        <v>22054.6080113223</v>
      </c>
      <c r="G87" s="66">
        <v>22186.218039095598</v>
      </c>
      <c r="H87" s="66">
        <v>22317.828066868999</v>
      </c>
      <c r="I87" s="66">
        <v>22305.2654963194</v>
      </c>
      <c r="J87" s="66">
        <v>22292.702925769801</v>
      </c>
      <c r="K87" s="66">
        <v>22280.140355220199</v>
      </c>
      <c r="L87" s="66">
        <v>22267.577784670499</v>
      </c>
      <c r="M87" s="66">
        <v>22255.0152141209</v>
      </c>
      <c r="N87" s="66">
        <v>22421.279904337502</v>
      </c>
      <c r="O87" s="66">
        <v>22587.544594554001</v>
      </c>
      <c r="P87" s="66">
        <v>22753.809284770599</v>
      </c>
      <c r="Q87" s="66">
        <v>22920.073974987201</v>
      </c>
      <c r="R87" s="66">
        <v>23086.338665203701</v>
      </c>
      <c r="S87" s="66">
        <v>23225.269035171699</v>
      </c>
      <c r="T87" s="66">
        <v>23364.199405139701</v>
      </c>
      <c r="U87" s="66">
        <v>23503.1297751077</v>
      </c>
      <c r="V87" s="66">
        <v>23642.0601450756</v>
      </c>
      <c r="W87" s="66">
        <v>23780.990515043599</v>
      </c>
      <c r="X87" s="66">
        <v>23753.581778601299</v>
      </c>
      <c r="Y87" s="66">
        <v>23726.173042158902</v>
      </c>
      <c r="Z87" s="66">
        <v>23698.764305716599</v>
      </c>
      <c r="AA87" s="66">
        <v>23671.355569274201</v>
      </c>
      <c r="AB87" s="66">
        <v>23643.946832831902</v>
      </c>
      <c r="AC87" s="66">
        <v>23696.121758489699</v>
      </c>
      <c r="AD87" s="66">
        <v>23748.296684147499</v>
      </c>
      <c r="AE87" s="66">
        <v>23800.4716098053</v>
      </c>
      <c r="AF87" s="66">
        <v>23852.6465354631</v>
      </c>
      <c r="AG87" s="66">
        <v>23904.8214611209</v>
      </c>
      <c r="AH87" s="66">
        <v>23991.640895692701</v>
      </c>
      <c r="AI87" s="66">
        <v>24078.460330264399</v>
      </c>
      <c r="AJ87" s="66">
        <v>24165.279764836199</v>
      </c>
      <c r="AK87" s="66">
        <v>24252.099199408</v>
      </c>
      <c r="AL87" s="66">
        <v>24338.918633979702</v>
      </c>
      <c r="AM87" s="66">
        <v>24427.724380483702</v>
      </c>
      <c r="AN87" s="66">
        <v>24516.5301269878</v>
      </c>
      <c r="AO87" s="66">
        <v>24605.3358734918</v>
      </c>
      <c r="AP87" s="66">
        <v>24694.1416199958</v>
      </c>
      <c r="AQ87" s="66">
        <v>24782.9473664998</v>
      </c>
      <c r="AR87" s="66">
        <v>24782.9473664998</v>
      </c>
      <c r="AS87" s="66">
        <v>24782.9473664998</v>
      </c>
      <c r="AT87" s="66">
        <v>24782.9473664998</v>
      </c>
      <c r="AU87" s="66">
        <v>24782.9473664998</v>
      </c>
      <c r="AV87" s="66">
        <v>24782.9473664998</v>
      </c>
      <c r="AW87" s="66">
        <v>24782.9473664998</v>
      </c>
      <c r="AX87" s="66">
        <v>24782.9473664998</v>
      </c>
      <c r="AY87" s="66">
        <v>24782.9473664998</v>
      </c>
      <c r="AZ87" s="66">
        <v>24782.9473664998</v>
      </c>
      <c r="BA87" s="66">
        <v>24782.9473664998</v>
      </c>
    </row>
    <row r="88" spans="1:53" ht="15.75" x14ac:dyDescent="0.25">
      <c r="A88" s="68" t="s">
        <v>221</v>
      </c>
      <c r="B88" s="66" t="s">
        <v>278</v>
      </c>
      <c r="C88" s="66">
        <v>22089.612400879501</v>
      </c>
      <c r="D88" s="66">
        <v>22254.830516849201</v>
      </c>
      <c r="E88" s="66">
        <v>22420.048632819002</v>
      </c>
      <c r="F88" s="66">
        <v>22585.266748788701</v>
      </c>
      <c r="G88" s="66">
        <v>22750.484864758499</v>
      </c>
      <c r="H88" s="66">
        <v>22915.702980728202</v>
      </c>
      <c r="I88" s="66">
        <v>22961.0601345865</v>
      </c>
      <c r="J88" s="66">
        <v>23006.4172884447</v>
      </c>
      <c r="K88" s="66">
        <v>23051.7744423029</v>
      </c>
      <c r="L88" s="66">
        <v>23097.1315961611</v>
      </c>
      <c r="M88" s="66">
        <v>23142.488750019402</v>
      </c>
      <c r="N88" s="66">
        <v>23237.1787034726</v>
      </c>
      <c r="O88" s="66">
        <v>23331.868656925799</v>
      </c>
      <c r="P88" s="66">
        <v>23426.558610379001</v>
      </c>
      <c r="Q88" s="66">
        <v>23521.2485638322</v>
      </c>
      <c r="R88" s="66">
        <v>23615.938517285402</v>
      </c>
      <c r="S88" s="66">
        <v>23667.042041819201</v>
      </c>
      <c r="T88" s="66">
        <v>23718.145566353101</v>
      </c>
      <c r="U88" s="66">
        <v>23769.2490908869</v>
      </c>
      <c r="V88" s="66">
        <v>23820.352615420699</v>
      </c>
      <c r="W88" s="66">
        <v>23871.456139954498</v>
      </c>
      <c r="X88" s="66">
        <v>23825.9595253433</v>
      </c>
      <c r="Y88" s="66">
        <v>23780.4629107322</v>
      </c>
      <c r="Z88" s="66">
        <v>23734.966296121002</v>
      </c>
      <c r="AA88" s="66">
        <v>23689.4696815098</v>
      </c>
      <c r="AB88" s="66">
        <v>23643.973066898601</v>
      </c>
      <c r="AC88" s="66">
        <v>23696.145507457801</v>
      </c>
      <c r="AD88" s="66">
        <v>23748.317948017</v>
      </c>
      <c r="AE88" s="66">
        <v>23800.490388576301</v>
      </c>
      <c r="AF88" s="66">
        <v>23852.662829135501</v>
      </c>
      <c r="AG88" s="66">
        <v>23904.8352696947</v>
      </c>
      <c r="AH88" s="66">
        <v>23991.6580708851</v>
      </c>
      <c r="AI88" s="66">
        <v>24078.480872075401</v>
      </c>
      <c r="AJ88" s="66">
        <v>24165.3036732658</v>
      </c>
      <c r="AK88" s="66">
        <v>24252.1264744562</v>
      </c>
      <c r="AL88" s="66">
        <v>24338.949275646501</v>
      </c>
      <c r="AM88" s="66">
        <v>24427.753076080298</v>
      </c>
      <c r="AN88" s="66">
        <v>24516.5568765141</v>
      </c>
      <c r="AO88" s="66">
        <v>24605.360676947999</v>
      </c>
      <c r="AP88" s="66">
        <v>24694.164477381801</v>
      </c>
      <c r="AQ88" s="66">
        <v>24782.968277815598</v>
      </c>
      <c r="AR88" s="66">
        <v>24782.968277815598</v>
      </c>
      <c r="AS88" s="66">
        <v>24782.968277815598</v>
      </c>
      <c r="AT88" s="66">
        <v>24782.968277815598</v>
      </c>
      <c r="AU88" s="66">
        <v>24782.968277815598</v>
      </c>
      <c r="AV88" s="66">
        <v>24782.968277815598</v>
      </c>
      <c r="AW88" s="66">
        <v>24782.968277815598</v>
      </c>
      <c r="AX88" s="66">
        <v>24782.968277815598</v>
      </c>
      <c r="AY88" s="66">
        <v>24782.968277815598</v>
      </c>
      <c r="AZ88" s="66">
        <v>24782.968277815598</v>
      </c>
      <c r="BA88" s="66">
        <v>24782.968277815598</v>
      </c>
    </row>
    <row r="89" spans="1:53" ht="15.75" x14ac:dyDescent="0.25">
      <c r="A89" s="66"/>
      <c r="B89" s="66" t="s">
        <v>279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6"/>
      <c r="AW89" s="66"/>
      <c r="AX89" s="66"/>
      <c r="AY89" s="66"/>
      <c r="AZ89" s="66"/>
      <c r="BA89" s="66"/>
    </row>
    <row r="90" spans="1:53" ht="15.75" x14ac:dyDescent="0.25">
      <c r="A90" s="66"/>
      <c r="B90" s="66" t="s">
        <v>280</v>
      </c>
      <c r="C90" s="66">
        <v>36212.917622817593</v>
      </c>
      <c r="D90" s="66">
        <v>35995.436443432634</v>
      </c>
      <c r="E90" s="66">
        <v>35777.955264047698</v>
      </c>
      <c r="F90" s="66">
        <v>35560.474084662776</v>
      </c>
      <c r="G90" s="66">
        <v>35342.992905277788</v>
      </c>
      <c r="H90" s="66">
        <v>35125.511725892873</v>
      </c>
      <c r="I90" s="66">
        <v>35092.616355598533</v>
      </c>
      <c r="J90" s="66">
        <v>35059.72098530423</v>
      </c>
      <c r="K90" s="66">
        <v>35026.82561500989</v>
      </c>
      <c r="L90" s="66">
        <v>34993.930244715593</v>
      </c>
      <c r="M90" s="66">
        <v>34961.034874421275</v>
      </c>
      <c r="N90" s="66">
        <v>35044.534078823126</v>
      </c>
      <c r="O90" s="66">
        <v>35128.033283224977</v>
      </c>
      <c r="P90" s="66">
        <v>35211.532487626893</v>
      </c>
      <c r="Q90" s="66">
        <v>35295.031692028722</v>
      </c>
      <c r="R90" s="66">
        <v>35378.53089643058</v>
      </c>
      <c r="S90" s="66">
        <v>35519.507405075063</v>
      </c>
      <c r="T90" s="66">
        <v>35660.483913719538</v>
      </c>
      <c r="U90" s="66">
        <v>35801.460422363969</v>
      </c>
      <c r="V90" s="66">
        <v>35942.436931008444</v>
      </c>
      <c r="W90" s="66">
        <v>36083.413439652904</v>
      </c>
      <c r="X90" s="66">
        <v>36110.468399902995</v>
      </c>
      <c r="Y90" s="66">
        <v>36137.52336015302</v>
      </c>
      <c r="Z90" s="66">
        <v>36164.578320403096</v>
      </c>
      <c r="AA90" s="66">
        <v>36191.633280653135</v>
      </c>
      <c r="AB90" s="66">
        <v>36218.68824090319</v>
      </c>
      <c r="AC90" s="66">
        <v>36304.420718144684</v>
      </c>
      <c r="AD90" s="66">
        <v>36390.153195386178</v>
      </c>
      <c r="AE90" s="66">
        <v>36475.885672627621</v>
      </c>
      <c r="AF90" s="66">
        <v>36561.618149869115</v>
      </c>
      <c r="AG90" s="66">
        <v>36647.350627110602</v>
      </c>
      <c r="AH90" s="66">
        <v>36746.835188994162</v>
      </c>
      <c r="AI90" s="66">
        <v>36846.319750877708</v>
      </c>
      <c r="AJ90" s="66">
        <v>36945.804312761255</v>
      </c>
      <c r="AK90" s="66">
        <v>37045.288874644808</v>
      </c>
      <c r="AL90" s="66">
        <v>37144.773436528369</v>
      </c>
      <c r="AM90" s="66">
        <v>37248.895799007085</v>
      </c>
      <c r="AN90" s="66">
        <v>37353.018161485779</v>
      </c>
      <c r="AO90" s="66">
        <v>37457.140523964496</v>
      </c>
      <c r="AP90" s="66">
        <v>37561.262886443212</v>
      </c>
      <c r="AQ90" s="66">
        <v>37665.385248921906</v>
      </c>
      <c r="AR90" s="66">
        <v>37665.385248921906</v>
      </c>
      <c r="AS90" s="66">
        <v>37665.385248921906</v>
      </c>
      <c r="AT90" s="66">
        <v>37665.385248921906</v>
      </c>
      <c r="AU90" s="66">
        <v>37665.385248921906</v>
      </c>
      <c r="AV90" s="66">
        <v>37665.385248921906</v>
      </c>
      <c r="AW90" s="66">
        <v>37665.385248921906</v>
      </c>
      <c r="AX90" s="66">
        <v>37665.385248921906</v>
      </c>
      <c r="AY90" s="66">
        <v>37665.385248921906</v>
      </c>
      <c r="AZ90" s="66">
        <v>37665.385248921906</v>
      </c>
      <c r="BA90" s="66">
        <v>37665.385248921906</v>
      </c>
    </row>
    <row r="91" spans="1:53" ht="15.75" x14ac:dyDescent="0.25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6"/>
      <c r="AV91" s="66"/>
      <c r="AW91" s="66"/>
      <c r="AX91" s="66"/>
      <c r="AY91" s="66"/>
      <c r="AZ91" s="66"/>
      <c r="BA91" s="66"/>
    </row>
    <row r="92" spans="1:53" ht="15.75" x14ac:dyDescent="0.25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6"/>
      <c r="AV92" s="66"/>
      <c r="AW92" s="66"/>
      <c r="AX92" s="66"/>
      <c r="AY92" s="66"/>
      <c r="AZ92" s="66"/>
      <c r="BA92" s="66"/>
    </row>
    <row r="93" spans="1:53" ht="15.75" x14ac:dyDescent="0.25">
      <c r="A93" s="56" t="s">
        <v>281</v>
      </c>
      <c r="B93" s="66" t="s">
        <v>282</v>
      </c>
      <c r="C93" s="69">
        <v>2020</v>
      </c>
      <c r="D93" s="69">
        <v>2021</v>
      </c>
      <c r="E93" s="69">
        <v>2022</v>
      </c>
      <c r="F93" s="69">
        <v>2023</v>
      </c>
      <c r="G93" s="69">
        <v>2024</v>
      </c>
      <c r="H93" s="69">
        <v>2025</v>
      </c>
      <c r="I93" s="69">
        <v>2026</v>
      </c>
      <c r="J93" s="69">
        <v>2027</v>
      </c>
      <c r="K93" s="69">
        <v>2028</v>
      </c>
      <c r="L93" s="69">
        <v>2029</v>
      </c>
      <c r="M93" s="69">
        <v>2030</v>
      </c>
      <c r="N93" s="69">
        <v>2031</v>
      </c>
      <c r="O93" s="69">
        <v>2032</v>
      </c>
      <c r="P93" s="69">
        <v>2033</v>
      </c>
      <c r="Q93" s="69">
        <v>2034</v>
      </c>
      <c r="R93" s="69">
        <v>2035</v>
      </c>
      <c r="S93" s="69">
        <v>2036</v>
      </c>
      <c r="T93" s="69">
        <v>2037</v>
      </c>
      <c r="U93" s="69">
        <v>2038</v>
      </c>
      <c r="V93" s="69">
        <v>2039</v>
      </c>
      <c r="W93" s="69">
        <v>2040</v>
      </c>
      <c r="X93" s="69">
        <v>2041</v>
      </c>
      <c r="Y93" s="69">
        <v>2042</v>
      </c>
      <c r="Z93" s="69">
        <v>2043</v>
      </c>
      <c r="AA93" s="69">
        <v>2044</v>
      </c>
      <c r="AB93" s="69">
        <v>2045</v>
      </c>
      <c r="AC93" s="69">
        <v>2046</v>
      </c>
      <c r="AD93" s="69">
        <v>2047</v>
      </c>
      <c r="AE93" s="69">
        <v>2048</v>
      </c>
      <c r="AF93" s="69">
        <v>2049</v>
      </c>
      <c r="AG93" s="69">
        <v>2050</v>
      </c>
      <c r="AH93" s="69"/>
      <c r="AI93" s="69"/>
      <c r="AJ93" s="69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6"/>
      <c r="AV93" s="66"/>
      <c r="AW93" s="66"/>
      <c r="AX93" s="66"/>
      <c r="AY93" s="66"/>
      <c r="AZ93" s="66"/>
      <c r="BA93" s="66"/>
    </row>
    <row r="94" spans="1:53" ht="15.75" x14ac:dyDescent="0.25">
      <c r="A94" s="68" t="s">
        <v>219</v>
      </c>
      <c r="B94" s="66" t="s">
        <v>213</v>
      </c>
      <c r="C94" s="70">
        <v>28710.322132816953</v>
      </c>
      <c r="D94" s="70">
        <v>28740.361267211476</v>
      </c>
      <c r="E94" s="70">
        <v>28770.640209197707</v>
      </c>
      <c r="F94" s="70">
        <v>28801.158861193297</v>
      </c>
      <c r="G94" s="70">
        <v>28831.917125668646</v>
      </c>
      <c r="H94" s="70">
        <v>28862.914905147245</v>
      </c>
      <c r="I94" s="70">
        <v>28717.200325824579</v>
      </c>
      <c r="J94" s="70">
        <v>28573.837952827373</v>
      </c>
      <c r="K94" s="70">
        <v>28432.843015929622</v>
      </c>
      <c r="L94" s="70">
        <v>28294.23087666685</v>
      </c>
      <c r="M94" s="70">
        <v>28158.017029763927</v>
      </c>
      <c r="N94" s="70">
        <v>28447.914960283164</v>
      </c>
      <c r="O94" s="70">
        <v>28737.820781666884</v>
      </c>
      <c r="P94" s="70">
        <v>29027.734254104627</v>
      </c>
      <c r="Q94" s="70">
        <v>29317.655147406247</v>
      </c>
      <c r="R94" s="70">
        <v>29607.583240523665</v>
      </c>
      <c r="S94" s="70">
        <v>29766.428851142275</v>
      </c>
      <c r="T94" s="70">
        <v>29925.277854408047</v>
      </c>
      <c r="U94" s="70">
        <v>30084.130197527837</v>
      </c>
      <c r="V94" s="70">
        <v>30242.985828798304</v>
      </c>
      <c r="W94" s="70">
        <v>30401.844697577679</v>
      </c>
      <c r="X94" s="70">
        <v>30515.019684416697</v>
      </c>
      <c r="Y94" s="70">
        <v>30628.195047925372</v>
      </c>
      <c r="Z94" s="70">
        <v>30741.370783978513</v>
      </c>
      <c r="AA94" s="70">
        <v>30854.546888511064</v>
      </c>
      <c r="AB94" s="70">
        <v>30967.723357516781</v>
      </c>
      <c r="AC94" s="70">
        <v>31031.244195760959</v>
      </c>
      <c r="AD94" s="70">
        <v>31094.765559132204</v>
      </c>
      <c r="AE94" s="70">
        <v>31158.287444361296</v>
      </c>
      <c r="AF94" s="70">
        <v>31221.809848206052</v>
      </c>
      <c r="AG94" s="70">
        <v>31285.332767451124</v>
      </c>
      <c r="AH94" s="70"/>
      <c r="AI94" s="70"/>
      <c r="AJ94" s="70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6"/>
      <c r="AV94" s="66"/>
      <c r="AW94" s="66"/>
      <c r="AX94" s="66"/>
      <c r="AY94" s="66"/>
      <c r="AZ94" s="66"/>
      <c r="BA94" s="66"/>
    </row>
    <row r="95" spans="1:53" ht="15.75" x14ac:dyDescent="0.25">
      <c r="A95" s="68" t="s">
        <v>220</v>
      </c>
      <c r="B95" s="66" t="s">
        <v>213</v>
      </c>
      <c r="C95" s="70">
        <v>28744.397888062351</v>
      </c>
      <c r="D95" s="70">
        <v>28676.968077147903</v>
      </c>
      <c r="E95" s="70">
        <v>28610.93607939504</v>
      </c>
      <c r="F95" s="70">
        <v>28546.303244862313</v>
      </c>
      <c r="G95" s="70">
        <v>28483.07092534742</v>
      </c>
      <c r="H95" s="70">
        <v>28421.240474390048</v>
      </c>
      <c r="I95" s="70">
        <v>28580.672447378776</v>
      </c>
      <c r="J95" s="70">
        <v>28740.915769933003</v>
      </c>
      <c r="K95" s="70">
        <v>28901.960355873602</v>
      </c>
      <c r="L95" s="70">
        <v>29063.796285511478</v>
      </c>
      <c r="M95" s="70">
        <v>29226.413802226503</v>
      </c>
      <c r="N95" s="70">
        <v>29411.355422648674</v>
      </c>
      <c r="O95" s="70">
        <v>29596.323278761934</v>
      </c>
      <c r="P95" s="70">
        <v>29781.316861134808</v>
      </c>
      <c r="Q95" s="70">
        <v>29966.335673440339</v>
      </c>
      <c r="R95" s="70">
        <v>30151.379232036968</v>
      </c>
      <c r="S95" s="70">
        <v>30333.797005516542</v>
      </c>
      <c r="T95" s="70">
        <v>30516.214800821454</v>
      </c>
      <c r="U95" s="70">
        <v>30698.632617563169</v>
      </c>
      <c r="V95" s="70">
        <v>30881.050455362249</v>
      </c>
      <c r="W95" s="70">
        <v>31063.468313848229</v>
      </c>
      <c r="X95" s="70">
        <v>31044.307883452144</v>
      </c>
      <c r="Y95" s="70">
        <v>31025.15379853193</v>
      </c>
      <c r="Z95" s="70">
        <v>31006.006073280296</v>
      </c>
      <c r="AA95" s="70">
        <v>30986.864721932208</v>
      </c>
      <c r="AB95" s="70">
        <v>30967.729758765032</v>
      </c>
      <c r="AC95" s="70">
        <v>31031.245842030195</v>
      </c>
      <c r="AD95" s="70">
        <v>31094.762451193659</v>
      </c>
      <c r="AE95" s="70">
        <v>31158.279582981715</v>
      </c>
      <c r="AF95" s="70">
        <v>31221.797234147554</v>
      </c>
      <c r="AG95" s="70">
        <v>31285.315401471289</v>
      </c>
      <c r="AH95" s="70"/>
      <c r="AI95" s="70"/>
      <c r="AJ95" s="70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6"/>
      <c r="AV95" s="66"/>
      <c r="AW95" s="66"/>
      <c r="AX95" s="66"/>
      <c r="AY95" s="66"/>
      <c r="AZ95" s="66"/>
      <c r="BA95" s="66"/>
    </row>
    <row r="96" spans="1:53" ht="15.75" x14ac:dyDescent="0.25">
      <c r="A96" s="68" t="s">
        <v>221</v>
      </c>
      <c r="B96" s="66" t="s">
        <v>214</v>
      </c>
      <c r="C96" s="70">
        <v>29842.882382026088</v>
      </c>
      <c r="D96" s="70">
        <v>29958.387634931714</v>
      </c>
      <c r="E96" s="70">
        <v>30074.142616746009</v>
      </c>
      <c r="F96" s="70">
        <v>30190.143809374844</v>
      </c>
      <c r="G96" s="70">
        <v>30306.387760497608</v>
      </c>
      <c r="H96" s="70">
        <v>30422.871082036781</v>
      </c>
      <c r="I96" s="70">
        <v>30408.454910885299</v>
      </c>
      <c r="J96" s="70">
        <v>30394.163454050838</v>
      </c>
      <c r="K96" s="70">
        <v>30379.996666701074</v>
      </c>
      <c r="L96" s="70">
        <v>30365.95450402538</v>
      </c>
      <c r="M96" s="70">
        <v>30352.036921234514</v>
      </c>
      <c r="N96" s="70">
        <v>30440.446816702897</v>
      </c>
      <c r="O96" s="70">
        <v>30528.886091246739</v>
      </c>
      <c r="P96" s="70">
        <v>30617.3544660644</v>
      </c>
      <c r="Q96" s="70">
        <v>30705.851665870759</v>
      </c>
      <c r="R96" s="70">
        <v>30794.377418842192</v>
      </c>
      <c r="S96" s="70">
        <v>30870.004377183614</v>
      </c>
      <c r="T96" s="70">
        <v>30945.633194978374</v>
      </c>
      <c r="U96" s="70">
        <v>31021.263859006613</v>
      </c>
      <c r="V96" s="70">
        <v>31096.896356173373</v>
      </c>
      <c r="W96" s="70">
        <v>31172.530673507281</v>
      </c>
      <c r="X96" s="70">
        <v>31131.558694465555</v>
      </c>
      <c r="Y96" s="70">
        <v>31090.594501352422</v>
      </c>
      <c r="Z96" s="70">
        <v>31049.638128293333</v>
      </c>
      <c r="AA96" s="70">
        <v>31008.689609613521</v>
      </c>
      <c r="AB96" s="70">
        <v>30967.748979839445</v>
      </c>
      <c r="AC96" s="70">
        <v>31031.268369596062</v>
      </c>
      <c r="AD96" s="70">
        <v>31094.788283813279</v>
      </c>
      <c r="AE96" s="70">
        <v>31158.308719226068</v>
      </c>
      <c r="AF96" s="70">
        <v>31221.82967259637</v>
      </c>
      <c r="AG96" s="70">
        <v>31285.351140713188</v>
      </c>
      <c r="AH96" s="70"/>
      <c r="AI96" s="70"/>
      <c r="AJ96" s="70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6"/>
      <c r="AV96" s="66"/>
      <c r="AW96" s="66"/>
      <c r="AX96" s="66"/>
      <c r="AY96" s="66"/>
      <c r="AZ96" s="66"/>
      <c r="BA96" s="66"/>
    </row>
    <row r="97" spans="1:53" ht="15.75" x14ac:dyDescent="0.25">
      <c r="A97" s="68" t="s">
        <v>222</v>
      </c>
      <c r="B97" s="66" t="s">
        <v>214</v>
      </c>
      <c r="C97" s="70">
        <v>75846.446604917626</v>
      </c>
      <c r="D97" s="70">
        <v>74745.588157432809</v>
      </c>
      <c r="E97" s="70">
        <v>73758.184901119035</v>
      </c>
      <c r="F97" s="70">
        <v>72884.634676411981</v>
      </c>
      <c r="G97" s="70">
        <v>72125.337186006625</v>
      </c>
      <c r="H97" s="70">
        <v>71480.694005766389</v>
      </c>
      <c r="I97" s="70">
        <v>70922.611425347015</v>
      </c>
      <c r="J97" s="70">
        <v>70413.120806379782</v>
      </c>
      <c r="K97" s="70">
        <v>69952.752390230788</v>
      </c>
      <c r="L97" s="70">
        <v>69542.04416117417</v>
      </c>
      <c r="M97" s="70">
        <v>69181.54198824281</v>
      </c>
      <c r="N97" s="70">
        <v>69180.131818530455</v>
      </c>
      <c r="O97" s="70">
        <v>69188.970477484938</v>
      </c>
      <c r="P97" s="70">
        <v>69208.044257081739</v>
      </c>
      <c r="Q97" s="70">
        <v>69237.339473732121</v>
      </c>
      <c r="R97" s="70">
        <v>69276.84246822806</v>
      </c>
      <c r="S97" s="70">
        <v>69538.575912286236</v>
      </c>
      <c r="T97" s="70">
        <v>69803.277062369627</v>
      </c>
      <c r="U97" s="70">
        <v>70070.913785863042</v>
      </c>
      <c r="V97" s="70">
        <v>70341.454412367704</v>
      </c>
      <c r="W97" s="70">
        <v>70614.86772542019</v>
      </c>
      <c r="X97" s="70">
        <v>70686.211529501437</v>
      </c>
      <c r="Y97" s="70">
        <v>70757.843124658903</v>
      </c>
      <c r="Z97" s="70">
        <v>70829.761727331352</v>
      </c>
      <c r="AA97" s="70">
        <v>70901.966556799467</v>
      </c>
      <c r="AB97" s="70">
        <v>70974.456835173027</v>
      </c>
      <c r="AC97" s="70">
        <v>71303.864251888983</v>
      </c>
      <c r="AD97" s="70">
        <v>71633.817743775333</v>
      </c>
      <c r="AE97" s="70">
        <v>71964.309556551074</v>
      </c>
      <c r="AF97" s="70">
        <v>72295.332082058099</v>
      </c>
      <c r="AG97" s="70">
        <v>72626.877854835358</v>
      </c>
      <c r="AH97" s="70"/>
      <c r="AI97" s="70"/>
      <c r="AJ97" s="70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6"/>
      <c r="AV97" s="66"/>
      <c r="AW97" s="66"/>
      <c r="AX97" s="66"/>
      <c r="AY97" s="66"/>
      <c r="AZ97" s="66"/>
      <c r="BA97" s="66"/>
    </row>
    <row r="98" spans="1:53" ht="15.75" x14ac:dyDescent="0.25">
      <c r="A98" s="68" t="s">
        <v>223</v>
      </c>
      <c r="B98" s="66" t="s">
        <v>214</v>
      </c>
      <c r="C98" s="70">
        <v>157391.05412014163</v>
      </c>
      <c r="D98" s="70">
        <v>155345.28690078575</v>
      </c>
      <c r="E98" s="70">
        <v>153379.80032703816</v>
      </c>
      <c r="F98" s="70">
        <v>151498.63079788405</v>
      </c>
      <c r="G98" s="70">
        <v>149706.08991730609</v>
      </c>
      <c r="H98" s="70">
        <v>148006.78835563437</v>
      </c>
      <c r="I98" s="70">
        <v>146843.95302921996</v>
      </c>
      <c r="J98" s="70">
        <v>145721.6712522204</v>
      </c>
      <c r="K98" s="70">
        <v>144640.78515094591</v>
      </c>
      <c r="L98" s="70">
        <v>143602.16033078023</v>
      </c>
      <c r="M98" s="70">
        <v>142606.686700188</v>
      </c>
      <c r="N98" s="70">
        <v>142731.54725742762</v>
      </c>
      <c r="O98" s="70">
        <v>142868.66164392376</v>
      </c>
      <c r="P98" s="70">
        <v>143018.03910157658</v>
      </c>
      <c r="Q98" s="70">
        <v>143179.6888815795</v>
      </c>
      <c r="R98" s="70">
        <v>143353.6202444364</v>
      </c>
      <c r="S98" s="70">
        <v>143836.63603812424</v>
      </c>
      <c r="T98" s="70">
        <v>144324.95828991957</v>
      </c>
      <c r="U98" s="70">
        <v>144818.5402464194</v>
      </c>
      <c r="V98" s="70">
        <v>145317.33570185001</v>
      </c>
      <c r="W98" s="70">
        <v>145821.29899007289</v>
      </c>
      <c r="X98" s="70">
        <v>146102.18276683919</v>
      </c>
      <c r="Y98" s="70">
        <v>146383.29900552621</v>
      </c>
      <c r="Z98" s="70">
        <v>146664.64652360621</v>
      </c>
      <c r="AA98" s="70">
        <v>146946.22414655687</v>
      </c>
      <c r="AB98" s="70">
        <v>147228.03070779666</v>
      </c>
      <c r="AC98" s="70">
        <v>148034.15848818608</v>
      </c>
      <c r="AD98" s="70">
        <v>148841.79983870883</v>
      </c>
      <c r="AE98" s="70">
        <v>149650.93174543077</v>
      </c>
      <c r="AF98" s="70">
        <v>150461.53165863908</v>
      </c>
      <c r="AG98" s="70">
        <v>151273.57748119021</v>
      </c>
      <c r="AH98" s="70"/>
      <c r="AI98" s="70"/>
      <c r="AJ98" s="70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6"/>
      <c r="AV98" s="66"/>
      <c r="AW98" s="66"/>
      <c r="AX98" s="66"/>
      <c r="AY98" s="66"/>
      <c r="AZ98" s="66"/>
      <c r="BA98" s="66"/>
    </row>
    <row r="99" spans="1:53" ht="15.75" x14ac:dyDescent="0.25">
      <c r="A99" s="68" t="s">
        <v>224</v>
      </c>
      <c r="B99" s="66" t="s">
        <v>214</v>
      </c>
      <c r="C99" s="70">
        <v>26260.098720046608</v>
      </c>
      <c r="D99" s="70">
        <v>26546.403421560106</v>
      </c>
      <c r="E99" s="70">
        <v>26863.984419078723</v>
      </c>
      <c r="F99" s="70">
        <v>27213.575854042556</v>
      </c>
      <c r="G99" s="70">
        <v>27595.935025531449</v>
      </c>
      <c r="H99" s="70">
        <v>28011.843310624336</v>
      </c>
      <c r="I99" s="70">
        <v>28396.124484677814</v>
      </c>
      <c r="J99" s="70">
        <v>28780.696268455875</v>
      </c>
      <c r="K99" s="70">
        <v>29165.548643939848</v>
      </c>
      <c r="L99" s="70">
        <v>29550.672048340701</v>
      </c>
      <c r="M99" s="70">
        <v>29936.057348531449</v>
      </c>
      <c r="N99" s="70">
        <v>30431.20630168221</v>
      </c>
      <c r="O99" s="70">
        <v>30928.207047383996</v>
      </c>
      <c r="P99" s="70">
        <v>31426.980073833067</v>
      </c>
      <c r="Q99" s="70">
        <v>31927.450357069909</v>
      </c>
      <c r="R99" s="70">
        <v>32429.547048754041</v>
      </c>
      <c r="S99" s="70">
        <v>32687.595591208446</v>
      </c>
      <c r="T99" s="70">
        <v>32946.044261553288</v>
      </c>
      <c r="U99" s="70">
        <v>33204.884675531372</v>
      </c>
      <c r="V99" s="70">
        <v>33464.108681504928</v>
      </c>
      <c r="W99" s="70">
        <v>33723.708352443973</v>
      </c>
      <c r="X99" s="70">
        <v>33736.013549264331</v>
      </c>
      <c r="Y99" s="70">
        <v>33748.569918514186</v>
      </c>
      <c r="Z99" s="70">
        <v>33761.377193515073</v>
      </c>
      <c r="AA99" s="70">
        <v>33774.435107965735</v>
      </c>
      <c r="AB99" s="70">
        <v>33787.743395941885</v>
      </c>
      <c r="AC99" s="70">
        <v>33844.171060529276</v>
      </c>
      <c r="AD99" s="70">
        <v>33900.601111661883</v>
      </c>
      <c r="AE99" s="70">
        <v>33957.033538751013</v>
      </c>
      <c r="AF99" s="70">
        <v>34013.468331270284</v>
      </c>
      <c r="AG99" s="70">
        <v>34069.905478755602</v>
      </c>
      <c r="AH99" s="70"/>
      <c r="AI99" s="70"/>
      <c r="AJ99" s="70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6"/>
      <c r="AV99" s="66"/>
      <c r="AW99" s="66"/>
      <c r="AX99" s="66"/>
      <c r="AY99" s="66"/>
      <c r="AZ99" s="66"/>
      <c r="BA99" s="66"/>
    </row>
    <row r="100" spans="1:53" ht="15.75" x14ac:dyDescent="0.25">
      <c r="A100" s="68" t="s">
        <v>226</v>
      </c>
      <c r="B100" s="66" t="s">
        <v>235</v>
      </c>
      <c r="C100" s="70">
        <v>40527.6497901197</v>
      </c>
      <c r="D100" s="70">
        <v>40405.560395412562</v>
      </c>
      <c r="E100" s="70">
        <v>40283.47726571247</v>
      </c>
      <c r="F100" s="70">
        <v>40161.400462839643</v>
      </c>
      <c r="G100" s="70">
        <v>40039.330049429984</v>
      </c>
      <c r="H100" s="70">
        <v>39917.266088949087</v>
      </c>
      <c r="I100" s="70">
        <v>39908.477740093957</v>
      </c>
      <c r="J100" s="70">
        <v>39899.689402555268</v>
      </c>
      <c r="K100" s="70">
        <v>39890.901076340095</v>
      </c>
      <c r="L100" s="70">
        <v>39882.112761455719</v>
      </c>
      <c r="M100" s="70">
        <v>39873.324457909192</v>
      </c>
      <c r="N100" s="70">
        <v>39939.115919735646</v>
      </c>
      <c r="O100" s="70">
        <v>40004.943383131489</v>
      </c>
      <c r="P100" s="70">
        <v>40070.806607065497</v>
      </c>
      <c r="Q100" s="70">
        <v>40136.705352653327</v>
      </c>
      <c r="R100" s="70">
        <v>40202.639383133559</v>
      </c>
      <c r="S100" s="70">
        <v>40423.419128575959</v>
      </c>
      <c r="T100" s="70">
        <v>40644.239698878795</v>
      </c>
      <c r="U100" s="70">
        <v>40865.100357508483</v>
      </c>
      <c r="V100" s="70">
        <v>41086.000385542851</v>
      </c>
      <c r="W100" s="70">
        <v>41306.939081147939</v>
      </c>
      <c r="X100" s="70">
        <v>41355.316198315595</v>
      </c>
      <c r="Y100" s="70">
        <v>41403.730018840441</v>
      </c>
      <c r="Z100" s="70">
        <v>41452.180350456867</v>
      </c>
      <c r="AA100" s="70">
        <v>41500.667002239839</v>
      </c>
      <c r="AB100" s="70">
        <v>41549.189784593145</v>
      </c>
      <c r="AC100" s="70">
        <v>41489.282064496481</v>
      </c>
      <c r="AD100" s="70">
        <v>41429.378662825351</v>
      </c>
      <c r="AE100" s="70">
        <v>41369.479595757468</v>
      </c>
      <c r="AF100" s="70">
        <v>41309.584879551541</v>
      </c>
      <c r="AG100" s="70">
        <v>41249.694530547684</v>
      </c>
      <c r="AH100" s="70"/>
      <c r="AI100" s="70"/>
      <c r="AJ100" s="70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6"/>
      <c r="AV100" s="66"/>
      <c r="AW100" s="66"/>
      <c r="AX100" s="66"/>
      <c r="AY100" s="66"/>
      <c r="AZ100" s="66"/>
      <c r="BA100" s="66"/>
    </row>
    <row r="101" spans="1:53" ht="15.75" x14ac:dyDescent="0.25">
      <c r="A101" s="68" t="s">
        <v>227</v>
      </c>
      <c r="B101" s="66" t="s">
        <v>235</v>
      </c>
      <c r="C101" s="70">
        <v>45661.231653064497</v>
      </c>
      <c r="D101" s="70">
        <v>45232.754667082387</v>
      </c>
      <c r="E101" s="70">
        <v>44817.22281168597</v>
      </c>
      <c r="F101" s="70">
        <v>44415.092174538528</v>
      </c>
      <c r="G101" s="70">
        <v>44026.840523316372</v>
      </c>
      <c r="H101" s="70">
        <v>43652.968609394557</v>
      </c>
      <c r="I101" s="70">
        <v>43360.583883054525</v>
      </c>
      <c r="J101" s="70">
        <v>43082.300496240088</v>
      </c>
      <c r="K101" s="70">
        <v>42818.569560229073</v>
      </c>
      <c r="L101" s="70">
        <v>42569.861635498957</v>
      </c>
      <c r="M101" s="70">
        <v>42336.667791312364</v>
      </c>
      <c r="N101" s="70">
        <v>42214.662941461385</v>
      </c>
      <c r="O101" s="70">
        <v>42108.684813611682</v>
      </c>
      <c r="P101" s="70">
        <v>42019.156402106593</v>
      </c>
      <c r="Q101" s="70">
        <v>41946.515718900526</v>
      </c>
      <c r="R101" s="70">
        <v>41891.216465991711</v>
      </c>
      <c r="S101" s="70">
        <v>42006.901822181761</v>
      </c>
      <c r="T101" s="70">
        <v>42122.749128035808</v>
      </c>
      <c r="U101" s="70">
        <v>42238.757413232794</v>
      </c>
      <c r="V101" s="70">
        <v>42354.925715188001</v>
      </c>
      <c r="W101" s="70">
        <v>42471.253078975809</v>
      </c>
      <c r="X101" s="70">
        <v>42392.079825859619</v>
      </c>
      <c r="Y101" s="70">
        <v>42312.980081567839</v>
      </c>
      <c r="Z101" s="70">
        <v>42233.954145818308</v>
      </c>
      <c r="AA101" s="70">
        <v>42155.002319960666</v>
      </c>
      <c r="AB101" s="70">
        <v>42076.124906987025</v>
      </c>
      <c r="AC101" s="70">
        <v>42023.699372280869</v>
      </c>
      <c r="AD101" s="70">
        <v>41971.306986470678</v>
      </c>
      <c r="AE101" s="70">
        <v>41918.947839950495</v>
      </c>
      <c r="AF101" s="70">
        <v>41866.62202344332</v>
      </c>
      <c r="AG101" s="70">
        <v>41814.329628002539</v>
      </c>
      <c r="AH101" s="70"/>
      <c r="AI101" s="70"/>
      <c r="AJ101" s="70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6"/>
      <c r="AV101" s="66"/>
      <c r="AW101" s="66"/>
      <c r="AX101" s="66"/>
      <c r="AY101" s="66"/>
      <c r="AZ101" s="66"/>
      <c r="BA101" s="66"/>
    </row>
    <row r="102" spans="1:53" ht="15.75" x14ac:dyDescent="0.25">
      <c r="A102" s="68" t="s">
        <v>228</v>
      </c>
      <c r="B102" s="66" t="s">
        <v>235</v>
      </c>
      <c r="C102" s="70">
        <v>16637.917400394021</v>
      </c>
      <c r="D102" s="70">
        <v>16683.593067899001</v>
      </c>
      <c r="E102" s="70">
        <v>16729.273204567955</v>
      </c>
      <c r="F102" s="70">
        <v>16774.957773857088</v>
      </c>
      <c r="G102" s="70">
        <v>16820.646739619948</v>
      </c>
      <c r="H102" s="70">
        <v>16866.34006610182</v>
      </c>
      <c r="I102" s="70">
        <v>16899.446336438043</v>
      </c>
      <c r="J102" s="70">
        <v>16932.557814030009</v>
      </c>
      <c r="K102" s="70">
        <v>16965.674468369391</v>
      </c>
      <c r="L102" s="70">
        <v>16998.796269185848</v>
      </c>
      <c r="M102" s="70">
        <v>17031.923186444455</v>
      </c>
      <c r="N102" s="70">
        <v>17086.493553915836</v>
      </c>
      <c r="O102" s="70">
        <v>17141.064369575903</v>
      </c>
      <c r="P102" s="70">
        <v>17195.63562915786</v>
      </c>
      <c r="Q102" s="70">
        <v>17250.207328448771</v>
      </c>
      <c r="R102" s="70">
        <v>17304.779463288862</v>
      </c>
      <c r="S102" s="70">
        <v>17351.373813229449</v>
      </c>
      <c r="T102" s="70">
        <v>17397.968376328776</v>
      </c>
      <c r="U102" s="70">
        <v>17444.563150878734</v>
      </c>
      <c r="V102" s="70">
        <v>17491.158135189395</v>
      </c>
      <c r="W102" s="70">
        <v>17537.753327588769</v>
      </c>
      <c r="X102" s="70">
        <v>17516.670483437927</v>
      </c>
      <c r="Y102" s="70">
        <v>17495.587899831546</v>
      </c>
      <c r="Z102" s="70">
        <v>17474.505577712698</v>
      </c>
      <c r="AA102" s="70">
        <v>17453.423518028776</v>
      </c>
      <c r="AB102" s="70">
        <v>17432.341721732053</v>
      </c>
      <c r="AC102" s="70">
        <v>17419.16790667842</v>
      </c>
      <c r="AD102" s="70">
        <v>17405.994091624802</v>
      </c>
      <c r="AE102" s="70">
        <v>17392.820276571201</v>
      </c>
      <c r="AF102" s="70">
        <v>17379.646461517576</v>
      </c>
      <c r="AG102" s="70">
        <v>17366.472646464019</v>
      </c>
      <c r="AH102" s="70"/>
      <c r="AI102" s="70"/>
      <c r="AJ102" s="70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  <c r="AY102" s="66"/>
      <c r="AZ102" s="66"/>
      <c r="BA102" s="66"/>
    </row>
    <row r="103" spans="1:53" ht="15.75" x14ac:dyDescent="0.25">
      <c r="A103" s="68" t="s">
        <v>229</v>
      </c>
      <c r="B103" s="66" t="s">
        <v>235</v>
      </c>
      <c r="C103" s="70">
        <v>46814.855092405189</v>
      </c>
      <c r="D103" s="70">
        <v>47052.731789982165</v>
      </c>
      <c r="E103" s="70">
        <v>47290.721360073774</v>
      </c>
      <c r="F103" s="70">
        <v>47528.822115590505</v>
      </c>
      <c r="G103" s="70">
        <v>47767.032402898294</v>
      </c>
      <c r="H103" s="70">
        <v>48005.350600993566</v>
      </c>
      <c r="I103" s="70">
        <v>48233.452151126614</v>
      </c>
      <c r="J103" s="70">
        <v>48461.556341909774</v>
      </c>
      <c r="K103" s="70">
        <v>48689.66313619072</v>
      </c>
      <c r="L103" s="70">
        <v>48917.772497511061</v>
      </c>
      <c r="M103" s="70">
        <v>49145.88439008985</v>
      </c>
      <c r="N103" s="70">
        <v>49353.361891281122</v>
      </c>
      <c r="O103" s="70">
        <v>49561.045168971461</v>
      </c>
      <c r="P103" s="70">
        <v>49768.931625317091</v>
      </c>
      <c r="Q103" s="70">
        <v>49977.01870602015</v>
      </c>
      <c r="R103" s="70">
        <v>50185.303899419792</v>
      </c>
      <c r="S103" s="70">
        <v>50336.492354801208</v>
      </c>
      <c r="T103" s="70">
        <v>50487.916299809141</v>
      </c>
      <c r="U103" s="70">
        <v>50639.573610932224</v>
      </c>
      <c r="V103" s="70">
        <v>50791.462190114245</v>
      </c>
      <c r="W103" s="70">
        <v>50943.579964373486</v>
      </c>
      <c r="X103" s="70">
        <v>50858.281333529521</v>
      </c>
      <c r="Y103" s="70">
        <v>50772.982772072261</v>
      </c>
      <c r="Z103" s="70">
        <v>50687.684280352056</v>
      </c>
      <c r="AA103" s="70">
        <v>50602.385858721544</v>
      </c>
      <c r="AB103" s="70">
        <v>50517.087507535754</v>
      </c>
      <c r="AC103" s="70">
        <v>50482.220861716087</v>
      </c>
      <c r="AD103" s="70">
        <v>50447.354215896958</v>
      </c>
      <c r="AE103" s="70">
        <v>50412.487570078396</v>
      </c>
      <c r="AF103" s="70">
        <v>50377.620924260424</v>
      </c>
      <c r="AG103" s="70">
        <v>50342.754278442982</v>
      </c>
      <c r="AH103" s="70"/>
      <c r="AI103" s="70"/>
      <c r="AJ103" s="70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6"/>
      <c r="AV103" s="66"/>
      <c r="AW103" s="66"/>
      <c r="AX103" s="66"/>
      <c r="AY103" s="66"/>
      <c r="AZ103" s="66"/>
      <c r="BA103" s="66"/>
    </row>
    <row r="104" spans="1:53" ht="15.75" x14ac:dyDescent="0.25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6"/>
      <c r="AV104" s="66"/>
      <c r="AW104" s="66"/>
      <c r="AX104" s="66"/>
      <c r="AY104" s="66"/>
      <c r="AZ104" s="66"/>
      <c r="BA104" s="66"/>
    </row>
    <row r="105" spans="1:53" ht="15.75" x14ac:dyDescent="0.25">
      <c r="A105" s="56" t="s">
        <v>283</v>
      </c>
      <c r="B105" s="66" t="s">
        <v>282</v>
      </c>
      <c r="C105" s="69">
        <v>2020</v>
      </c>
      <c r="D105" s="69">
        <v>2021</v>
      </c>
      <c r="E105" s="69">
        <v>2022</v>
      </c>
      <c r="F105" s="69">
        <v>2023</v>
      </c>
      <c r="G105" s="69">
        <v>2024</v>
      </c>
      <c r="H105" s="69">
        <v>2025</v>
      </c>
      <c r="I105" s="69">
        <v>2026</v>
      </c>
      <c r="J105" s="69">
        <v>2027</v>
      </c>
      <c r="K105" s="69">
        <v>2028</v>
      </c>
      <c r="L105" s="69">
        <v>2029</v>
      </c>
      <c r="M105" s="69">
        <v>2030</v>
      </c>
      <c r="N105" s="69">
        <v>2031</v>
      </c>
      <c r="O105" s="69">
        <v>2032</v>
      </c>
      <c r="P105" s="69">
        <v>2033</v>
      </c>
      <c r="Q105" s="69">
        <v>2034</v>
      </c>
      <c r="R105" s="69">
        <v>2035</v>
      </c>
      <c r="S105" s="69">
        <v>2036</v>
      </c>
      <c r="T105" s="69">
        <v>2037</v>
      </c>
      <c r="U105" s="69">
        <v>2038</v>
      </c>
      <c r="V105" s="69">
        <v>2039</v>
      </c>
      <c r="W105" s="69">
        <v>2040</v>
      </c>
      <c r="X105" s="69">
        <v>2041</v>
      </c>
      <c r="Y105" s="69">
        <v>2042</v>
      </c>
      <c r="Z105" s="69">
        <v>2043</v>
      </c>
      <c r="AA105" s="69">
        <v>2044</v>
      </c>
      <c r="AB105" s="69">
        <v>2045</v>
      </c>
      <c r="AC105" s="69">
        <v>2046</v>
      </c>
      <c r="AD105" s="69">
        <v>2047</v>
      </c>
      <c r="AE105" s="69">
        <v>2048</v>
      </c>
      <c r="AF105" s="69">
        <v>2049</v>
      </c>
      <c r="AG105" s="69">
        <v>2050</v>
      </c>
    </row>
    <row r="106" spans="1:53" ht="15.75" x14ac:dyDescent="0.25">
      <c r="A106" s="68" t="s">
        <v>219</v>
      </c>
      <c r="B106" s="66" t="s">
        <v>213</v>
      </c>
      <c r="C106" s="71">
        <v>3345831749.4821477</v>
      </c>
      <c r="D106" s="71">
        <v>3372520851.0492282</v>
      </c>
      <c r="E106" s="71">
        <v>3399286758.7692885</v>
      </c>
      <c r="F106" s="71">
        <v>3426130041.4816823</v>
      </c>
      <c r="G106" s="71">
        <v>3453051267.717154</v>
      </c>
      <c r="H106" s="71">
        <v>3480051005.6980915</v>
      </c>
      <c r="I106" s="71">
        <v>3512854044.1415472</v>
      </c>
      <c r="J106" s="71">
        <v>3545437755.7018309</v>
      </c>
      <c r="K106" s="71">
        <v>3577816434.6331625</v>
      </c>
      <c r="L106" s="71">
        <v>3610004498.8575549</v>
      </c>
      <c r="M106" s="71">
        <v>3642016491.305088</v>
      </c>
      <c r="N106" s="71">
        <v>3769294453.6157751</v>
      </c>
      <c r="O106" s="71">
        <v>3898403329.0496006</v>
      </c>
      <c r="P106" s="71">
        <v>4029343159.0294361</v>
      </c>
      <c r="Q106" s="71">
        <v>4162113983.3165331</v>
      </c>
      <c r="R106" s="71">
        <v>4296715840.0929298</v>
      </c>
      <c r="S106" s="71">
        <v>4411354751.1790028</v>
      </c>
      <c r="T106" s="71">
        <v>4526971664.3600855</v>
      </c>
      <c r="U106" s="71">
        <v>4643566602.8034334</v>
      </c>
      <c r="V106" s="71">
        <v>4761139589.1981211</v>
      </c>
      <c r="W106" s="71">
        <v>4879690645.7672815</v>
      </c>
      <c r="X106" s="71">
        <v>4994966913.4318705</v>
      </c>
      <c r="Y106" s="71">
        <v>5108759463.5152884</v>
      </c>
      <c r="Z106" s="71">
        <v>5223256126.1280613</v>
      </c>
      <c r="AA106" s="71">
        <v>5338456904.0431805</v>
      </c>
      <c r="AB106" s="71">
        <v>5454361799.9934177</v>
      </c>
      <c r="AC106" s="71">
        <v>5562070428.4380026</v>
      </c>
      <c r="AD106" s="71">
        <v>5670174307.5211058</v>
      </c>
      <c r="AE106" s="71">
        <v>5778673441.5365334</v>
      </c>
      <c r="AF106" s="71">
        <v>5887567834.7425127</v>
      </c>
      <c r="AG106" s="71">
        <v>5996857491.3620796</v>
      </c>
    </row>
    <row r="107" spans="1:53" ht="15.75" x14ac:dyDescent="0.25">
      <c r="A107" s="68" t="s">
        <v>220</v>
      </c>
      <c r="B107" s="66" t="s">
        <v>213</v>
      </c>
      <c r="C107" s="71">
        <v>3403308310.4814692</v>
      </c>
      <c r="D107" s="71">
        <v>3418830831.1574984</v>
      </c>
      <c r="E107" s="71">
        <v>3434410600.3641229</v>
      </c>
      <c r="F107" s="71">
        <v>3450051218.5754881</v>
      </c>
      <c r="G107" s="71">
        <v>3465756290.9038582</v>
      </c>
      <c r="H107" s="71">
        <v>3481529427.1070905</v>
      </c>
      <c r="I107" s="71">
        <v>3551991252.7139239</v>
      </c>
      <c r="J107" s="71">
        <v>3623123585.631556</v>
      </c>
      <c r="K107" s="71">
        <v>3694929473.9717875</v>
      </c>
      <c r="L107" s="71">
        <v>3767411915.532011</v>
      </c>
      <c r="M107" s="71">
        <v>3840573858.8291149</v>
      </c>
      <c r="N107" s="71">
        <v>3959183575.2880316</v>
      </c>
      <c r="O107" s="71">
        <v>4078982931.4454384</v>
      </c>
      <c r="P107" s="71">
        <v>4199972107.8305016</v>
      </c>
      <c r="Q107" s="71">
        <v>4322151280.3285656</v>
      </c>
      <c r="R107" s="71">
        <v>4445520620.3294582</v>
      </c>
      <c r="S107" s="71">
        <v>4567239923.8213406</v>
      </c>
      <c r="T107" s="71">
        <v>4690099708.6304779</v>
      </c>
      <c r="U107" s="71">
        <v>4814099974.9006186</v>
      </c>
      <c r="V107" s="71">
        <v>4939240722.772109</v>
      </c>
      <c r="W107" s="71">
        <v>5065521952.3820124</v>
      </c>
      <c r="X107" s="71">
        <v>5162773243.8546753</v>
      </c>
      <c r="Y107" s="71">
        <v>5257631902.1103392</v>
      </c>
      <c r="Z107" s="71">
        <v>5352370598.7466202</v>
      </c>
      <c r="AA107" s="71">
        <v>5446989396.5583134</v>
      </c>
      <c r="AB107" s="71">
        <v>5541488358.5276575</v>
      </c>
      <c r="AC107" s="71">
        <v>5650917477.3438854</v>
      </c>
      <c r="AD107" s="71">
        <v>5760748133.9125175</v>
      </c>
      <c r="AE107" s="71">
        <v>5870980332.6025133</v>
      </c>
      <c r="AF107" s="71">
        <v>5981614077.7465172</v>
      </c>
      <c r="AG107" s="71">
        <v>6092649373.6413736</v>
      </c>
    </row>
    <row r="108" spans="1:53" ht="15.75" x14ac:dyDescent="0.25">
      <c r="A108" s="68" t="s">
        <v>221</v>
      </c>
      <c r="B108" s="66" t="s">
        <v>214</v>
      </c>
      <c r="C108" s="71">
        <v>2854390527.200716</v>
      </c>
      <c r="D108" s="71">
        <v>2885277088.2676773</v>
      </c>
      <c r="E108" s="71">
        <v>2916340843.8552227</v>
      </c>
      <c r="F108" s="71">
        <v>2947581946.5983377</v>
      </c>
      <c r="G108" s="71">
        <v>2979000546.2783966</v>
      </c>
      <c r="H108" s="71">
        <v>3010596789.8894925</v>
      </c>
      <c r="I108" s="71">
        <v>3052946906.7034664</v>
      </c>
      <c r="J108" s="71">
        <v>3095268216.4134612</v>
      </c>
      <c r="K108" s="71">
        <v>3137561253.0141916</v>
      </c>
      <c r="L108" s="71">
        <v>3179826550.2444782</v>
      </c>
      <c r="M108" s="71">
        <v>3222064641.5873704</v>
      </c>
      <c r="N108" s="71">
        <v>3310300201.7042394</v>
      </c>
      <c r="O108" s="71">
        <v>3398997051.3693571</v>
      </c>
      <c r="P108" s="71">
        <v>3488155387.1225657</v>
      </c>
      <c r="Q108" s="71">
        <v>3577775403.0247097</v>
      </c>
      <c r="R108" s="71">
        <v>3667857290.6966267</v>
      </c>
      <c r="S108" s="71">
        <v>3754822238.3055334</v>
      </c>
      <c r="T108" s="71">
        <v>3842169383.9241819</v>
      </c>
      <c r="U108" s="71">
        <v>3929898739.9650674</v>
      </c>
      <c r="V108" s="71">
        <v>4018010318.7232842</v>
      </c>
      <c r="W108" s="71">
        <v>4106504132.3779325</v>
      </c>
      <c r="X108" s="71">
        <v>4182421439.6775341</v>
      </c>
      <c r="Y108" s="71">
        <v>4256289296.210588</v>
      </c>
      <c r="Z108" s="71">
        <v>4329949088.0788765</v>
      </c>
      <c r="AA108" s="71">
        <v>4403400880.0482769</v>
      </c>
      <c r="AB108" s="71">
        <v>4476644737.2642422</v>
      </c>
      <c r="AC108" s="71">
        <v>4565046797.3134565</v>
      </c>
      <c r="AD108" s="71">
        <v>4653773253.4868813</v>
      </c>
      <c r="AE108" s="71">
        <v>4742824109.3042135</v>
      </c>
      <c r="AF108" s="71">
        <v>4832199368.2559824</v>
      </c>
      <c r="AG108" s="71">
        <v>4921899033.8039122</v>
      </c>
    </row>
    <row r="109" spans="1:53" ht="15.75" x14ac:dyDescent="0.25">
      <c r="A109" s="68" t="s">
        <v>222</v>
      </c>
      <c r="B109" s="66" t="s">
        <v>214</v>
      </c>
      <c r="C109" s="71">
        <v>4243248416.923768</v>
      </c>
      <c r="D109" s="71">
        <v>4135143446.5307212</v>
      </c>
      <c r="E109" s="71">
        <v>4034614756.2566051</v>
      </c>
      <c r="F109" s="71">
        <v>3941472037.4969835</v>
      </c>
      <c r="G109" s="71">
        <v>3855524090.8280807</v>
      </c>
      <c r="H109" s="71">
        <v>3776578820.7883592</v>
      </c>
      <c r="I109" s="71">
        <v>3720801615.5901527</v>
      </c>
      <c r="J109" s="71">
        <v>3667969442.7516408</v>
      </c>
      <c r="K109" s="71">
        <v>3618055686.5311308</v>
      </c>
      <c r="L109" s="71">
        <v>3571033342.5276484</v>
      </c>
      <c r="M109" s="71">
        <v>3526875010.5606184</v>
      </c>
      <c r="N109" s="71">
        <v>3541628699.0779214</v>
      </c>
      <c r="O109" s="71">
        <v>3556908661.2005963</v>
      </c>
      <c r="P109" s="71">
        <v>3572720778.3754368</v>
      </c>
      <c r="Q109" s="71">
        <v>3589070921.5651793</v>
      </c>
      <c r="R109" s="71">
        <v>3605964951.2718225</v>
      </c>
      <c r="S109" s="71">
        <v>3634043836.7990761</v>
      </c>
      <c r="T109" s="71">
        <v>3662387244.9095998</v>
      </c>
      <c r="U109" s="71">
        <v>3690995333.7400928</v>
      </c>
      <c r="V109" s="71">
        <v>3719868259.1525111</v>
      </c>
      <c r="W109" s="71">
        <v>3749006174.7748332</v>
      </c>
      <c r="X109" s="71">
        <v>3768093722.8184886</v>
      </c>
      <c r="Y109" s="71">
        <v>3786813947.1263022</v>
      </c>
      <c r="Z109" s="71">
        <v>3805579763.426219</v>
      </c>
      <c r="AA109" s="71">
        <v>3824391310.9398789</v>
      </c>
      <c r="AB109" s="71">
        <v>3843248728.3844185</v>
      </c>
      <c r="AC109" s="71">
        <v>3876102783.7270679</v>
      </c>
      <c r="AD109" s="71">
        <v>3909125386.5514746</v>
      </c>
      <c r="AE109" s="71">
        <v>3942316457.079464</v>
      </c>
      <c r="AF109" s="71">
        <v>3975675917.0362225</v>
      </c>
      <c r="AG109" s="71">
        <v>4009203689.6150379</v>
      </c>
    </row>
    <row r="110" spans="1:53" ht="15.75" x14ac:dyDescent="0.25">
      <c r="A110" s="68" t="s">
        <v>223</v>
      </c>
      <c r="B110" s="66" t="s">
        <v>214</v>
      </c>
      <c r="C110" s="71">
        <v>14612799289.625017</v>
      </c>
      <c r="D110" s="71">
        <v>14262424777.082468</v>
      </c>
      <c r="E110" s="71">
        <v>13923563663.21998</v>
      </c>
      <c r="F110" s="71">
        <v>13596329460.18935</v>
      </c>
      <c r="G110" s="71">
        <v>13280843419.494194</v>
      </c>
      <c r="H110" s="71">
        <v>12977235203.022022</v>
      </c>
      <c r="I110" s="71">
        <v>12784933527.940308</v>
      </c>
      <c r="J110" s="71">
        <v>12597568533.352251</v>
      </c>
      <c r="K110" s="71">
        <v>12415137652.066132</v>
      </c>
      <c r="L110" s="71">
        <v>12237638245.31517</v>
      </c>
      <c r="M110" s="71">
        <v>12065067600.245365</v>
      </c>
      <c r="N110" s="71">
        <v>12126392325.324587</v>
      </c>
      <c r="O110" s="71">
        <v>12188851297.644287</v>
      </c>
      <c r="P110" s="71">
        <v>12252458382.820219</v>
      </c>
      <c r="Q110" s="71">
        <v>12317227460.414755</v>
      </c>
      <c r="R110" s="71">
        <v>12383172423.954905</v>
      </c>
      <c r="S110" s="71">
        <v>12474517056.945681</v>
      </c>
      <c r="T110" s="71">
        <v>12566656995.221544</v>
      </c>
      <c r="U110" s="71">
        <v>12659593643.608829</v>
      </c>
      <c r="V110" s="71">
        <v>12753328390.478903</v>
      </c>
      <c r="W110" s="71">
        <v>12847862607.988451</v>
      </c>
      <c r="X110" s="71">
        <v>12925089336.854912</v>
      </c>
      <c r="Y110" s="71">
        <v>13001119910.135149</v>
      </c>
      <c r="Z110" s="71">
        <v>13077367607.079</v>
      </c>
      <c r="AA110" s="71">
        <v>13153832565.047693</v>
      </c>
      <c r="AB110" s="71">
        <v>13230514920.474039</v>
      </c>
      <c r="AC110" s="71">
        <v>13354695167.648855</v>
      </c>
      <c r="AD110" s="71">
        <v>13479575975.665928</v>
      </c>
      <c r="AE110" s="71">
        <v>13605156839.257725</v>
      </c>
      <c r="AF110" s="71">
        <v>13731437263.348825</v>
      </c>
      <c r="AG110" s="71">
        <v>13858416762.7997</v>
      </c>
    </row>
    <row r="111" spans="1:53" ht="15.75" x14ac:dyDescent="0.25">
      <c r="A111" s="68" t="s">
        <v>224</v>
      </c>
      <c r="B111" s="66" t="s">
        <v>214</v>
      </c>
      <c r="C111" s="71">
        <v>94903996.774248436</v>
      </c>
      <c r="D111" s="71">
        <v>96602362.05105722</v>
      </c>
      <c r="E111" s="71">
        <v>98429638.911504433</v>
      </c>
      <c r="F111" s="71">
        <v>100390881.32556298</v>
      </c>
      <c r="G111" s="71">
        <v>102491302.6848238</v>
      </c>
      <c r="H111" s="71">
        <v>104736282.1384244</v>
      </c>
      <c r="I111" s="71">
        <v>107717858.62017682</v>
      </c>
      <c r="J111" s="71">
        <v>110742363.10176452</v>
      </c>
      <c r="K111" s="71">
        <v>113809803.91838208</v>
      </c>
      <c r="L111" s="71">
        <v>116920189.02646482</v>
      </c>
      <c r="M111" s="71">
        <v>120073526.02495964</v>
      </c>
      <c r="N111" s="71">
        <v>125035740.45235187</v>
      </c>
      <c r="O111" s="71">
        <v>130102595.76552553</v>
      </c>
      <c r="P111" s="71">
        <v>135274293.02980706</v>
      </c>
      <c r="Q111" s="71">
        <v>140551021.96189317</v>
      </c>
      <c r="R111" s="71">
        <v>145932961.71939319</v>
      </c>
      <c r="S111" s="71">
        <v>150212576.77983928</v>
      </c>
      <c r="T111" s="71">
        <v>154543304.42209414</v>
      </c>
      <c r="U111" s="71">
        <v>158925219.0340282</v>
      </c>
      <c r="V111" s="71">
        <v>163358392.93963441</v>
      </c>
      <c r="W111" s="71">
        <v>167842896.47011366</v>
      </c>
      <c r="X111" s="71">
        <v>171230510.37064525</v>
      </c>
      <c r="Y111" s="71">
        <v>174548217.22891676</v>
      </c>
      <c r="Z111" s="71">
        <v>177869667.29275745</v>
      </c>
      <c r="AA111" s="71">
        <v>181194931.70912883</v>
      </c>
      <c r="AB111" s="71">
        <v>184524081.5243459</v>
      </c>
      <c r="AC111" s="71">
        <v>188095441.8288205</v>
      </c>
      <c r="AD111" s="71">
        <v>191677696.9327296</v>
      </c>
      <c r="AE111" s="71">
        <v>195270847.46550173</v>
      </c>
      <c r="AF111" s="71">
        <v>198874894.0528459</v>
      </c>
      <c r="AG111" s="71">
        <v>202489837.31678164</v>
      </c>
    </row>
    <row r="112" spans="1:53" ht="15.75" x14ac:dyDescent="0.25">
      <c r="A112" s="68" t="s">
        <v>226</v>
      </c>
      <c r="B112" s="66" t="s">
        <v>235</v>
      </c>
      <c r="C112" s="71">
        <v>192668892.90637672</v>
      </c>
      <c r="D112" s="71">
        <v>192094886.90283436</v>
      </c>
      <c r="E112" s="71">
        <v>191520871.95843565</v>
      </c>
      <c r="F112" s="71">
        <v>190946848.37008491</v>
      </c>
      <c r="G112" s="71">
        <v>190372816.438604</v>
      </c>
      <c r="H112" s="71">
        <v>189798776.46879947</v>
      </c>
      <c r="I112" s="71">
        <v>190934122.07023597</v>
      </c>
      <c r="J112" s="71">
        <v>192068949.28738716</v>
      </c>
      <c r="K112" s="71">
        <v>193203258.12128869</v>
      </c>
      <c r="L112" s="71">
        <v>194337048.57297805</v>
      </c>
      <c r="M112" s="71">
        <v>195470320.64349246</v>
      </c>
      <c r="N112" s="71">
        <v>199159133.36929071</v>
      </c>
      <c r="O112" s="71">
        <v>202859219.17313716</v>
      </c>
      <c r="P112" s="71">
        <v>206570585.91570231</v>
      </c>
      <c r="Q112" s="71">
        <v>210293241.38764349</v>
      </c>
      <c r="R112" s="71">
        <v>214027193.31038192</v>
      </c>
      <c r="S112" s="71">
        <v>218520005.55598357</v>
      </c>
      <c r="T112" s="71">
        <v>223049279.48144552</v>
      </c>
      <c r="U112" s="71">
        <v>227615021.03551081</v>
      </c>
      <c r="V112" s="71">
        <v>232217236.02468029</v>
      </c>
      <c r="W112" s="71">
        <v>236855930.11743909</v>
      </c>
      <c r="X112" s="71">
        <v>240649551.5126797</v>
      </c>
      <c r="Y112" s="71">
        <v>244368131.13543579</v>
      </c>
      <c r="Z112" s="71">
        <v>248094966.7849316</v>
      </c>
      <c r="AA112" s="71">
        <v>251830066.39479166</v>
      </c>
      <c r="AB112" s="71">
        <v>255573437.84342432</v>
      </c>
      <c r="AC112" s="71">
        <v>258648896.81816289</v>
      </c>
      <c r="AD112" s="71">
        <v>261714437.38856724</v>
      </c>
      <c r="AE112" s="71">
        <v>264770060.7335732</v>
      </c>
      <c r="AF112" s="71">
        <v>267815768.03801328</v>
      </c>
      <c r="AG112" s="71">
        <v>270851560.49265301</v>
      </c>
    </row>
    <row r="113" spans="1:33" ht="15.75" x14ac:dyDescent="0.25">
      <c r="A113" s="68" t="s">
        <v>227</v>
      </c>
      <c r="B113" s="66" t="s">
        <v>235</v>
      </c>
      <c r="C113" s="71">
        <v>241227556.2434333</v>
      </c>
      <c r="D113" s="71">
        <v>238971789.68143368</v>
      </c>
      <c r="E113" s="71">
        <v>236784267.43211046</v>
      </c>
      <c r="F113" s="71">
        <v>234667405.99472737</v>
      </c>
      <c r="G113" s="71">
        <v>232623736.73623627</v>
      </c>
      <c r="H113" s="71">
        <v>230655912.79862383</v>
      </c>
      <c r="I113" s="71">
        <v>230532259.13921514</v>
      </c>
      <c r="J113" s="71">
        <v>230464871.86467144</v>
      </c>
      <c r="K113" s="71">
        <v>230457565.57308841</v>
      </c>
      <c r="L113" s="71">
        <v>230514319.32504189</v>
      </c>
      <c r="M113" s="71">
        <v>230639285.60344741</v>
      </c>
      <c r="N113" s="71">
        <v>233928442.9819378</v>
      </c>
      <c r="O113" s="71">
        <v>237285058.08489725</v>
      </c>
      <c r="P113" s="71">
        <v>240716057.29835761</v>
      </c>
      <c r="Q113" s="71">
        <v>244228612.91653407</v>
      </c>
      <c r="R113" s="71">
        <v>247830154.15268207</v>
      </c>
      <c r="S113" s="71">
        <v>252345624.91608682</v>
      </c>
      <c r="T113" s="71">
        <v>256883184.56062609</v>
      </c>
      <c r="U113" s="71">
        <v>261442871.3902719</v>
      </c>
      <c r="V113" s="71">
        <v>266024723.40360999</v>
      </c>
      <c r="W113" s="71">
        <v>270628778.29687548</v>
      </c>
      <c r="X113" s="71">
        <v>274129449.64819461</v>
      </c>
      <c r="Y113" s="71">
        <v>277521069.49343228</v>
      </c>
      <c r="Z113" s="71">
        <v>280898587.27992362</v>
      </c>
      <c r="AA113" s="71">
        <v>284262025.46494055</v>
      </c>
      <c r="AB113" s="71">
        <v>287611406.62817645</v>
      </c>
      <c r="AC113" s="71">
        <v>291129487.72510117</v>
      </c>
      <c r="AD113" s="71">
        <v>294638129.64042747</v>
      </c>
      <c r="AE113" s="71">
        <v>298137342.19042581</v>
      </c>
      <c r="AF113" s="71">
        <v>301627135.22708619</v>
      </c>
      <c r="AG113" s="71">
        <v>305107518.63828403</v>
      </c>
    </row>
    <row r="114" spans="1:33" ht="15.75" x14ac:dyDescent="0.25">
      <c r="A114" s="68" t="s">
        <v>228</v>
      </c>
      <c r="B114" s="66" t="s">
        <v>235</v>
      </c>
      <c r="C114" s="71">
        <v>449970928.76733804</v>
      </c>
      <c r="D114" s="71">
        <v>451221161.4364062</v>
      </c>
      <c r="E114" s="71">
        <v>452471596.77758712</v>
      </c>
      <c r="F114" s="71">
        <v>453722233.81446415</v>
      </c>
      <c r="G114" s="71">
        <v>454973071.58123738</v>
      </c>
      <c r="H114" s="71">
        <v>456224109.12257355</v>
      </c>
      <c r="I114" s="71">
        <v>459955641.24710494</v>
      </c>
      <c r="J114" s="71">
        <v>463698427.615345</v>
      </c>
      <c r="K114" s="71">
        <v>467452470.0083133</v>
      </c>
      <c r="L114" s="71">
        <v>471217770.19314736</v>
      </c>
      <c r="M114" s="71">
        <v>474994329.92323011</v>
      </c>
      <c r="N114" s="71">
        <v>484708965.67774224</v>
      </c>
      <c r="O114" s="71">
        <v>494475945.92492926</v>
      </c>
      <c r="P114" s="71">
        <v>504295271.18436104</v>
      </c>
      <c r="Q114" s="71">
        <v>514166941.96902937</v>
      </c>
      <c r="R114" s="71">
        <v>524090958.78545582</v>
      </c>
      <c r="S114" s="71">
        <v>533603224.49523973</v>
      </c>
      <c r="T114" s="71">
        <v>543159005.35910404</v>
      </c>
      <c r="U114" s="71">
        <v>552758301.62148702</v>
      </c>
      <c r="V114" s="71">
        <v>562401113.5242219</v>
      </c>
      <c r="W114" s="71">
        <v>572087441.30657041</v>
      </c>
      <c r="X114" s="71">
        <v>579872303.43938076</v>
      </c>
      <c r="Y114" s="71">
        <v>587436359.40201855</v>
      </c>
      <c r="Z114" s="71">
        <v>594980512.53177953</v>
      </c>
      <c r="AA114" s="71">
        <v>602504763.23181665</v>
      </c>
      <c r="AB114" s="71">
        <v>610009111.90724504</v>
      </c>
      <c r="AC114" s="71">
        <v>617774007.60573053</v>
      </c>
      <c r="AD114" s="71">
        <v>625526461.11334944</v>
      </c>
      <c r="AE114" s="71">
        <v>633266472.43010187</v>
      </c>
      <c r="AF114" s="71">
        <v>640994041.55598617</v>
      </c>
      <c r="AG114" s="71">
        <v>648709168.4910059</v>
      </c>
    </row>
    <row r="115" spans="1:33" ht="15.75" x14ac:dyDescent="0.25">
      <c r="A115" s="68" t="s">
        <v>229</v>
      </c>
      <c r="B115" s="66" t="s">
        <v>235</v>
      </c>
      <c r="C115" s="71">
        <v>759754210.40225077</v>
      </c>
      <c r="D115" s="71">
        <v>763640193.21258497</v>
      </c>
      <c r="E115" s="71">
        <v>767528265.80183327</v>
      </c>
      <c r="F115" s="71">
        <v>771418400.97115409</v>
      </c>
      <c r="G115" s="71">
        <v>775310572.06106675</v>
      </c>
      <c r="H115" s="71">
        <v>779204752.938151</v>
      </c>
      <c r="I115" s="71">
        <v>787763663.96229541</v>
      </c>
      <c r="J115" s="71">
        <v>796368551.82806671</v>
      </c>
      <c r="K115" s="71">
        <v>805019416.71883261</v>
      </c>
      <c r="L115" s="71">
        <v>813716258.81454146</v>
      </c>
      <c r="M115" s="71">
        <v>822459078.29179513</v>
      </c>
      <c r="N115" s="71">
        <v>840131994.23466039</v>
      </c>
      <c r="O115" s="71">
        <v>857927870.01895428</v>
      </c>
      <c r="P115" s="71">
        <v>875846837.55542457</v>
      </c>
      <c r="Q115" s="71">
        <v>893889026.5437026</v>
      </c>
      <c r="R115" s="71">
        <v>912054564.51843369</v>
      </c>
      <c r="S115" s="71">
        <v>928904394.92029667</v>
      </c>
      <c r="T115" s="71">
        <v>945843350.30810463</v>
      </c>
      <c r="U115" s="71">
        <v>962871588.22787082</v>
      </c>
      <c r="V115" s="71">
        <v>979989264.33707452</v>
      </c>
      <c r="W115" s="71">
        <v>997196532.43286777</v>
      </c>
      <c r="X115" s="71">
        <v>1010289119.1381128</v>
      </c>
      <c r="Y115" s="71">
        <v>1022982381.8145972</v>
      </c>
      <c r="Z115" s="71">
        <v>1035627303.2694954</v>
      </c>
      <c r="AA115" s="71">
        <v>1048223883.5693848</v>
      </c>
      <c r="AB115" s="71">
        <v>1060772122.7813172</v>
      </c>
      <c r="AC115" s="71">
        <v>1074345289.7022579</v>
      </c>
      <c r="AD115" s="71">
        <v>1087898696.0797536</v>
      </c>
      <c r="AE115" s="71">
        <v>1101432341.9137933</v>
      </c>
      <c r="AF115" s="71">
        <v>1114946227.2043841</v>
      </c>
      <c r="AG115" s="71">
        <v>1128440351.9515312</v>
      </c>
    </row>
    <row r="117" spans="1:33" ht="15.75" x14ac:dyDescent="0.25">
      <c r="A117" s="56" t="s">
        <v>284</v>
      </c>
      <c r="B117" s="69" t="s">
        <v>282</v>
      </c>
      <c r="C117" s="69">
        <v>2020</v>
      </c>
      <c r="D117" s="69">
        <v>2021</v>
      </c>
      <c r="E117" s="69">
        <v>2022</v>
      </c>
      <c r="F117" s="69">
        <v>2023</v>
      </c>
      <c r="G117" s="69">
        <v>2024</v>
      </c>
      <c r="H117" s="69">
        <v>2025</v>
      </c>
      <c r="I117" s="69">
        <v>2026</v>
      </c>
      <c r="J117" s="69">
        <v>2027</v>
      </c>
      <c r="K117" s="69">
        <v>2028</v>
      </c>
      <c r="L117" s="69">
        <v>2029</v>
      </c>
      <c r="M117" s="69">
        <v>2030</v>
      </c>
      <c r="N117" s="69">
        <v>2031</v>
      </c>
      <c r="O117" s="69">
        <v>2032</v>
      </c>
      <c r="P117" s="69">
        <v>2033</v>
      </c>
      <c r="Q117" s="69">
        <v>2034</v>
      </c>
      <c r="R117" s="69">
        <v>2035</v>
      </c>
      <c r="S117" s="69">
        <v>2036</v>
      </c>
      <c r="T117" s="69">
        <v>2037</v>
      </c>
      <c r="U117" s="69">
        <v>2038</v>
      </c>
      <c r="V117" s="69">
        <v>2039</v>
      </c>
      <c r="W117" s="69">
        <v>2040</v>
      </c>
      <c r="X117" s="69">
        <v>2041</v>
      </c>
      <c r="Y117" s="69">
        <v>2042</v>
      </c>
      <c r="Z117" s="69">
        <v>2043</v>
      </c>
      <c r="AA117" s="69">
        <v>2044</v>
      </c>
      <c r="AB117" s="69">
        <v>2045</v>
      </c>
      <c r="AC117" s="69">
        <v>2046</v>
      </c>
      <c r="AD117" s="69">
        <v>2047</v>
      </c>
      <c r="AE117" s="69">
        <v>2048</v>
      </c>
      <c r="AF117" s="69">
        <v>2049</v>
      </c>
      <c r="AG117" s="69">
        <v>2050</v>
      </c>
    </row>
    <row r="118" spans="1:33" ht="15.75" x14ac:dyDescent="0.25">
      <c r="A118" s="68" t="s">
        <v>219</v>
      </c>
      <c r="B118" s="66" t="s">
        <v>213</v>
      </c>
      <c r="C118" s="72">
        <v>0.49574193449175274</v>
      </c>
      <c r="D118" s="72">
        <v>0.49659051818582733</v>
      </c>
      <c r="E118" s="72">
        <v>0.49743009971403762</v>
      </c>
      <c r="F118" s="72">
        <v>0.49826057689660092</v>
      </c>
      <c r="G118" s="72">
        <v>0.49908184878108997</v>
      </c>
      <c r="H118" s="72">
        <v>0.49989381567711033</v>
      </c>
      <c r="I118" s="72">
        <v>0.49723014397853865</v>
      </c>
      <c r="J118" s="72">
        <v>0.49458149088564013</v>
      </c>
      <c r="K118" s="72">
        <v>0.49194849917690242</v>
      </c>
      <c r="L118" s="72">
        <v>0.48933180616133887</v>
      </c>
      <c r="M118" s="72">
        <v>0.48673204343463317</v>
      </c>
      <c r="N118" s="72">
        <v>0.4877149730540678</v>
      </c>
      <c r="O118" s="72">
        <v>0.48868178144450086</v>
      </c>
      <c r="P118" s="72">
        <v>0.48963285867244627</v>
      </c>
      <c r="Q118" s="72">
        <v>0.49056858242647194</v>
      </c>
      <c r="R118" s="72">
        <v>0.49148931849932259</v>
      </c>
      <c r="S118" s="72">
        <v>0.49131906616319487</v>
      </c>
      <c r="T118" s="72">
        <v>0.49115076591744655</v>
      </c>
      <c r="U118" s="72">
        <v>0.49098438443055242</v>
      </c>
      <c r="V118" s="72">
        <v>0.49081988912567626</v>
      </c>
      <c r="W118" s="72">
        <v>0.49065724815931477</v>
      </c>
      <c r="X118" s="72">
        <v>0.49173997720829521</v>
      </c>
      <c r="Y118" s="72">
        <v>0.49281946661358439</v>
      </c>
      <c r="Z118" s="72">
        <v>0.49389565857525625</v>
      </c>
      <c r="AA118" s="72">
        <v>0.49496856738746731</v>
      </c>
      <c r="AB118" s="72">
        <v>0.49603820726555087</v>
      </c>
      <c r="AC118" s="72">
        <v>0.49603820811845928</v>
      </c>
      <c r="AD118" s="72">
        <v>0.49603821008954141</v>
      </c>
      <c r="AE118" s="72">
        <v>0.49603821311535928</v>
      </c>
      <c r="AF118" s="72">
        <v>0.49603821713672425</v>
      </c>
      <c r="AG118" s="72">
        <v>0.49603822209834753</v>
      </c>
    </row>
    <row r="119" spans="1:33" ht="15.75" x14ac:dyDescent="0.25">
      <c r="A119" s="68" t="s">
        <v>220</v>
      </c>
      <c r="B119" s="66" t="s">
        <v>213</v>
      </c>
      <c r="C119" s="72">
        <v>0.50425806550824714</v>
      </c>
      <c r="D119" s="72">
        <v>0.50340948181417278</v>
      </c>
      <c r="E119" s="72">
        <v>0.50256990028596238</v>
      </c>
      <c r="F119" s="72">
        <v>0.50173942310339903</v>
      </c>
      <c r="G119" s="72">
        <v>0.50091815121891015</v>
      </c>
      <c r="H119" s="72">
        <v>0.50010618432288967</v>
      </c>
      <c r="I119" s="72">
        <v>0.5027698560214614</v>
      </c>
      <c r="J119" s="72">
        <v>0.50541850911435982</v>
      </c>
      <c r="K119" s="72">
        <v>0.50805150082309758</v>
      </c>
      <c r="L119" s="72">
        <v>0.51066819383866102</v>
      </c>
      <c r="M119" s="72">
        <v>0.51326795656536683</v>
      </c>
      <c r="N119" s="72">
        <v>0.51228502694593225</v>
      </c>
      <c r="O119" s="72">
        <v>0.51131821855549919</v>
      </c>
      <c r="P119" s="72">
        <v>0.51036714132755379</v>
      </c>
      <c r="Q119" s="72">
        <v>0.50943141757352806</v>
      </c>
      <c r="R119" s="72">
        <v>0.50851068150067735</v>
      </c>
      <c r="S119" s="72">
        <v>0.50868093383680513</v>
      </c>
      <c r="T119" s="72">
        <v>0.50884923408255356</v>
      </c>
      <c r="U119" s="72">
        <v>0.50901561556944752</v>
      </c>
      <c r="V119" s="72">
        <v>0.5091801108743238</v>
      </c>
      <c r="W119" s="72">
        <v>0.50934275184068523</v>
      </c>
      <c r="X119" s="72">
        <v>0.5082600227917049</v>
      </c>
      <c r="Y119" s="72">
        <v>0.50718053338641567</v>
      </c>
      <c r="Z119" s="72">
        <v>0.5061043414247437</v>
      </c>
      <c r="AA119" s="72">
        <v>0.50503143261253269</v>
      </c>
      <c r="AB119" s="72">
        <v>0.50396179273444908</v>
      </c>
      <c r="AC119" s="72">
        <v>0.50396179188154078</v>
      </c>
      <c r="AD119" s="72">
        <v>0.50396178991045848</v>
      </c>
      <c r="AE119" s="72">
        <v>0.50396178688464077</v>
      </c>
      <c r="AF119" s="72">
        <v>0.50396178286327586</v>
      </c>
      <c r="AG119" s="72">
        <v>0.50396177790165253</v>
      </c>
    </row>
    <row r="120" spans="1:33" ht="15.75" x14ac:dyDescent="0.25">
      <c r="A120" s="68" t="s">
        <v>221</v>
      </c>
      <c r="B120" s="66" t="s">
        <v>214</v>
      </c>
      <c r="C120" s="72">
        <v>0.1309032665951492</v>
      </c>
      <c r="D120" s="72">
        <v>0.134955642085446</v>
      </c>
      <c r="E120" s="72">
        <v>0.13905249364066702</v>
      </c>
      <c r="F120" s="72">
        <v>0.1431853813208924</v>
      </c>
      <c r="G120" s="72">
        <v>0.14734500291744415</v>
      </c>
      <c r="H120" s="72">
        <v>0.15152118887478963</v>
      </c>
      <c r="I120" s="72">
        <v>0.15523669410022445</v>
      </c>
      <c r="J120" s="72">
        <v>0.15896363905377345</v>
      </c>
      <c r="K120" s="72">
        <v>0.16269806196615355</v>
      </c>
      <c r="L120" s="72">
        <v>0.16643585059489518</v>
      </c>
      <c r="M120" s="72">
        <v>0.17017275247182767</v>
      </c>
      <c r="N120" s="72">
        <v>0.17328369079314188</v>
      </c>
      <c r="O120" s="72">
        <v>0.17634354391431539</v>
      </c>
      <c r="P120" s="72">
        <v>0.1793524367515015</v>
      </c>
      <c r="Q120" s="72">
        <v>0.18231051233930526</v>
      </c>
      <c r="R120" s="72">
        <v>0.18521793139195711</v>
      </c>
      <c r="S120" s="72">
        <v>0.18761357493840458</v>
      </c>
      <c r="T120" s="72">
        <v>0.1899641826761248</v>
      </c>
      <c r="U120" s="72">
        <v>0.19227062695995598</v>
      </c>
      <c r="V120" s="72">
        <v>0.19453376279962023</v>
      </c>
      <c r="W120" s="72">
        <v>0.19675442817726757</v>
      </c>
      <c r="X120" s="72">
        <v>0.1987197332874831</v>
      </c>
      <c r="Y120" s="72">
        <v>0.20059075154972006</v>
      </c>
      <c r="Z120" s="72">
        <v>0.20242141223922069</v>
      </c>
      <c r="AA120" s="72">
        <v>0.20421266531069251</v>
      </c>
      <c r="AB120" s="72">
        <v>0.20596543117526739</v>
      </c>
      <c r="AC120" s="72">
        <v>0.20765371256251813</v>
      </c>
      <c r="AD120" s="72">
        <v>0.20930742886212308</v>
      </c>
      <c r="AE120" s="72">
        <v>0.21092747383197141</v>
      </c>
      <c r="AF120" s="72">
        <v>0.21251471254841123</v>
      </c>
      <c r="AG120" s="72">
        <v>0.21406998251195397</v>
      </c>
    </row>
    <row r="121" spans="1:33" ht="15.75" x14ac:dyDescent="0.25">
      <c r="A121" s="68" t="s">
        <v>222</v>
      </c>
      <c r="B121" s="66" t="s">
        <v>214</v>
      </c>
      <c r="C121" s="72">
        <v>0.19459673561022794</v>
      </c>
      <c r="D121" s="72">
        <v>0.19341675751393353</v>
      </c>
      <c r="E121" s="72">
        <v>0.1923723161231301</v>
      </c>
      <c r="F121" s="72">
        <v>0.19146581397200588</v>
      </c>
      <c r="G121" s="72">
        <v>0.19069892723619858</v>
      </c>
      <c r="H121" s="72">
        <v>0.19007251808908215</v>
      </c>
      <c r="I121" s="72">
        <v>0.18919586873218178</v>
      </c>
      <c r="J121" s="72">
        <v>0.18837584654730169</v>
      </c>
      <c r="K121" s="72">
        <v>0.18761407373919198</v>
      </c>
      <c r="L121" s="72">
        <v>0.1869120728678188</v>
      </c>
      <c r="M121" s="72">
        <v>0.18627125614572565</v>
      </c>
      <c r="N121" s="72">
        <v>0.18539300214499632</v>
      </c>
      <c r="O121" s="72">
        <v>0.18453616440853934</v>
      </c>
      <c r="P121" s="72">
        <v>0.18370058277791981</v>
      </c>
      <c r="Q121" s="72">
        <v>0.18288609116700646</v>
      </c>
      <c r="R121" s="72">
        <v>0.18209251778703087</v>
      </c>
      <c r="S121" s="72">
        <v>0.18157875724429232</v>
      </c>
      <c r="T121" s="72">
        <v>0.1810754108170379</v>
      </c>
      <c r="U121" s="72">
        <v>0.18058225768198491</v>
      </c>
      <c r="V121" s="72">
        <v>0.18009908192613755</v>
      </c>
      <c r="W121" s="72">
        <v>0.17962567243874411</v>
      </c>
      <c r="X121" s="72">
        <v>0.17903374645536954</v>
      </c>
      <c r="Y121" s="72">
        <v>0.17846527873688128</v>
      </c>
      <c r="Z121" s="72">
        <v>0.17790759531621123</v>
      </c>
      <c r="AA121" s="72">
        <v>0.17736044572655935</v>
      </c>
      <c r="AB121" s="72">
        <v>0.17682358728766165</v>
      </c>
      <c r="AC121" s="72">
        <v>0.17631519873761545</v>
      </c>
      <c r="AD121" s="72">
        <v>0.1758162547231307</v>
      </c>
      <c r="AE121" s="72">
        <v>0.17532652111359212</v>
      </c>
      <c r="AF121" s="72">
        <v>0.17484577110888702</v>
      </c>
      <c r="AG121" s="72">
        <v>0.17437378496150294</v>
      </c>
    </row>
    <row r="122" spans="1:33" ht="15.75" x14ac:dyDescent="0.25">
      <c r="A122" s="68" t="s">
        <v>223</v>
      </c>
      <c r="B122" s="66" t="s">
        <v>214</v>
      </c>
      <c r="C122" s="72">
        <v>0.67014767001315834</v>
      </c>
      <c r="D122" s="72">
        <v>0.66710913184500642</v>
      </c>
      <c r="E122" s="72">
        <v>0.66388201907699707</v>
      </c>
      <c r="F122" s="72">
        <v>0.6604720932588144</v>
      </c>
      <c r="G122" s="72">
        <v>0.65688672492395583</v>
      </c>
      <c r="H122" s="72">
        <v>0.65313499066802794</v>
      </c>
      <c r="I122" s="72">
        <v>0.65009018362249116</v>
      </c>
      <c r="J122" s="72">
        <v>0.64697312067235824</v>
      </c>
      <c r="K122" s="72">
        <v>0.64378626332591482</v>
      </c>
      <c r="L122" s="72">
        <v>0.64053233673234622</v>
      </c>
      <c r="M122" s="72">
        <v>0.63721433015103235</v>
      </c>
      <c r="N122" s="72">
        <v>0.63477808358772436</v>
      </c>
      <c r="O122" s="72">
        <v>0.63237043209709598</v>
      </c>
      <c r="P122" s="72">
        <v>0.62999150647584168</v>
      </c>
      <c r="Q122" s="72">
        <v>0.62764142405628387</v>
      </c>
      <c r="R122" s="72">
        <v>0.6253202888379662</v>
      </c>
      <c r="S122" s="72">
        <v>0.62330214112608673</v>
      </c>
      <c r="T122" s="72">
        <v>0.62131949076911763</v>
      </c>
      <c r="U122" s="72">
        <v>0.61937168562683609</v>
      </c>
      <c r="V122" s="72">
        <v>0.61745808577400663</v>
      </c>
      <c r="W122" s="72">
        <v>0.61557806329810327</v>
      </c>
      <c r="X122" s="72">
        <v>0.61411083095794616</v>
      </c>
      <c r="Y122" s="72">
        <v>0.61271784699500542</v>
      </c>
      <c r="Z122" s="72">
        <v>0.61135573780403485</v>
      </c>
      <c r="AA122" s="72">
        <v>0.61002377033851218</v>
      </c>
      <c r="AB122" s="72">
        <v>0.60872123436168801</v>
      </c>
      <c r="AC122" s="72">
        <v>0.60747505005534963</v>
      </c>
      <c r="AD122" s="72">
        <v>0.60625544820094945</v>
      </c>
      <c r="AE122" s="72">
        <v>0.60506173053366608</v>
      </c>
      <c r="AF122" s="72">
        <v>0.60389322139047386</v>
      </c>
      <c r="AG122" s="72">
        <v>0.60274926683392283</v>
      </c>
    </row>
    <row r="123" spans="1:33" ht="15.75" x14ac:dyDescent="0.25">
      <c r="A123" s="68" t="s">
        <v>224</v>
      </c>
      <c r="B123" s="66" t="s">
        <v>214</v>
      </c>
      <c r="C123" s="72">
        <v>4.3523277814644466E-3</v>
      </c>
      <c r="D123" s="72">
        <v>4.5184685556140447E-3</v>
      </c>
      <c r="E123" s="72">
        <v>4.6931711592057609E-3</v>
      </c>
      <c r="F123" s="72">
        <v>4.8767114482873384E-3</v>
      </c>
      <c r="G123" s="72">
        <v>5.0693449224016108E-3</v>
      </c>
      <c r="H123" s="72">
        <v>5.2713023681002381E-3</v>
      </c>
      <c r="I123" s="72">
        <v>5.477253545102612E-3</v>
      </c>
      <c r="J123" s="72">
        <v>5.6873937265665697E-3</v>
      </c>
      <c r="K123" s="72">
        <v>5.9016009687397038E-3</v>
      </c>
      <c r="L123" s="72">
        <v>6.1197398049398196E-3</v>
      </c>
      <c r="M123" s="72">
        <v>6.3416612314141684E-3</v>
      </c>
      <c r="N123" s="72">
        <v>6.5452234741375584E-3</v>
      </c>
      <c r="O123" s="72">
        <v>6.7498595800491818E-3</v>
      </c>
      <c r="P123" s="72">
        <v>6.9554739947369354E-3</v>
      </c>
      <c r="Q123" s="72">
        <v>7.161972437404204E-3</v>
      </c>
      <c r="R123" s="72">
        <v>7.3692619830457049E-3</v>
      </c>
      <c r="S123" s="72">
        <v>7.5055266912164376E-3</v>
      </c>
      <c r="T123" s="72">
        <v>7.6409157377195884E-3</v>
      </c>
      <c r="U123" s="72">
        <v>7.7754297312231883E-3</v>
      </c>
      <c r="V123" s="72">
        <v>7.9090695002355365E-3</v>
      </c>
      <c r="W123" s="72">
        <v>8.0418360858851966E-3</v>
      </c>
      <c r="X123" s="72">
        <v>8.1356892992012105E-3</v>
      </c>
      <c r="Y123" s="72">
        <v>8.2261227183933142E-3</v>
      </c>
      <c r="Z123" s="72">
        <v>8.3152546405331797E-3</v>
      </c>
      <c r="AA123" s="72">
        <v>8.403118624235829E-3</v>
      </c>
      <c r="AB123" s="72">
        <v>8.4897471753829605E-3</v>
      </c>
      <c r="AC123" s="72">
        <v>8.5560386445168342E-3</v>
      </c>
      <c r="AD123" s="72">
        <v>8.620868213796826E-3</v>
      </c>
      <c r="AE123" s="72">
        <v>8.6842745207704741E-3</v>
      </c>
      <c r="AF123" s="72">
        <v>8.7462949522279284E-3</v>
      </c>
      <c r="AG123" s="72">
        <v>8.806965692620258E-3</v>
      </c>
    </row>
    <row r="124" spans="1:33" ht="15.75" x14ac:dyDescent="0.25">
      <c r="A124" s="68" t="s">
        <v>226</v>
      </c>
      <c r="B124" s="66" t="s">
        <v>235</v>
      </c>
      <c r="C124" s="72">
        <v>0.1172221722296678</v>
      </c>
      <c r="D124" s="72">
        <v>0.11670916544200399</v>
      </c>
      <c r="E124" s="72">
        <v>0.11619261710031827</v>
      </c>
      <c r="F124" s="72">
        <v>0.1156724415145344</v>
      </c>
      <c r="G124" s="72">
        <v>0.1151485494141315</v>
      </c>
      <c r="H124" s="72">
        <v>0.11462084777432932</v>
      </c>
      <c r="I124" s="72">
        <v>0.11438758648828035</v>
      </c>
      <c r="J124" s="72">
        <v>0.11415004035384638</v>
      </c>
      <c r="K124" s="72">
        <v>0.11390810219872111</v>
      </c>
      <c r="L124" s="72">
        <v>0.11366166123811815</v>
      </c>
      <c r="M124" s="72">
        <v>0.11341060292159456</v>
      </c>
      <c r="N124" s="72">
        <v>0.11329193949635244</v>
      </c>
      <c r="O124" s="72">
        <v>0.1131680761829839</v>
      </c>
      <c r="P124" s="72">
        <v>0.11303892734249787</v>
      </c>
      <c r="Q124" s="72">
        <v>0.1129044052879369</v>
      </c>
      <c r="R124" s="72">
        <v>0.11276442022655996</v>
      </c>
      <c r="S124" s="72">
        <v>0.11302525550546788</v>
      </c>
      <c r="T124" s="72">
        <v>0.11328423736971623</v>
      </c>
      <c r="U124" s="72">
        <v>0.11354138187902169</v>
      </c>
      <c r="V124" s="72">
        <v>0.11379670496308826</v>
      </c>
      <c r="W124" s="72">
        <v>0.11405022242140281</v>
      </c>
      <c r="X124" s="72">
        <v>0.11432606300813342</v>
      </c>
      <c r="Y124" s="72">
        <v>0.11460264549028433</v>
      </c>
      <c r="Z124" s="72">
        <v>0.11487998213314272</v>
      </c>
      <c r="AA124" s="72">
        <v>0.11515807489048964</v>
      </c>
      <c r="AB124" s="72">
        <v>0.11543692572759404</v>
      </c>
      <c r="AC124" s="72">
        <v>0.11537051798215114</v>
      </c>
      <c r="AD124" s="72">
        <v>0.11530399412932053</v>
      </c>
      <c r="AE124" s="72">
        <v>0.11523735387886173</v>
      </c>
      <c r="AF124" s="72">
        <v>0.11517059694069202</v>
      </c>
      <c r="AG124" s="72">
        <v>0.11510372302483096</v>
      </c>
    </row>
    <row r="125" spans="1:33" ht="15.75" x14ac:dyDescent="0.25">
      <c r="A125" s="68" t="s">
        <v>227</v>
      </c>
      <c r="B125" s="66" t="s">
        <v>235</v>
      </c>
      <c r="C125" s="72">
        <v>0.14676587236243849</v>
      </c>
      <c r="D125" s="72">
        <v>0.1451896955071463</v>
      </c>
      <c r="E125" s="72">
        <v>0.14365318745567021</v>
      </c>
      <c r="F125" s="72">
        <v>0.14215763196406472</v>
      </c>
      <c r="G125" s="72">
        <v>0.14070436286848287</v>
      </c>
      <c r="H125" s="72">
        <v>0.13929476659975262</v>
      </c>
      <c r="I125" s="72">
        <v>0.13811061346554546</v>
      </c>
      <c r="J125" s="72">
        <v>0.13696942957777639</v>
      </c>
      <c r="K125" s="72">
        <v>0.13587236668280223</v>
      </c>
      <c r="L125" s="72">
        <v>0.13482061534869588</v>
      </c>
      <c r="M125" s="72">
        <v>0.13381540661305311</v>
      </c>
      <c r="N125" s="72">
        <v>0.13307050779159563</v>
      </c>
      <c r="O125" s="72">
        <v>0.13237304984160822</v>
      </c>
      <c r="P125" s="72">
        <v>0.131723908273299</v>
      </c>
      <c r="Q125" s="72">
        <v>0.13112397770696618</v>
      </c>
      <c r="R125" s="72">
        <v>0.13057417244713532</v>
      </c>
      <c r="S125" s="72">
        <v>0.1305209042955138</v>
      </c>
      <c r="T125" s="72">
        <v>0.13046809980157481</v>
      </c>
      <c r="U125" s="72">
        <v>0.13041575536194355</v>
      </c>
      <c r="V125" s="72">
        <v>0.13036386738678754</v>
      </c>
      <c r="W125" s="72">
        <v>0.13031243230045952</v>
      </c>
      <c r="X125" s="72">
        <v>0.13023145289848229</v>
      </c>
      <c r="Y125" s="72">
        <v>0.13015055848511334</v>
      </c>
      <c r="Z125" s="72">
        <v>0.13006964674102608</v>
      </c>
      <c r="AA125" s="72">
        <v>0.12998871852614866</v>
      </c>
      <c r="AB125" s="72">
        <v>0.12990777471047696</v>
      </c>
      <c r="AC125" s="72">
        <v>0.12985850785335587</v>
      </c>
      <c r="AD125" s="72">
        <v>0.1298092436524402</v>
      </c>
      <c r="AE125" s="72">
        <v>0.12975998234586247</v>
      </c>
      <c r="AF125" s="72">
        <v>0.12971072417470064</v>
      </c>
      <c r="AG125" s="72">
        <v>0.12966146938292097</v>
      </c>
    </row>
    <row r="126" spans="1:33" ht="15.75" x14ac:dyDescent="0.25">
      <c r="A126" s="68" t="s">
        <v>228</v>
      </c>
      <c r="B126" s="66" t="s">
        <v>235</v>
      </c>
      <c r="C126" s="72">
        <v>0.27376795970867768</v>
      </c>
      <c r="D126" s="72">
        <v>0.27414391934154964</v>
      </c>
      <c r="E126" s="72">
        <v>0.27450720360419772</v>
      </c>
      <c r="F126" s="72">
        <v>0.27485742238084454</v>
      </c>
      <c r="G126" s="72">
        <v>0.27519417002462176</v>
      </c>
      <c r="H126" s="72">
        <v>0.27551702458584493</v>
      </c>
      <c r="I126" s="72">
        <v>0.275556904776673</v>
      </c>
      <c r="J126" s="72">
        <v>0.27558433791975057</v>
      </c>
      <c r="K126" s="72">
        <v>0.27559899478157107</v>
      </c>
      <c r="L126" s="72">
        <v>0.27560053504137749</v>
      </c>
      <c r="M126" s="72">
        <v>0.27558860682068326</v>
      </c>
      <c r="N126" s="72">
        <v>0.27572734367687168</v>
      </c>
      <c r="O126" s="72">
        <v>0.27585086715396151</v>
      </c>
      <c r="P126" s="72">
        <v>0.27595892351216428</v>
      </c>
      <c r="Q126" s="72">
        <v>0.2760512530914912</v>
      </c>
      <c r="R126" s="72">
        <v>0.27612759014093524</v>
      </c>
      <c r="S126" s="72">
        <v>0.27599596949335042</v>
      </c>
      <c r="T126" s="72">
        <v>0.27586439120382017</v>
      </c>
      <c r="U126" s="72">
        <v>0.27573286299682837</v>
      </c>
      <c r="V126" s="72">
        <v>0.27560139239546483</v>
      </c>
      <c r="W126" s="72">
        <v>0.27546998672633882</v>
      </c>
      <c r="X126" s="72">
        <v>0.27548157510773125</v>
      </c>
      <c r="Y126" s="72">
        <v>0.27549320990363158</v>
      </c>
      <c r="Z126" s="72">
        <v>0.27550478566730174</v>
      </c>
      <c r="AA126" s="72">
        <v>0.27551630208187583</v>
      </c>
      <c r="AB126" s="72">
        <v>0.27552775882575559</v>
      </c>
      <c r="AC126" s="72">
        <v>0.27555852017992283</v>
      </c>
      <c r="AD126" s="72">
        <v>0.27558930305729873</v>
      </c>
      <c r="AE126" s="72">
        <v>0.27562010742777548</v>
      </c>
      <c r="AF126" s="72">
        <v>0.27565093326002849</v>
      </c>
      <c r="AG126" s="72">
        <v>0.27568178052155834</v>
      </c>
    </row>
    <row r="127" spans="1:33" ht="15.75" x14ac:dyDescent="0.25">
      <c r="A127" s="68" t="s">
        <v>229</v>
      </c>
      <c r="B127" s="66" t="s">
        <v>235</v>
      </c>
      <c r="C127" s="72">
        <v>0.46224399569921598</v>
      </c>
      <c r="D127" s="72">
        <v>0.46395721970930009</v>
      </c>
      <c r="E127" s="72">
        <v>0.46564699183981384</v>
      </c>
      <c r="F127" s="72">
        <v>0.46731250414055625</v>
      </c>
      <c r="G127" s="72">
        <v>0.46895291769276387</v>
      </c>
      <c r="H127" s="72">
        <v>0.47056736104007313</v>
      </c>
      <c r="I127" s="72">
        <v>0.47194489526950129</v>
      </c>
      <c r="J127" s="72">
        <v>0.47329619214862662</v>
      </c>
      <c r="K127" s="72">
        <v>0.47462053633690554</v>
      </c>
      <c r="L127" s="72">
        <v>0.47591718837180841</v>
      </c>
      <c r="M127" s="72">
        <v>0.47718538364466906</v>
      </c>
      <c r="N127" s="72">
        <v>0.47791020903518028</v>
      </c>
      <c r="O127" s="72">
        <v>0.47860800682144639</v>
      </c>
      <c r="P127" s="72">
        <v>0.47927824087203891</v>
      </c>
      <c r="Q127" s="72">
        <v>0.47992036391360571</v>
      </c>
      <c r="R127" s="72">
        <v>0.48053381718536947</v>
      </c>
      <c r="S127" s="72">
        <v>0.48045787070566787</v>
      </c>
      <c r="T127" s="72">
        <v>0.48038327162488881</v>
      </c>
      <c r="U127" s="72">
        <v>0.4803099997622064</v>
      </c>
      <c r="V127" s="72">
        <v>0.48023803525465941</v>
      </c>
      <c r="W127" s="72">
        <v>0.48016735855179882</v>
      </c>
      <c r="X127" s="72">
        <v>0.47996090898565308</v>
      </c>
      <c r="Y127" s="72">
        <v>0.4797535861209708</v>
      </c>
      <c r="Z127" s="72">
        <v>0.47954558545852932</v>
      </c>
      <c r="AA127" s="72">
        <v>0.47933690450148592</v>
      </c>
      <c r="AB127" s="72">
        <v>0.47912754073617347</v>
      </c>
      <c r="AC127" s="72">
        <v>0.47921245398457013</v>
      </c>
      <c r="AD127" s="72">
        <v>0.47929745916094069</v>
      </c>
      <c r="AE127" s="72">
        <v>0.47938255634750027</v>
      </c>
      <c r="AF127" s="72">
        <v>0.47946774562457878</v>
      </c>
      <c r="AG127" s="72">
        <v>0.47955302707068981</v>
      </c>
    </row>
    <row r="128" spans="1:33" ht="15.75" x14ac:dyDescent="0.25">
      <c r="A128" s="68"/>
      <c r="B128" s="69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</row>
    <row r="129" spans="1:33" ht="15.75" x14ac:dyDescent="0.25">
      <c r="A129" s="56" t="s">
        <v>285</v>
      </c>
      <c r="B129" s="69" t="s">
        <v>282</v>
      </c>
      <c r="C129" s="69">
        <v>2020</v>
      </c>
      <c r="D129" s="69">
        <v>2021</v>
      </c>
      <c r="E129" s="69">
        <v>2022</v>
      </c>
      <c r="F129" s="69">
        <v>2023</v>
      </c>
      <c r="G129" s="69">
        <v>2024</v>
      </c>
      <c r="H129" s="69">
        <v>2025</v>
      </c>
      <c r="I129" s="69">
        <v>2026</v>
      </c>
      <c r="J129" s="69">
        <v>2027</v>
      </c>
      <c r="K129" s="69">
        <v>2028</v>
      </c>
      <c r="L129" s="69">
        <v>2029</v>
      </c>
      <c r="M129" s="69">
        <v>2030</v>
      </c>
      <c r="N129" s="69">
        <v>2031</v>
      </c>
      <c r="O129" s="69">
        <v>2032</v>
      </c>
      <c r="P129" s="69">
        <v>2033</v>
      </c>
      <c r="Q129" s="69">
        <v>2034</v>
      </c>
      <c r="R129" s="69">
        <v>2035</v>
      </c>
      <c r="S129" s="69">
        <v>2036</v>
      </c>
      <c r="T129" s="69">
        <v>2037</v>
      </c>
      <c r="U129" s="69">
        <v>2038</v>
      </c>
      <c r="V129" s="69">
        <v>2039</v>
      </c>
      <c r="W129" s="69">
        <v>2040</v>
      </c>
      <c r="X129" s="69">
        <v>2041</v>
      </c>
      <c r="Y129" s="69">
        <v>2042</v>
      </c>
      <c r="Z129" s="69">
        <v>2043</v>
      </c>
      <c r="AA129" s="69">
        <v>2044</v>
      </c>
      <c r="AB129" s="69">
        <v>2045</v>
      </c>
      <c r="AC129" s="69">
        <v>2046</v>
      </c>
      <c r="AD129" s="69">
        <v>2047</v>
      </c>
      <c r="AE129" s="69">
        <v>2048</v>
      </c>
      <c r="AF129" s="69">
        <v>2049</v>
      </c>
      <c r="AG129" s="69">
        <v>2050</v>
      </c>
    </row>
    <row r="130" spans="1:33" ht="15.75" x14ac:dyDescent="0.25">
      <c r="A130" s="68" t="s">
        <v>219</v>
      </c>
      <c r="B130" s="66" t="s">
        <v>213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68" t="s">
        <v>220</v>
      </c>
      <c r="B131" s="66" t="s">
        <v>213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68" t="s">
        <v>221</v>
      </c>
      <c r="B132" s="66" t="s">
        <v>214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68" t="s">
        <v>222</v>
      </c>
      <c r="B133" s="66" t="s">
        <v>214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68" t="s">
        <v>223</v>
      </c>
      <c r="B134" s="66" t="s">
        <v>214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68" t="s">
        <v>224</v>
      </c>
      <c r="B135" s="66" t="s">
        <v>214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68" t="s">
        <v>226</v>
      </c>
      <c r="B136" s="66" t="s">
        <v>235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68" t="s">
        <v>227</v>
      </c>
      <c r="B137" s="66" t="s">
        <v>235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68" t="s">
        <v>228</v>
      </c>
      <c r="B138" s="66" t="s">
        <v>235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68" t="s">
        <v>229</v>
      </c>
      <c r="B139" s="66" t="s">
        <v>235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6"/>
    </row>
    <row r="141" spans="1:33" ht="15.75" x14ac:dyDescent="0.25">
      <c r="A141" s="56" t="s">
        <v>286</v>
      </c>
      <c r="C141" s="69">
        <v>2020</v>
      </c>
      <c r="D141" s="69">
        <v>2021</v>
      </c>
      <c r="E141" s="69">
        <v>2022</v>
      </c>
      <c r="F141" s="69">
        <v>2023</v>
      </c>
      <c r="G141" s="69">
        <v>2024</v>
      </c>
      <c r="H141" s="69">
        <v>2025</v>
      </c>
      <c r="I141" s="69">
        <v>2026</v>
      </c>
      <c r="J141" s="69">
        <v>2027</v>
      </c>
      <c r="K141" s="69">
        <v>2028</v>
      </c>
      <c r="L141" s="69">
        <v>2029</v>
      </c>
      <c r="M141" s="69">
        <v>2030</v>
      </c>
      <c r="N141" s="69">
        <v>2031</v>
      </c>
      <c r="O141" s="69">
        <v>2032</v>
      </c>
      <c r="P141" s="69">
        <v>2033</v>
      </c>
      <c r="Q141" s="69">
        <v>2034</v>
      </c>
      <c r="R141" s="69">
        <v>2035</v>
      </c>
      <c r="S141" s="69">
        <v>2036</v>
      </c>
      <c r="T141" s="69">
        <v>2037</v>
      </c>
      <c r="U141" s="69">
        <v>2038</v>
      </c>
      <c r="V141" s="69">
        <v>2039</v>
      </c>
      <c r="W141" s="69">
        <v>2040</v>
      </c>
      <c r="X141" s="69">
        <v>2041</v>
      </c>
      <c r="Y141" s="69">
        <v>2042</v>
      </c>
      <c r="Z141" s="69">
        <v>2043</v>
      </c>
      <c r="AA141" s="69">
        <v>2044</v>
      </c>
      <c r="AB141" s="69">
        <v>2045</v>
      </c>
      <c r="AC141" s="69">
        <v>2046</v>
      </c>
      <c r="AD141" s="69">
        <v>2047</v>
      </c>
      <c r="AE141" s="69">
        <v>2048</v>
      </c>
      <c r="AF141" s="69">
        <v>2049</v>
      </c>
      <c r="AG141" s="69">
        <v>2050</v>
      </c>
    </row>
    <row r="142" spans="1:33" x14ac:dyDescent="0.25">
      <c r="A142" s="68" t="s">
        <v>213</v>
      </c>
      <c r="C142" s="73">
        <v>177.31083878210202</v>
      </c>
      <c r="D142" s="73">
        <v>173.74377794971338</v>
      </c>
      <c r="E142" s="73">
        <v>170.17989302001735</v>
      </c>
      <c r="F142" s="73">
        <v>166.61915048258282</v>
      </c>
      <c r="G142" s="73">
        <v>163.06151613166699</v>
      </c>
      <c r="H142" s="73">
        <v>159.50695507314927</v>
      </c>
      <c r="I142" s="73">
        <v>156.17727078537354</v>
      </c>
      <c r="J142" s="73">
        <v>152.8386568196475</v>
      </c>
      <c r="K142" s="73">
        <v>149.49114155020894</v>
      </c>
      <c r="L142" s="73">
        <v>146.13475753340032</v>
      </c>
      <c r="M142" s="73">
        <v>142.76954148079128</v>
      </c>
      <c r="N142" s="73">
        <v>142.71253156286409</v>
      </c>
      <c r="O142" s="73">
        <v>142.65645667621897</v>
      </c>
      <c r="P142" s="73">
        <v>142.60129419699814</v>
      </c>
      <c r="Q142" s="73">
        <v>142.54702221926465</v>
      </c>
      <c r="R142" s="73">
        <v>142.49361952703927</v>
      </c>
      <c r="S142" s="73">
        <v>142.50349416253471</v>
      </c>
      <c r="T142" s="73">
        <v>142.51325557678811</v>
      </c>
      <c r="U142" s="73">
        <v>142.52290570302796</v>
      </c>
      <c r="V142" s="73">
        <v>142.53244643071079</v>
      </c>
      <c r="W142" s="73">
        <v>142.54187960675975</v>
      </c>
      <c r="X142" s="73">
        <v>142.4790813219189</v>
      </c>
      <c r="Y142" s="73">
        <v>142.41647093641211</v>
      </c>
      <c r="Z142" s="73">
        <v>142.35405180263513</v>
      </c>
      <c r="AA142" s="73">
        <v>142.29182309152691</v>
      </c>
      <c r="AB142" s="73">
        <v>142.22978397859805</v>
      </c>
      <c r="AC142" s="73">
        <v>142.22978392912938</v>
      </c>
      <c r="AD142" s="73">
        <v>142.22978381480658</v>
      </c>
      <c r="AE142" s="73">
        <v>142.22978363930918</v>
      </c>
      <c r="AF142" s="73">
        <v>142.22978340607</v>
      </c>
      <c r="AG142" s="73">
        <v>142.22978311829587</v>
      </c>
    </row>
    <row r="143" spans="1:33" x14ac:dyDescent="0.25">
      <c r="A143" s="68" t="s">
        <v>214</v>
      </c>
      <c r="C143" s="73">
        <v>811.56733202456724</v>
      </c>
      <c r="D143" s="73">
        <v>783.67722170108311</v>
      </c>
      <c r="E143" s="73">
        <v>755.82259316260672</v>
      </c>
      <c r="F143" s="73">
        <v>728.01646312417529</v>
      </c>
      <c r="G143" s="73">
        <v>700.27210798360989</v>
      </c>
      <c r="H143" s="73">
        <v>672.60295647301575</v>
      </c>
      <c r="I143" s="73">
        <v>645.38599094867925</v>
      </c>
      <c r="J143" s="73">
        <v>618.26560826991386</v>
      </c>
      <c r="K143" s="73">
        <v>591.24665767173769</v>
      </c>
      <c r="L143" s="73">
        <v>564.33387405256838</v>
      </c>
      <c r="M143" s="73">
        <v>537.53185323241064</v>
      </c>
      <c r="N143" s="73">
        <v>536.62095609481855</v>
      </c>
      <c r="O143" s="73">
        <v>535.72115859168821</v>
      </c>
      <c r="P143" s="73">
        <v>534.83250177033858</v>
      </c>
      <c r="Q143" s="73">
        <v>533.95502161019112</v>
      </c>
      <c r="R143" s="73">
        <v>533.08874907895029</v>
      </c>
      <c r="S143" s="73">
        <v>532.3408425381258</v>
      </c>
      <c r="T143" s="73">
        <v>531.60615469500453</v>
      </c>
      <c r="U143" s="73">
        <v>530.88444154282172</v>
      </c>
      <c r="V143" s="73">
        <v>530.17546367352975</v>
      </c>
      <c r="W143" s="73">
        <v>529.47898620072067</v>
      </c>
      <c r="X143" s="73">
        <v>528.92797354235199</v>
      </c>
      <c r="Y143" s="73">
        <v>528.40464613012477</v>
      </c>
      <c r="Z143" s="73">
        <v>527.89286652398607</v>
      </c>
      <c r="AA143" s="73">
        <v>527.39236076534712</v>
      </c>
      <c r="AB143" s="73">
        <v>526.9028634198902</v>
      </c>
      <c r="AC143" s="73">
        <v>526.43451719216739</v>
      </c>
      <c r="AD143" s="73">
        <v>525.97611452137346</v>
      </c>
      <c r="AE143" s="73">
        <v>525.52739467471849</v>
      </c>
      <c r="AF143" s="73">
        <v>525.08810535076202</v>
      </c>
      <c r="AG143" s="73">
        <v>524.65800235275503</v>
      </c>
    </row>
    <row r="144" spans="1:33" x14ac:dyDescent="0.25">
      <c r="A144" s="68" t="s">
        <v>235</v>
      </c>
      <c r="C144" s="73">
        <v>446.76120003515064</v>
      </c>
      <c r="D144" s="73">
        <v>444.77134979664311</v>
      </c>
      <c r="E144" s="73">
        <v>442.77571153955955</v>
      </c>
      <c r="F144" s="73">
        <v>440.77424752437662</v>
      </c>
      <c r="G144" s="73">
        <v>438.76691946139834</v>
      </c>
      <c r="H144" s="73">
        <v>436.75368846681636</v>
      </c>
      <c r="I144" s="73">
        <v>434.66280235104773</v>
      </c>
      <c r="J144" s="73">
        <v>432.56659283227418</v>
      </c>
      <c r="K144" s="73">
        <v>430.46504197578145</v>
      </c>
      <c r="L144" s="73">
        <v>428.35813142570919</v>
      </c>
      <c r="M144" s="73">
        <v>426.2458423872099</v>
      </c>
      <c r="N144" s="73">
        <v>426.40398954161503</v>
      </c>
      <c r="O144" s="73">
        <v>426.56186175007042</v>
      </c>
      <c r="P144" s="73">
        <v>426.7194356493352</v>
      </c>
      <c r="Q144" s="73">
        <v>426.87668764203397</v>
      </c>
      <c r="R144" s="73">
        <v>427.0335938843121</v>
      </c>
      <c r="S144" s="73">
        <v>426.96898445891748</v>
      </c>
      <c r="T144" s="73">
        <v>426.90523896892978</v>
      </c>
      <c r="U144" s="73">
        <v>426.84234600356302</v>
      </c>
      <c r="V144" s="73">
        <v>426.78029431360369</v>
      </c>
      <c r="W144" s="73">
        <v>426.71907280905123</v>
      </c>
      <c r="X144" s="73">
        <v>426.58460011554439</v>
      </c>
      <c r="Y144" s="73">
        <v>426.44969311755318</v>
      </c>
      <c r="Z144" s="73">
        <v>426.31441738493851</v>
      </c>
      <c r="AA144" s="73">
        <v>426.17877184469273</v>
      </c>
      <c r="AB144" s="73">
        <v>426.04275541777645</v>
      </c>
      <c r="AC144" s="73">
        <v>426.07407868986945</v>
      </c>
      <c r="AD144" s="73">
        <v>426.10545283924421</v>
      </c>
      <c r="AE144" s="73">
        <v>426.13687798285252</v>
      </c>
      <c r="AF144" s="73">
        <v>426.16835423750365</v>
      </c>
      <c r="AG144" s="73">
        <v>426.19988171988524</v>
      </c>
    </row>
    <row r="146" spans="1:33" ht="15.75" x14ac:dyDescent="0.25">
      <c r="A146" s="56" t="s">
        <v>287</v>
      </c>
      <c r="C146" s="69">
        <v>2020</v>
      </c>
      <c r="D146" s="69">
        <v>2021</v>
      </c>
      <c r="E146" s="69">
        <v>2022</v>
      </c>
      <c r="F146" s="69">
        <v>2023</v>
      </c>
      <c r="G146" s="69">
        <v>2024</v>
      </c>
      <c r="H146" s="69">
        <v>2025</v>
      </c>
      <c r="I146" s="69">
        <v>2026</v>
      </c>
      <c r="J146" s="69">
        <v>2027</v>
      </c>
      <c r="K146" s="69">
        <v>2028</v>
      </c>
      <c r="L146" s="69">
        <v>2029</v>
      </c>
      <c r="M146" s="69">
        <v>2030</v>
      </c>
      <c r="N146" s="69">
        <v>2031</v>
      </c>
      <c r="O146" s="69">
        <v>2032</v>
      </c>
      <c r="P146" s="69">
        <v>2033</v>
      </c>
      <c r="Q146" s="69">
        <v>2034</v>
      </c>
      <c r="R146" s="69">
        <v>2035</v>
      </c>
      <c r="S146" s="69">
        <v>2036</v>
      </c>
      <c r="T146" s="69">
        <v>2037</v>
      </c>
      <c r="U146" s="69">
        <v>2038</v>
      </c>
      <c r="V146" s="69">
        <v>2039</v>
      </c>
      <c r="W146" s="69">
        <v>2040</v>
      </c>
      <c r="X146" s="69">
        <v>2041</v>
      </c>
      <c r="Y146" s="69">
        <v>2042</v>
      </c>
      <c r="Z146" s="69">
        <v>2043</v>
      </c>
      <c r="AA146" s="69">
        <v>2044</v>
      </c>
      <c r="AB146" s="69">
        <v>2045</v>
      </c>
      <c r="AC146" s="69">
        <v>2046</v>
      </c>
      <c r="AD146" s="69">
        <v>2047</v>
      </c>
      <c r="AE146" s="69">
        <v>2048</v>
      </c>
      <c r="AF146" s="69">
        <v>2049</v>
      </c>
      <c r="AG146" s="69">
        <v>2050</v>
      </c>
    </row>
    <row r="147" spans="1:33" x14ac:dyDescent="0.25">
      <c r="A147" s="68" t="s">
        <v>213</v>
      </c>
      <c r="C147" s="73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68" t="s">
        <v>214</v>
      </c>
      <c r="C148" s="73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68" t="s">
        <v>235</v>
      </c>
      <c r="C149" s="73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890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59" t="s">
        <v>891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59" t="s">
        <v>899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59" t="s">
        <v>900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59" t="s">
        <v>901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890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59" t="s">
        <v>892</v>
      </c>
      <c r="B14" s="49">
        <f>SUM(B8:B9)/SUM(B$8:B$10)</f>
        <v>0.11751487704141891</v>
      </c>
      <c r="C14" s="49">
        <f t="shared" ref="C14:AE14" si="8">SUM(C8:C9)/SUM(C$8:C$10)</f>
        <v>0.11409674161325026</v>
      </c>
      <c r="D14" s="49">
        <f t="shared" si="8"/>
        <v>0.11129723656585319</v>
      </c>
      <c r="E14" s="49">
        <f t="shared" si="8"/>
        <v>0.10899118464393497</v>
      </c>
      <c r="F14" s="49">
        <f t="shared" si="8"/>
        <v>0.10711493535073155</v>
      </c>
      <c r="G14" s="49">
        <f t="shared" si="8"/>
        <v>0.105591211510956</v>
      </c>
      <c r="H14" s="49">
        <f t="shared" si="8"/>
        <v>0.10433568583668915</v>
      </c>
      <c r="I14" s="49">
        <f t="shared" si="8"/>
        <v>0.10327648167279127</v>
      </c>
      <c r="J14" s="49">
        <f t="shared" si="8"/>
        <v>0.10234711407783052</v>
      </c>
      <c r="K14" s="49">
        <f t="shared" si="8"/>
        <v>0.10157456220866413</v>
      </c>
      <c r="L14" s="49">
        <f t="shared" si="8"/>
        <v>0.10091281477207445</v>
      </c>
      <c r="M14" s="49">
        <f t="shared" si="8"/>
        <v>0.10030984614346165</v>
      </c>
      <c r="N14" s="49">
        <f t="shared" si="8"/>
        <v>9.974036322956753E-2</v>
      </c>
      <c r="O14" s="49">
        <f t="shared" si="8"/>
        <v>9.9190586519234569E-2</v>
      </c>
      <c r="P14" s="49">
        <f t="shared" si="8"/>
        <v>9.8691572372797173E-2</v>
      </c>
      <c r="Q14" s="49">
        <f t="shared" si="8"/>
        <v>9.8249773138950489E-2</v>
      </c>
      <c r="R14" s="49">
        <f t="shared" si="8"/>
        <v>9.7857850378720579E-2</v>
      </c>
      <c r="S14" s="49">
        <f t="shared" si="8"/>
        <v>9.747305413718152E-2</v>
      </c>
      <c r="T14" s="49">
        <f t="shared" si="8"/>
        <v>9.7082749946231908E-2</v>
      </c>
      <c r="U14" s="49">
        <f t="shared" si="8"/>
        <v>9.6724318959936759E-2</v>
      </c>
      <c r="V14" s="49">
        <f t="shared" si="8"/>
        <v>9.6391619139722468E-2</v>
      </c>
      <c r="W14" s="49">
        <f t="shared" si="8"/>
        <v>9.6095659981179929E-2</v>
      </c>
      <c r="X14" s="49">
        <f t="shared" si="8"/>
        <v>9.5850222325099196E-2</v>
      </c>
      <c r="Y14" s="49">
        <f t="shared" si="8"/>
        <v>9.5646026206792051E-2</v>
      </c>
      <c r="Z14" s="49">
        <f t="shared" si="8"/>
        <v>9.5473169050261514E-2</v>
      </c>
      <c r="AA14" s="49">
        <f t="shared" si="8"/>
        <v>9.5330046960375531E-2</v>
      </c>
      <c r="AB14" s="49">
        <f t="shared" si="8"/>
        <v>9.5200265481535831E-2</v>
      </c>
      <c r="AC14" s="49">
        <f t="shared" si="8"/>
        <v>9.5090955977710501E-2</v>
      </c>
      <c r="AD14" s="49">
        <f t="shared" si="8"/>
        <v>9.499461077453844E-2</v>
      </c>
      <c r="AE14" s="49">
        <f t="shared" si="8"/>
        <v>9.4917741494206828E-2</v>
      </c>
    </row>
    <row r="15" spans="1:31" x14ac:dyDescent="0.25">
      <c r="A15" s="59" t="s">
        <v>893</v>
      </c>
      <c r="B15" s="49">
        <f t="shared" ref="B15:AE15" si="9">B10/SUM(B$8:B$10)</f>
        <v>0.88248512295858106</v>
      </c>
      <c r="C15" s="49">
        <f t="shared" si="9"/>
        <v>0.88590325838674977</v>
      </c>
      <c r="D15" s="49">
        <f t="shared" si="9"/>
        <v>0.88870276343414678</v>
      </c>
      <c r="E15" s="49">
        <f t="shared" si="9"/>
        <v>0.89100881535606502</v>
      </c>
      <c r="F15" s="49">
        <f t="shared" si="9"/>
        <v>0.89288506464926842</v>
      </c>
      <c r="G15" s="49">
        <f t="shared" si="9"/>
        <v>0.89440878848904404</v>
      </c>
      <c r="H15" s="49">
        <f t="shared" si="9"/>
        <v>0.89566431416331083</v>
      </c>
      <c r="I15" s="49">
        <f t="shared" si="9"/>
        <v>0.89672351832720876</v>
      </c>
      <c r="J15" s="49">
        <f t="shared" si="9"/>
        <v>0.89765288592216952</v>
      </c>
      <c r="K15" s="49">
        <f t="shared" si="9"/>
        <v>0.89842543779133588</v>
      </c>
      <c r="L15" s="49">
        <f t="shared" si="9"/>
        <v>0.89908718522792552</v>
      </c>
      <c r="M15" s="49">
        <f t="shared" si="9"/>
        <v>0.89969015385653839</v>
      </c>
      <c r="N15" s="49">
        <f t="shared" si="9"/>
        <v>0.90025963677043253</v>
      </c>
      <c r="O15" s="49">
        <f t="shared" si="9"/>
        <v>0.90080941348076538</v>
      </c>
      <c r="P15" s="49">
        <f t="shared" si="9"/>
        <v>0.90130842762720287</v>
      </c>
      <c r="Q15" s="49">
        <f t="shared" si="9"/>
        <v>0.90175022686104955</v>
      </c>
      <c r="R15" s="49">
        <f t="shared" si="9"/>
        <v>0.90214214962127937</v>
      </c>
      <c r="S15" s="49">
        <f t="shared" si="9"/>
        <v>0.90252694586281845</v>
      </c>
      <c r="T15" s="49">
        <f t="shared" si="9"/>
        <v>0.90291725005376811</v>
      </c>
      <c r="U15" s="49">
        <f t="shared" si="9"/>
        <v>0.90327568104006328</v>
      </c>
      <c r="V15" s="49">
        <f t="shared" si="9"/>
        <v>0.9036083808602775</v>
      </c>
      <c r="W15" s="49">
        <f t="shared" si="9"/>
        <v>0.90390434001882003</v>
      </c>
      <c r="X15" s="49">
        <f t="shared" si="9"/>
        <v>0.90414977767490079</v>
      </c>
      <c r="Y15" s="49">
        <f t="shared" si="9"/>
        <v>0.90435397379320792</v>
      </c>
      <c r="Z15" s="49">
        <f t="shared" si="9"/>
        <v>0.90452683094973851</v>
      </c>
      <c r="AA15" s="49">
        <f t="shared" si="9"/>
        <v>0.9046699530396245</v>
      </c>
      <c r="AB15" s="49">
        <f t="shared" si="9"/>
        <v>0.90479973451846418</v>
      </c>
      <c r="AC15" s="49">
        <f t="shared" si="9"/>
        <v>0.90490904402228955</v>
      </c>
      <c r="AD15" s="49">
        <f t="shared" si="9"/>
        <v>0.90500538922546159</v>
      </c>
      <c r="AE15" s="49">
        <f t="shared" si="9"/>
        <v>0.90508225850579316</v>
      </c>
    </row>
    <row r="17" spans="1:30" s="112" customFormat="1" ht="15.75" x14ac:dyDescent="0.25">
      <c r="A17" s="111" t="s">
        <v>861</v>
      </c>
    </row>
    <row r="18" spans="1:30" x14ac:dyDescent="0.25">
      <c r="A18" t="s">
        <v>862</v>
      </c>
    </row>
    <row r="19" spans="1:30" x14ac:dyDescent="0.25">
      <c r="H19" s="15"/>
      <c r="M19" s="15"/>
      <c r="P19" s="15"/>
      <c r="W19" s="15"/>
    </row>
    <row r="20" spans="1:30" x14ac:dyDescent="0.25">
      <c r="H20" s="113" t="s">
        <v>863</v>
      </c>
      <c r="I20" s="114"/>
      <c r="J20" s="114"/>
      <c r="K20" s="114"/>
      <c r="L20" s="115"/>
      <c r="M20" s="113" t="s">
        <v>864</v>
      </c>
      <c r="N20" s="114"/>
      <c r="O20" s="115"/>
      <c r="P20" s="113" t="s">
        <v>110</v>
      </c>
      <c r="Q20" s="114"/>
      <c r="R20" s="114"/>
      <c r="S20" s="114"/>
      <c r="T20" s="114"/>
      <c r="U20" s="114"/>
      <c r="V20" s="115"/>
      <c r="W20" s="15"/>
    </row>
    <row r="21" spans="1:30" x14ac:dyDescent="0.25">
      <c r="B21" t="s">
        <v>89</v>
      </c>
      <c r="D21" t="s">
        <v>865</v>
      </c>
      <c r="E21" t="s">
        <v>866</v>
      </c>
      <c r="F21" t="s">
        <v>867</v>
      </c>
      <c r="G21" t="s">
        <v>868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869</v>
      </c>
      <c r="N21" t="s">
        <v>870</v>
      </c>
      <c r="O21" s="16" t="s">
        <v>871</v>
      </c>
      <c r="P21" s="15" t="s">
        <v>872</v>
      </c>
      <c r="Q21" t="s">
        <v>873</v>
      </c>
      <c r="R21" t="s">
        <v>870</v>
      </c>
      <c r="S21" t="s">
        <v>871</v>
      </c>
      <c r="T21" t="s">
        <v>874</v>
      </c>
      <c r="U21" t="s">
        <v>875</v>
      </c>
      <c r="V21" s="16" t="s">
        <v>876</v>
      </c>
      <c r="W21" s="15" t="s">
        <v>877</v>
      </c>
      <c r="AA21" t="s">
        <v>878</v>
      </c>
      <c r="AB21" t="s">
        <v>879</v>
      </c>
      <c r="AC21" t="s">
        <v>880</v>
      </c>
    </row>
    <row r="22" spans="1:30" x14ac:dyDescent="0.25">
      <c r="B22">
        <v>2012</v>
      </c>
      <c r="C22" t="s">
        <v>881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3" cm="1">
        <f t="array" ref="AA22">SUM(($G$22:$H$372)*($B$22:$B$372=$Z22))/1000000</f>
        <v>53357.496055000003</v>
      </c>
      <c r="AB22" s="73" cm="1">
        <f t="array" ref="AB22">SUM(($I$22:$K$372)*($B$22:$B$372=$Z22))/1000000</f>
        <v>54962.399487000002</v>
      </c>
      <c r="AC22" s="73" cm="1">
        <f t="array" ref="AC22">SUM(($L$22:$W$372)*($B$22:$B$372=$Z22))/1000000</f>
        <v>160885.03339299999</v>
      </c>
      <c r="AD22" s="73">
        <f>SUM(AA22:AC22)</f>
        <v>269204.92893499997</v>
      </c>
    </row>
    <row r="23" spans="1:30" x14ac:dyDescent="0.25">
      <c r="B23">
        <v>2012</v>
      </c>
      <c r="C23" t="s">
        <v>882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3">
        <f t="array" ref="AA23">SUM(($G$22:$H$372)*($B$22:$B$372=$Z23))/1000000</f>
        <v>54849.001233000003</v>
      </c>
      <c r="AB23" s="73">
        <f t="array" ref="AB23">SUM(($I$22:$K$372)*($B$22:$B$372=$Z23))/1000000</f>
        <v>55016.167917999999</v>
      </c>
      <c r="AC23" s="73">
        <f t="array" ref="AC23">SUM(($L$22:$W$372)*($B$22:$B$372=$Z23))/1000000</f>
        <v>165149.100447</v>
      </c>
      <c r="AD23" s="73">
        <f t="shared" ref="AD23:AD60" si="10">SUM(AA23:AC23)</f>
        <v>275014.26959799998</v>
      </c>
    </row>
    <row r="24" spans="1:30" x14ac:dyDescent="0.25">
      <c r="B24">
        <v>2012</v>
      </c>
      <c r="C24" t="s">
        <v>883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3">
        <f t="array" ref="AA24">SUM(($G$22:$H$372)*($B$22:$B$372=$Z24))/1000000</f>
        <v>56369.292610999997</v>
      </c>
      <c r="AB24" s="73">
        <f t="array" ref="AB24">SUM(($I$22:$K$372)*($B$22:$B$372=$Z24))/1000000</f>
        <v>54763.221610000001</v>
      </c>
      <c r="AC24" s="73">
        <f t="array" ref="AC24">SUM(($L$22:$W$372)*($B$22:$B$372=$Z24))/1000000</f>
        <v>167996.188452</v>
      </c>
      <c r="AD24" s="73">
        <f t="shared" si="10"/>
        <v>279128.70267299999</v>
      </c>
    </row>
    <row r="25" spans="1:30" x14ac:dyDescent="0.25">
      <c r="B25">
        <v>2012</v>
      </c>
      <c r="C25" t="s">
        <v>884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3">
        <f t="array" ref="AA25">SUM(($G$22:$H$372)*($B$22:$B$372=$Z25))/1000000</f>
        <v>58042.053438000003</v>
      </c>
      <c r="AB25" s="73">
        <f t="array" ref="AB25">SUM(($I$22:$K$372)*($B$22:$B$372=$Z25))/1000000</f>
        <v>54072.603288999999</v>
      </c>
      <c r="AC25" s="73">
        <f t="array" ref="AC25">SUM(($L$22:$W$372)*($B$22:$B$372=$Z25))/1000000</f>
        <v>167723.897471</v>
      </c>
      <c r="AD25" s="73">
        <f t="shared" si="10"/>
        <v>279838.554198</v>
      </c>
    </row>
    <row r="26" spans="1:30" x14ac:dyDescent="0.25">
      <c r="B26">
        <v>2012</v>
      </c>
      <c r="C26" t="s">
        <v>885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3">
        <f t="array" ref="AA26">SUM(($G$22:$H$372)*($B$22:$B$372=$Z26))/1000000</f>
        <v>59349.005367999998</v>
      </c>
      <c r="AB26" s="73">
        <f t="array" ref="AB26">SUM(($I$22:$K$372)*($B$22:$B$372=$Z26))/1000000</f>
        <v>54712.407867000002</v>
      </c>
      <c r="AC26" s="73">
        <f t="array" ref="AC26">SUM(($L$22:$W$372)*($B$22:$B$372=$Z26))/1000000</f>
        <v>173828.54704</v>
      </c>
      <c r="AD26" s="73">
        <f t="shared" si="10"/>
        <v>287889.96027500002</v>
      </c>
    </row>
    <row r="27" spans="1:30" x14ac:dyDescent="0.25">
      <c r="B27">
        <v>2012</v>
      </c>
      <c r="C27" t="s">
        <v>886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3">
        <f t="array" ref="AA27">SUM(($G$22:$H$372)*($B$22:$B$372=$Z27))/1000000</f>
        <v>63513.358348000002</v>
      </c>
      <c r="AB27" s="73">
        <f t="array" ref="AB27">SUM(($I$22:$K$372)*($B$22:$B$372=$Z27))/1000000</f>
        <v>57567.423967000002</v>
      </c>
      <c r="AC27" s="73">
        <f t="array" ref="AC27">SUM(($L$22:$W$372)*($B$22:$B$372=$Z27))/1000000</f>
        <v>176504.521511</v>
      </c>
      <c r="AD27" s="73">
        <f t="shared" si="10"/>
        <v>297585.30382600002</v>
      </c>
    </row>
    <row r="28" spans="1:30" x14ac:dyDescent="0.25">
      <c r="B28">
        <v>2012</v>
      </c>
      <c r="C28" t="s">
        <v>887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3">
        <f t="array" ref="AA28">SUM(($G$22:$H$372)*($B$22:$B$372=$Z28))/1000000</f>
        <v>65749.611323000005</v>
      </c>
      <c r="AB28" s="73">
        <f t="array" ref="AB28">SUM(($I$22:$K$372)*($B$22:$B$372=$Z28))/1000000</f>
        <v>58713.445049000002</v>
      </c>
      <c r="AC28" s="73">
        <f t="array" ref="AC28">SUM(($L$22:$W$372)*($B$22:$B$372=$Z28))/1000000</f>
        <v>180393.987968</v>
      </c>
      <c r="AD28" s="73">
        <f t="shared" si="10"/>
        <v>304857.04434000002</v>
      </c>
    </row>
    <row r="29" spans="1:30" x14ac:dyDescent="0.25">
      <c r="B29">
        <v>2012</v>
      </c>
      <c r="C29" t="s">
        <v>888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3">
        <f t="array" ref="AA29">SUM(($G$22:$H$372)*($B$22:$B$372=$Z29))/1000000</f>
        <v>64032.875804000003</v>
      </c>
      <c r="AB29" s="73">
        <f t="array" ref="AB29">SUM(($I$22:$K$372)*($B$22:$B$372=$Z29))/1000000</f>
        <v>57753.081602999999</v>
      </c>
      <c r="AC29" s="73">
        <f t="array" ref="AC29">SUM(($L$22:$W$372)*($B$22:$B$372=$Z29))/1000000</f>
        <v>178258.78945899999</v>
      </c>
      <c r="AD29" s="73">
        <f t="shared" si="10"/>
        <v>300044.746866</v>
      </c>
    </row>
    <row r="30" spans="1:30" x14ac:dyDescent="0.25">
      <c r="B30">
        <v>2012</v>
      </c>
      <c r="C30" t="s">
        <v>889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3">
        <f t="array" ref="AA30">SUM(($G$22:$H$372)*($B$22:$B$372=$Z30))/1000000</f>
        <v>66392.729428000006</v>
      </c>
      <c r="AB30" s="73">
        <f t="array" ref="AB30">SUM(($I$22:$K$372)*($B$22:$B$372=$Z30))/1000000</f>
        <v>56565.216330000003</v>
      </c>
      <c r="AC30" s="73">
        <f t="array" ref="AC30">SUM(($L$22:$W$372)*($B$22:$B$372=$Z30))/1000000</f>
        <v>179177.29365499999</v>
      </c>
      <c r="AD30" s="73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3">
        <f t="array" ref="AA31">SUM(($G$22:$H$372)*($B$22:$B$372=$Z31))/1000000</f>
        <v>73491.209528000007</v>
      </c>
      <c r="AB31" s="73">
        <f t="array" ref="AB31">SUM(($I$22:$K$372)*($B$22:$B$372=$Z31))/1000000</f>
        <v>58774.466785999997</v>
      </c>
      <c r="AC31" s="73">
        <f t="array" ref="AC31">SUM(($L$22:$W$372)*($B$22:$B$372=$Z31))/1000000</f>
        <v>183020.83665899999</v>
      </c>
      <c r="AD31" s="73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3">
        <f t="array" ref="AA32">SUM(($G$22:$H$372)*($B$22:$B$372=$Z32))/1000000</f>
        <v>75058.850216000006</v>
      </c>
      <c r="AB32" s="73">
        <f t="array" ref="AB32">SUM(($I$22:$K$372)*($B$22:$B$372=$Z32))/1000000</f>
        <v>59696.392709</v>
      </c>
      <c r="AC32" s="73">
        <f t="array" ref="AC32">SUM(($L$22:$W$372)*($B$22:$B$372=$Z32))/1000000</f>
        <v>187191.81166800001</v>
      </c>
      <c r="AD32" s="73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3">
        <f t="array" ref="AA33">SUM(($G$22:$H$372)*($B$22:$B$372=$Z33))/1000000</f>
        <v>74732.068169999999</v>
      </c>
      <c r="AB33" s="73">
        <f t="array" ref="AB33">SUM(($I$22:$K$372)*($B$22:$B$372=$Z33))/1000000</f>
        <v>59233.001348999998</v>
      </c>
      <c r="AC33" s="73">
        <f t="array" ref="AC33">SUM(($L$22:$W$372)*($B$22:$B$372=$Z33))/1000000</f>
        <v>186734.72233700001</v>
      </c>
      <c r="AD33" s="73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3">
        <f t="array" ref="AA34">SUM(($G$22:$H$372)*($B$22:$B$372=$Z34))/1000000</f>
        <v>75056.362034999998</v>
      </c>
      <c r="AB34" s="73">
        <f t="array" ref="AB34">SUM(($I$22:$K$372)*($B$22:$B$372=$Z34))/1000000</f>
        <v>59104.916788000002</v>
      </c>
      <c r="AC34" s="73">
        <f t="array" ref="AC34">SUM(($L$22:$W$372)*($B$22:$B$372=$Z34))/1000000</f>
        <v>186938.41755700001</v>
      </c>
      <c r="AD34" s="73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3">
        <f t="array" ref="AA35">SUM(($G$22:$H$372)*($B$22:$B$372=$Z35))/1000000</f>
        <v>76161.660589000006</v>
      </c>
      <c r="AB35" s="73">
        <f t="array" ref="AB35">SUM(($I$22:$K$372)*($B$22:$B$372=$Z35))/1000000</f>
        <v>59444.983415000002</v>
      </c>
      <c r="AC35" s="73">
        <f t="array" ref="AC35">SUM(($L$22:$W$372)*($B$22:$B$372=$Z35))/1000000</f>
        <v>188410.14079800001</v>
      </c>
      <c r="AD35" s="73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3">
        <f t="array" ref="AA36">SUM(($G$22:$H$372)*($B$22:$B$372=$Z36))/1000000</f>
        <v>77621.935152000005</v>
      </c>
      <c r="AB36" s="73">
        <f t="array" ref="AB36">SUM(($I$22:$K$372)*($B$22:$B$372=$Z36))/1000000</f>
        <v>60179.275582000002</v>
      </c>
      <c r="AC36" s="73">
        <f t="array" ref="AC36">SUM(($L$22:$W$372)*($B$22:$B$372=$Z36))/1000000</f>
        <v>190675.150781</v>
      </c>
      <c r="AD36" s="73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3">
        <f t="array" ref="AA37">SUM(($G$22:$H$372)*($B$22:$B$372=$Z37))/1000000</f>
        <v>78824.143867000006</v>
      </c>
      <c r="AB37" s="73">
        <f t="array" ref="AB37">SUM(($I$22:$K$372)*($B$22:$B$372=$Z37))/1000000</f>
        <v>60943.302215000003</v>
      </c>
      <c r="AC37" s="73">
        <f t="array" ref="AC37">SUM(($L$22:$W$372)*($B$22:$B$372=$Z37))/1000000</f>
        <v>192523.839997</v>
      </c>
      <c r="AD37" s="73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3">
        <f t="array" ref="AA38">SUM(($G$22:$H$372)*($B$22:$B$372=$Z38))/1000000</f>
        <v>79954.302377</v>
      </c>
      <c r="AB38" s="73">
        <f t="array" ref="AB38">SUM(($I$22:$K$372)*($B$22:$B$372=$Z38))/1000000</f>
        <v>61768.855621000002</v>
      </c>
      <c r="AC38" s="73">
        <f t="array" ref="AC38">SUM(($L$22:$W$372)*($B$22:$B$372=$Z38))/1000000</f>
        <v>194029.03336199999</v>
      </c>
      <c r="AD38" s="73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3">
        <f t="array" ref="AA39">SUM(($G$22:$H$372)*($B$22:$B$372=$Z39))/1000000</f>
        <v>81126.438448999994</v>
      </c>
      <c r="AB39" s="73">
        <f t="array" ref="AB39">SUM(($I$22:$K$372)*($B$22:$B$372=$Z39))/1000000</f>
        <v>62522.914556999996</v>
      </c>
      <c r="AC39" s="73">
        <f t="array" ref="AC39">SUM(($L$22:$W$372)*($B$22:$B$372=$Z39))/1000000</f>
        <v>194919.57967499999</v>
      </c>
      <c r="AD39" s="73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3">
        <f t="array" ref="AA40">SUM(($G$22:$H$372)*($B$22:$B$372=$Z40))/1000000</f>
        <v>82515.567903000003</v>
      </c>
      <c r="AB40" s="73">
        <f t="array" ref="AB40">SUM(($I$22:$K$372)*($B$22:$B$372=$Z40))/1000000</f>
        <v>63231.206787000003</v>
      </c>
      <c r="AC40" s="73">
        <f t="array" ref="AC40">SUM(($L$22:$W$372)*($B$22:$B$372=$Z40))/1000000</f>
        <v>195347.25951599999</v>
      </c>
      <c r="AD40" s="73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3">
        <f t="array" ref="AA41">SUM(($G$22:$H$372)*($B$22:$B$372=$Z41))/1000000</f>
        <v>84225.810465999995</v>
      </c>
      <c r="AB41" s="73">
        <f t="array" ref="AB41">SUM(($I$22:$K$372)*($B$22:$B$372=$Z41))/1000000</f>
        <v>64039.527791</v>
      </c>
      <c r="AC41" s="73">
        <f t="array" ref="AC41">SUM(($L$22:$W$372)*($B$22:$B$372=$Z41))/1000000</f>
        <v>195864.895124</v>
      </c>
      <c r="AD41" s="73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3">
        <f t="array" ref="AA42">SUM(($G$22:$H$372)*($B$22:$B$372=$Z42))/1000000</f>
        <v>86247.875383999999</v>
      </c>
      <c r="AB42" s="73">
        <f t="array" ref="AB42">SUM(($I$22:$K$372)*($B$22:$B$372=$Z42))/1000000</f>
        <v>65124.282284000001</v>
      </c>
      <c r="AC42" s="73">
        <f t="array" ref="AC42">SUM(($L$22:$W$372)*($B$22:$B$372=$Z42))/1000000</f>
        <v>196870.930903</v>
      </c>
      <c r="AD42" s="73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3">
        <f t="array" ref="AA43">SUM(($G$22:$H$372)*($B$22:$B$372=$Z43))/1000000</f>
        <v>88082.187835999997</v>
      </c>
      <c r="AB43" s="73">
        <f t="array" ref="AB43">SUM(($I$22:$K$372)*($B$22:$B$372=$Z43))/1000000</f>
        <v>66076.330558000001</v>
      </c>
      <c r="AC43" s="73">
        <f t="array" ref="AC43">SUM(($L$22:$W$372)*($B$22:$B$372=$Z43))/1000000</f>
        <v>197467.476639</v>
      </c>
      <c r="AD43" s="73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3">
        <f t="array" ref="AA44">SUM(($G$22:$H$372)*($B$22:$B$372=$Z44))/1000000</f>
        <v>89903.375495</v>
      </c>
      <c r="AB44" s="73">
        <f t="array" ref="AB44">SUM(($I$22:$K$372)*($B$22:$B$372=$Z44))/1000000</f>
        <v>67006.771336000005</v>
      </c>
      <c r="AC44" s="73">
        <f t="array" ref="AC44">SUM(($L$22:$W$372)*($B$22:$B$372=$Z44))/1000000</f>
        <v>197962.586129</v>
      </c>
      <c r="AD44" s="73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3">
        <f t="array" ref="AA45">SUM(($G$22:$H$372)*($B$22:$B$372=$Z45))/1000000</f>
        <v>91787.951690000002</v>
      </c>
      <c r="AB45" s="73">
        <f t="array" ref="AB45">SUM(($I$22:$K$372)*($B$22:$B$372=$Z45))/1000000</f>
        <v>67997.275097000005</v>
      </c>
      <c r="AC45" s="73">
        <f t="array" ref="AC45">SUM(($L$22:$W$372)*($B$22:$B$372=$Z45))/1000000</f>
        <v>198582.446746</v>
      </c>
      <c r="AD45" s="73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3">
        <f t="array" ref="AA46">SUM(($G$22:$H$372)*($B$22:$B$372=$Z46))/1000000</f>
        <v>93531.581019999998</v>
      </c>
      <c r="AB46" s="73">
        <f t="array" ref="AB46">SUM(($I$22:$K$372)*($B$22:$B$372=$Z46))/1000000</f>
        <v>68894.705545000004</v>
      </c>
      <c r="AC46" s="73">
        <f t="array" ref="AC46">SUM(($L$22:$W$372)*($B$22:$B$372=$Z46))/1000000</f>
        <v>198894.29607499999</v>
      </c>
      <c r="AD46" s="73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3">
        <f t="array" ref="AA47">SUM(($G$22:$H$372)*($B$22:$B$372=$Z47))/1000000</f>
        <v>95407.949582000001</v>
      </c>
      <c r="AB47" s="73">
        <f t="array" ref="AB47">SUM(($I$22:$K$372)*($B$22:$B$372=$Z47))/1000000</f>
        <v>69940.541322000005</v>
      </c>
      <c r="AC47" s="73">
        <f t="array" ref="AC47">SUM(($L$22:$W$372)*($B$22:$B$372=$Z47))/1000000</f>
        <v>199522.87597200001</v>
      </c>
      <c r="AD47" s="73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3">
        <f t="array" ref="AA48">SUM(($G$22:$H$372)*($B$22:$B$372=$Z48))/1000000</f>
        <v>97274.880076999994</v>
      </c>
      <c r="AB48" s="73">
        <f t="array" ref="AB48">SUM(($I$22:$K$372)*($B$22:$B$372=$Z48))/1000000</f>
        <v>70943.414059000002</v>
      </c>
      <c r="AC48" s="73">
        <f t="array" ref="AC48">SUM(($L$22:$W$372)*($B$22:$B$372=$Z48))/1000000</f>
        <v>200192.55317</v>
      </c>
      <c r="AD48" s="73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3">
        <f t="array" ref="AA49">SUM(($G$22:$H$372)*($B$22:$B$372=$Z49))/1000000</f>
        <v>99140.713889000006</v>
      </c>
      <c r="AB49" s="73">
        <f t="array" ref="AB49">SUM(($I$22:$K$372)*($B$22:$B$372=$Z49))/1000000</f>
        <v>72006.495349000004</v>
      </c>
      <c r="AC49" s="73">
        <f t="array" ref="AC49">SUM(($L$22:$W$372)*($B$22:$B$372=$Z49))/1000000</f>
        <v>200739.43635500001</v>
      </c>
      <c r="AD49" s="73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3">
        <f t="array" ref="AA50">SUM(($G$22:$H$372)*($B$22:$B$372=$Z50))/1000000</f>
        <v>101139.003489</v>
      </c>
      <c r="AB50" s="73">
        <f t="array" ref="AB50">SUM(($I$22:$K$372)*($B$22:$B$372=$Z50))/1000000</f>
        <v>73123.155322000006</v>
      </c>
      <c r="AC50" s="73">
        <f t="array" ref="AC50">SUM(($L$22:$W$372)*($B$22:$B$372=$Z50))/1000000</f>
        <v>201400.78161800001</v>
      </c>
      <c r="AD50" s="73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3">
        <f t="array" ref="AA51">SUM(($G$22:$H$372)*($B$22:$B$372=$Z51))/1000000</f>
        <v>103182.906147</v>
      </c>
      <c r="AB51" s="73">
        <f t="array" ref="AB51">SUM(($I$22:$K$372)*($B$22:$B$372=$Z51))/1000000</f>
        <v>74263.218131999995</v>
      </c>
      <c r="AC51" s="73">
        <f t="array" ref="AC51">SUM(($L$22:$W$372)*($B$22:$B$372=$Z51))/1000000</f>
        <v>202038.91327700001</v>
      </c>
      <c r="AD51" s="73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3">
        <f t="array" ref="AA52">SUM(($G$22:$H$372)*($B$22:$B$372=$Z52))/1000000</f>
        <v>105260.42458599999</v>
      </c>
      <c r="AB52" s="73">
        <f t="array" ref="AB52">SUM(($I$22:$K$372)*($B$22:$B$372=$Z52))/1000000</f>
        <v>75433.603170999995</v>
      </c>
      <c r="AC52" s="73">
        <f t="array" ref="AC52">SUM(($L$22:$W$372)*($B$22:$B$372=$Z52))/1000000</f>
        <v>202798.471594</v>
      </c>
      <c r="AD52" s="73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3">
        <f t="array" ref="AA53">SUM(($G$22:$H$372)*($B$22:$B$372=$Z53))/1000000</f>
        <v>107264.271525</v>
      </c>
      <c r="AB53" s="73">
        <f t="array" ref="AB53">SUM(($I$22:$K$372)*($B$22:$B$372=$Z53))/1000000</f>
        <v>76631.229517</v>
      </c>
      <c r="AC53" s="73">
        <f t="array" ref="AC53">SUM(($L$22:$W$372)*($B$22:$B$372=$Z53))/1000000</f>
        <v>203467.543986</v>
      </c>
      <c r="AD53" s="73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3">
        <f t="array" ref="AA54">SUM(($G$22:$H$372)*($B$22:$B$372=$Z54))/1000000</f>
        <v>109199.497978</v>
      </c>
      <c r="AB54" s="73">
        <f t="array" ref="AB54">SUM(($I$22:$K$372)*($B$22:$B$372=$Z54))/1000000</f>
        <v>77792.504027000003</v>
      </c>
      <c r="AC54" s="73">
        <f t="array" ref="AC54">SUM(($L$22:$W$372)*($B$22:$B$372=$Z54))/1000000</f>
        <v>203931.536631</v>
      </c>
      <c r="AD54" s="73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3">
        <f t="array" ref="AA55">SUM(($G$22:$H$372)*($B$22:$B$372=$Z55))/1000000</f>
        <v>111173.512067</v>
      </c>
      <c r="AB55" s="73">
        <f t="array" ref="AB55">SUM(($I$22:$K$372)*($B$22:$B$372=$Z55))/1000000</f>
        <v>78834.679315000001</v>
      </c>
      <c r="AC55" s="73">
        <f t="array" ref="AC55">SUM(($L$22:$W$372)*($B$22:$B$372=$Z55))/1000000</f>
        <v>204053.06837299999</v>
      </c>
      <c r="AD55" s="73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3">
        <f t="array" ref="AA56">SUM(($G$22:$H$372)*($B$22:$B$372=$Z56))/1000000</f>
        <v>113428.118479</v>
      </c>
      <c r="AB56" s="73">
        <f t="array" ref="AB56">SUM(($I$22:$K$372)*($B$22:$B$372=$Z56))/1000000</f>
        <v>79911.228703000001</v>
      </c>
      <c r="AC56" s="73">
        <f t="array" ref="AC56">SUM(($L$22:$W$372)*($B$22:$B$372=$Z56))/1000000</f>
        <v>204195.66310599999</v>
      </c>
      <c r="AD56" s="73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3">
        <f t="array" ref="AA57">SUM(($G$22:$H$372)*($B$22:$B$372=$Z57))/1000000</f>
        <v>115822.941164</v>
      </c>
      <c r="AB57" s="73">
        <f t="array" ref="AB57">SUM(($I$22:$K$372)*($B$22:$B$372=$Z57))/1000000</f>
        <v>81033.695051999995</v>
      </c>
      <c r="AC57" s="73">
        <f t="array" ref="AC57">SUM(($L$22:$W$372)*($B$22:$B$372=$Z57))/1000000</f>
        <v>204349.73841300001</v>
      </c>
      <c r="AD57" s="73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3">
        <f t="array" ref="AA58">SUM(($G$22:$H$372)*($B$22:$B$372=$Z58))/1000000</f>
        <v>118129.175965</v>
      </c>
      <c r="AB58" s="73">
        <f t="array" ref="AB58">SUM(($I$22:$K$372)*($B$22:$B$372=$Z58))/1000000</f>
        <v>82127.805974000003</v>
      </c>
      <c r="AC58" s="73">
        <f t="array" ref="AC58">SUM(($L$22:$W$372)*($B$22:$B$372=$Z58))/1000000</f>
        <v>204380.36221399999</v>
      </c>
      <c r="AD58" s="73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3">
        <f t="array" ref="AA59">SUM(($G$22:$H$372)*($B$22:$B$372=$Z59))/1000000</f>
        <v>120538.638987</v>
      </c>
      <c r="AB59" s="73">
        <f t="array" ref="AB59">SUM(($I$22:$K$372)*($B$22:$B$372=$Z59))/1000000</f>
        <v>83279.448753999997</v>
      </c>
      <c r="AC59" s="73">
        <f t="array" ref="AC59">SUM(($L$22:$W$372)*($B$22:$B$372=$Z59))/1000000</f>
        <v>204518.086664</v>
      </c>
      <c r="AD59" s="73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3">
        <f t="array" ref="AA60">SUM(($G$22:$H$372)*($B$22:$B$372=$Z60))/1000000</f>
        <v>123324.758518</v>
      </c>
      <c r="AB60" s="73">
        <f t="array" ref="AB60">SUM(($I$22:$K$372)*($B$22:$B$372=$Z60))/1000000</f>
        <v>84643.598742000002</v>
      </c>
      <c r="AC60" s="73">
        <f t="array" ref="AC60">SUM(($L$22:$W$372)*($B$22:$B$372=$Z60))/1000000</f>
        <v>205175.579501</v>
      </c>
      <c r="AD60" s="73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5665-68F8-45D2-BBB4-928583E63789}">
  <sheetPr>
    <tabColor theme="5"/>
  </sheetPr>
  <dimension ref="A1:AC61"/>
  <sheetViews>
    <sheetView workbookViewId="0"/>
  </sheetViews>
  <sheetFormatPr defaultRowHeight="15" x14ac:dyDescent="0.25"/>
  <cols>
    <col min="1" max="1" width="9.140625" style="118"/>
    <col min="2" max="2" width="20" customWidth="1"/>
  </cols>
  <sheetData>
    <row r="1" spans="1:29" x14ac:dyDescent="0.25">
      <c r="B1" s="2" t="s">
        <v>62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25">
      <c r="A2" s="118" t="str">
        <f>TRIM(B2)</f>
        <v>Alabama</v>
      </c>
      <c r="B2" t="s">
        <v>2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</row>
    <row r="3" spans="1:29" x14ac:dyDescent="0.25">
      <c r="A3" s="118" t="str">
        <f t="shared" ref="A3:A61" si="0">TRIM(B3)</f>
        <v>Alaska</v>
      </c>
      <c r="B3" t="s">
        <v>3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</row>
    <row r="4" spans="1:29" x14ac:dyDescent="0.25">
      <c r="A4" s="118" t="str">
        <f t="shared" si="0"/>
        <v>Arizona</v>
      </c>
      <c r="B4" t="s">
        <v>4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</row>
    <row r="5" spans="1:29" x14ac:dyDescent="0.25">
      <c r="A5" s="118" t="str">
        <f t="shared" si="0"/>
        <v>Arkansas</v>
      </c>
      <c r="B5" t="s">
        <v>5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</row>
    <row r="6" spans="1:29" x14ac:dyDescent="0.25">
      <c r="A6" s="118" t="str">
        <f t="shared" si="0"/>
        <v>California</v>
      </c>
      <c r="B6" t="s">
        <v>6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0.08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0.08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0.08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0.08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0.08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0.08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0.08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0.08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0.08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0.08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0.08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0.08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0.08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0.08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0.08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0.08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0.08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0.08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0.08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0.08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0.08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0.08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0.08</v>
      </c>
    </row>
    <row r="7" spans="1:29" s="47" customFormat="1" x14ac:dyDescent="0.25">
      <c r="A7" s="118" t="str">
        <f t="shared" si="0"/>
        <v>Colorado</v>
      </c>
      <c r="B7" s="47" t="s">
        <v>7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f>IF(AND(INDEX('CA Standards and Followers'!$E$14:$E$73,MATCH($B7,'CA Standards and Followers'!$A$14:$A$73,0))=1,INDEX('CA Standards and Followers'!$H$14:$H$73,MATCH($B7,'CA Standards and Followers'!$A$14:$A$73,0))&lt;=E$1),INDEX('CA Standards and Followers'!$3:$3,MATCH(E$1,'CA Standards and Followers'!$1:$1,0)),IF(AND(INDEX('CA Standards and Followers'!$D$14:$D$73,MATCH($B7,'CA Standards and Followers'!$A$14:$A$73,0))=1,INDEX('CA Standards and Followers'!$G$14:$G$73,MATCH($B7,'CA Standards and Followers'!$A$14:$A$73,0))&lt;=E$1),INDEX('CA Standards and Followers'!$2:$2,MATCH(E$1,'CA Standards and Followers'!$1:$1,0)),0))</f>
        <v>0.08</v>
      </c>
      <c r="F7">
        <f>IF(AND(INDEX('CA Standards and Followers'!$E$14:$E$73,MATCH($B7,'CA Standards and Followers'!$A$14:$A$73,0))=1,INDEX('CA Standards and Followers'!$H$14:$H$73,MATCH($B7,'CA Standards and Followers'!$A$14:$A$73,0))&lt;=F$1),INDEX('CA Standards and Followers'!$3:$3,MATCH(F$1,'CA Standards and Followers'!$1:$1,0)),IF(AND(INDEX('CA Standards and Followers'!$D$14:$D$73,MATCH($B7,'CA Standards and Followers'!$A$14:$A$73,0))=1,INDEX('CA Standards and Followers'!$G$14:$G$73,MATCH($B7,'CA Standards and Followers'!$A$14:$A$73,0))&lt;=F$1),INDEX('CA Standards and Followers'!$2:$2,MATCH(F$1,'CA Standards and Followers'!$1:$1,0)),0))</f>
        <v>0.08</v>
      </c>
      <c r="G7">
        <f>IF(AND(INDEX('CA Standards and Followers'!$E$14:$E$73,MATCH($B7,'CA Standards and Followers'!$A$14:$A$73,0))=1,INDEX('CA Standards and Followers'!$H$14:$H$73,MATCH($B7,'CA Standards and Followers'!$A$14:$A$73,0))&lt;=G$1),INDEX('CA Standards and Followers'!$3:$3,MATCH(G$1,'CA Standards and Followers'!$1:$1,0)),IF(AND(INDEX('CA Standards and Followers'!$D$14:$D$73,MATCH($B7,'CA Standards and Followers'!$A$14:$A$73,0))=1,INDEX('CA Standards and Followers'!$G$14:$G$73,MATCH($B7,'CA Standards and Followers'!$A$14:$A$73,0))&lt;=G$1),INDEX('CA Standards and Followers'!$2:$2,MATCH(G$1,'CA Standards and Followers'!$1:$1,0)),0))</f>
        <v>0.08</v>
      </c>
      <c r="H7">
        <f>IF(AND(INDEX('CA Standards and Followers'!$E$14:$E$73,MATCH($B7,'CA Standards and Followers'!$A$14:$A$73,0))=1,INDEX('CA Standards and Followers'!$H$14:$H$73,MATCH($B7,'CA Standards and Followers'!$A$14:$A$73,0))&lt;=H$1),INDEX('CA Standards and Followers'!$3:$3,MATCH(H$1,'CA Standards and Followers'!$1:$1,0)),IF(AND(INDEX('CA Standards and Followers'!$D$14:$D$73,MATCH($B7,'CA Standards and Followers'!$A$14:$A$73,0))=1,INDEX('CA Standards and Followers'!$G$14:$G$73,MATCH($B7,'CA Standards and Followers'!$A$14:$A$73,0))&lt;=H$1),INDEX('CA Standards and Followers'!$2:$2,MATCH(H$1,'CA Standards and Followers'!$1:$1,0)),0))</f>
        <v>0.08</v>
      </c>
      <c r="I7">
        <f>IF(AND(INDEX('CA Standards and Followers'!$E$14:$E$73,MATCH($B7,'CA Standards and Followers'!$A$14:$A$73,0))=1,INDEX('CA Standards and Followers'!$H$14:$H$73,MATCH($B7,'CA Standards and Followers'!$A$14:$A$73,0))&lt;=I$1),INDEX('CA Standards and Followers'!$3:$3,MATCH(I$1,'CA Standards and Followers'!$1:$1,0)),IF(AND(INDEX('CA Standards and Followers'!$D$14:$D$73,MATCH($B7,'CA Standards and Followers'!$A$14:$A$73,0))=1,INDEX('CA Standards and Followers'!$G$14:$G$73,MATCH($B7,'CA Standards and Followers'!$A$14:$A$73,0))&lt;=I$1),INDEX('CA Standards and Followers'!$2:$2,MATCH(I$1,'CA Standards and Followers'!$1:$1,0)),0))</f>
        <v>0.08</v>
      </c>
      <c r="J7">
        <f>IF(AND(INDEX('CA Standards and Followers'!$E$14:$E$73,MATCH($B7,'CA Standards and Followers'!$A$14:$A$73,0))=1,INDEX('CA Standards and Followers'!$H$14:$H$73,MATCH($B7,'CA Standards and Followers'!$A$14:$A$73,0))&lt;=J$1),INDEX('CA Standards and Followers'!$3:$3,MATCH(J$1,'CA Standards and Followers'!$1:$1,0)),IF(AND(INDEX('CA Standards and Followers'!$D$14:$D$73,MATCH($B7,'CA Standards and Followers'!$A$14:$A$73,0))=1,INDEX('CA Standards and Followers'!$G$14:$G$73,MATCH($B7,'CA Standards and Followers'!$A$14:$A$73,0))&lt;=J$1),INDEX('CA Standards and Followers'!$2:$2,MATCH(J$1,'CA Standards and Followers'!$1:$1,0)),0))</f>
        <v>0.08</v>
      </c>
      <c r="K7">
        <f>IF(AND(INDEX('CA Standards and Followers'!$E$14:$E$73,MATCH($B7,'CA Standards and Followers'!$A$14:$A$73,0))=1,INDEX('CA Standards and Followers'!$H$14:$H$73,MATCH($B7,'CA Standards and Followers'!$A$14:$A$73,0))&lt;=K$1),INDEX('CA Standards and Followers'!$3:$3,MATCH(K$1,'CA Standards and Followers'!$1:$1,0)),IF(AND(INDEX('CA Standards and Followers'!$D$14:$D$73,MATCH($B7,'CA Standards and Followers'!$A$14:$A$73,0))=1,INDEX('CA Standards and Followers'!$G$14:$G$73,MATCH($B7,'CA Standards and Followers'!$A$14:$A$73,0))&lt;=K$1),INDEX('CA Standards and Followers'!$2:$2,MATCH(K$1,'CA Standards and Followers'!$1:$1,0)),0))</f>
        <v>0.08</v>
      </c>
      <c r="L7">
        <f>IF(AND(INDEX('CA Standards and Followers'!$E$14:$E$73,MATCH($B7,'CA Standards and Followers'!$A$14:$A$73,0))=1,INDEX('CA Standards and Followers'!$H$14:$H$73,MATCH($B7,'CA Standards and Followers'!$A$14:$A$73,0))&lt;=L$1),INDEX('CA Standards and Followers'!$3:$3,MATCH(L$1,'CA Standards and Followers'!$1:$1,0)),IF(AND(INDEX('CA Standards and Followers'!$D$14:$D$73,MATCH($B7,'CA Standards and Followers'!$A$14:$A$73,0))=1,INDEX('CA Standards and Followers'!$G$14:$G$73,MATCH($B7,'CA Standards and Followers'!$A$14:$A$73,0))&lt;=L$1),INDEX('CA Standards and Followers'!$2:$2,MATCH(L$1,'CA Standards and Followers'!$1:$1,0)),0))</f>
        <v>0.08</v>
      </c>
      <c r="M7">
        <f>IF(AND(INDEX('CA Standards and Followers'!$E$14:$E$73,MATCH($B7,'CA Standards and Followers'!$A$14:$A$73,0))=1,INDEX('CA Standards and Followers'!$H$14:$H$73,MATCH($B7,'CA Standards and Followers'!$A$14:$A$73,0))&lt;=M$1),INDEX('CA Standards and Followers'!$3:$3,MATCH(M$1,'CA Standards and Followers'!$1:$1,0)),IF(AND(INDEX('CA Standards and Followers'!$D$14:$D$73,MATCH($B7,'CA Standards and Followers'!$A$14:$A$73,0))=1,INDEX('CA Standards and Followers'!$G$14:$G$73,MATCH($B7,'CA Standards and Followers'!$A$14:$A$73,0))&lt;=M$1),INDEX('CA Standards and Followers'!$2:$2,MATCH(M$1,'CA Standards and Followers'!$1:$1,0)),0))</f>
        <v>0.08</v>
      </c>
      <c r="N7">
        <f>IF(AND(INDEX('CA Standards and Followers'!$E$14:$E$73,MATCH($B7,'CA Standards and Followers'!$A$14:$A$73,0))=1,INDEX('CA Standards and Followers'!$H$14:$H$73,MATCH($B7,'CA Standards and Followers'!$A$14:$A$73,0))&lt;=N$1),INDEX('CA Standards and Followers'!$3:$3,MATCH(N$1,'CA Standards and Followers'!$1:$1,0)),IF(AND(INDEX('CA Standards and Followers'!$D$14:$D$73,MATCH($B7,'CA Standards and Followers'!$A$14:$A$73,0))=1,INDEX('CA Standards and Followers'!$G$14:$G$73,MATCH($B7,'CA Standards and Followers'!$A$14:$A$73,0))&lt;=N$1),INDEX('CA Standards and Followers'!$2:$2,MATCH(N$1,'CA Standards and Followers'!$1:$1,0)),0))</f>
        <v>0.08</v>
      </c>
      <c r="O7">
        <f>IF(AND(INDEX('CA Standards and Followers'!$E$14:$E$73,MATCH($B7,'CA Standards and Followers'!$A$14:$A$73,0))=1,INDEX('CA Standards and Followers'!$H$14:$H$73,MATCH($B7,'CA Standards and Followers'!$A$14:$A$73,0))&lt;=O$1),INDEX('CA Standards and Followers'!$3:$3,MATCH(O$1,'CA Standards and Followers'!$1:$1,0)),IF(AND(INDEX('CA Standards and Followers'!$D$14:$D$73,MATCH($B7,'CA Standards and Followers'!$A$14:$A$73,0))=1,INDEX('CA Standards and Followers'!$G$14:$G$73,MATCH($B7,'CA Standards and Followers'!$A$14:$A$73,0))&lt;=O$1),INDEX('CA Standards and Followers'!$2:$2,MATCH(O$1,'CA Standards and Followers'!$1:$1,0)),0))</f>
        <v>0.08</v>
      </c>
      <c r="P7">
        <f>IF(AND(INDEX('CA Standards and Followers'!$E$14:$E$73,MATCH($B7,'CA Standards and Followers'!$A$14:$A$73,0))=1,INDEX('CA Standards and Followers'!$H$14:$H$73,MATCH($B7,'CA Standards and Followers'!$A$14:$A$73,0))&lt;=P$1),INDEX('CA Standards and Followers'!$3:$3,MATCH(P$1,'CA Standards and Followers'!$1:$1,0)),IF(AND(INDEX('CA Standards and Followers'!$D$14:$D$73,MATCH($B7,'CA Standards and Followers'!$A$14:$A$73,0))=1,INDEX('CA Standards and Followers'!$G$14:$G$73,MATCH($B7,'CA Standards and Followers'!$A$14:$A$73,0))&lt;=P$1),INDEX('CA Standards and Followers'!$2:$2,MATCH(P$1,'CA Standards and Followers'!$1:$1,0)),0))</f>
        <v>0.08</v>
      </c>
      <c r="Q7">
        <f>IF(AND(INDEX('CA Standards and Followers'!$E$14:$E$73,MATCH($B7,'CA Standards and Followers'!$A$14:$A$73,0))=1,INDEX('CA Standards and Followers'!$H$14:$H$73,MATCH($B7,'CA Standards and Followers'!$A$14:$A$73,0))&lt;=Q$1),INDEX('CA Standards and Followers'!$3:$3,MATCH(Q$1,'CA Standards and Followers'!$1:$1,0)),IF(AND(INDEX('CA Standards and Followers'!$D$14:$D$73,MATCH($B7,'CA Standards and Followers'!$A$14:$A$73,0))=1,INDEX('CA Standards and Followers'!$G$14:$G$73,MATCH($B7,'CA Standards and Followers'!$A$14:$A$73,0))&lt;=Q$1),INDEX('CA Standards and Followers'!$2:$2,MATCH(Q$1,'CA Standards and Followers'!$1:$1,0)),0))</f>
        <v>0.08</v>
      </c>
      <c r="R7">
        <f>IF(AND(INDEX('CA Standards and Followers'!$E$14:$E$73,MATCH($B7,'CA Standards and Followers'!$A$14:$A$73,0))=1,INDEX('CA Standards and Followers'!$H$14:$H$73,MATCH($B7,'CA Standards and Followers'!$A$14:$A$73,0))&lt;=R$1),INDEX('CA Standards and Followers'!$3:$3,MATCH(R$1,'CA Standards and Followers'!$1:$1,0)),IF(AND(INDEX('CA Standards and Followers'!$D$14:$D$73,MATCH($B7,'CA Standards and Followers'!$A$14:$A$73,0))=1,INDEX('CA Standards and Followers'!$G$14:$G$73,MATCH($B7,'CA Standards and Followers'!$A$14:$A$73,0))&lt;=R$1),INDEX('CA Standards and Followers'!$2:$2,MATCH(R$1,'CA Standards and Followers'!$1:$1,0)),0))</f>
        <v>0.08</v>
      </c>
      <c r="S7">
        <f>IF(AND(INDEX('CA Standards and Followers'!$E$14:$E$73,MATCH($B7,'CA Standards and Followers'!$A$14:$A$73,0))=1,INDEX('CA Standards and Followers'!$H$14:$H$73,MATCH($B7,'CA Standards and Followers'!$A$14:$A$73,0))&lt;=S$1),INDEX('CA Standards and Followers'!$3:$3,MATCH(S$1,'CA Standards and Followers'!$1:$1,0)),IF(AND(INDEX('CA Standards and Followers'!$D$14:$D$73,MATCH($B7,'CA Standards and Followers'!$A$14:$A$73,0))=1,INDEX('CA Standards and Followers'!$G$14:$G$73,MATCH($B7,'CA Standards and Followers'!$A$14:$A$73,0))&lt;=S$1),INDEX('CA Standards and Followers'!$2:$2,MATCH(S$1,'CA Standards and Followers'!$1:$1,0)),0))</f>
        <v>0.08</v>
      </c>
      <c r="T7">
        <f>IF(AND(INDEX('CA Standards and Followers'!$E$14:$E$73,MATCH($B7,'CA Standards and Followers'!$A$14:$A$73,0))=1,INDEX('CA Standards and Followers'!$H$14:$H$73,MATCH($B7,'CA Standards and Followers'!$A$14:$A$73,0))&lt;=T$1),INDEX('CA Standards and Followers'!$3:$3,MATCH(T$1,'CA Standards and Followers'!$1:$1,0)),IF(AND(INDEX('CA Standards and Followers'!$D$14:$D$73,MATCH($B7,'CA Standards and Followers'!$A$14:$A$73,0))=1,INDEX('CA Standards and Followers'!$G$14:$G$73,MATCH($B7,'CA Standards and Followers'!$A$14:$A$73,0))&lt;=T$1),INDEX('CA Standards and Followers'!$2:$2,MATCH(T$1,'CA Standards and Followers'!$1:$1,0)),0))</f>
        <v>0.08</v>
      </c>
      <c r="U7">
        <f>IF(AND(INDEX('CA Standards and Followers'!$E$14:$E$73,MATCH($B7,'CA Standards and Followers'!$A$14:$A$73,0))=1,INDEX('CA Standards and Followers'!$H$14:$H$73,MATCH($B7,'CA Standards and Followers'!$A$14:$A$73,0))&lt;=U$1),INDEX('CA Standards and Followers'!$3:$3,MATCH(U$1,'CA Standards and Followers'!$1:$1,0)),IF(AND(INDEX('CA Standards and Followers'!$D$14:$D$73,MATCH($B7,'CA Standards and Followers'!$A$14:$A$73,0))=1,INDEX('CA Standards and Followers'!$G$14:$G$73,MATCH($B7,'CA Standards and Followers'!$A$14:$A$73,0))&lt;=U$1),INDEX('CA Standards and Followers'!$2:$2,MATCH(U$1,'CA Standards and Followers'!$1:$1,0)),0))</f>
        <v>0.08</v>
      </c>
      <c r="V7">
        <f>IF(AND(INDEX('CA Standards and Followers'!$E$14:$E$73,MATCH($B7,'CA Standards and Followers'!$A$14:$A$73,0))=1,INDEX('CA Standards and Followers'!$H$14:$H$73,MATCH($B7,'CA Standards and Followers'!$A$14:$A$73,0))&lt;=V$1),INDEX('CA Standards and Followers'!$3:$3,MATCH(V$1,'CA Standards and Followers'!$1:$1,0)),IF(AND(INDEX('CA Standards and Followers'!$D$14:$D$73,MATCH($B7,'CA Standards and Followers'!$A$14:$A$73,0))=1,INDEX('CA Standards and Followers'!$G$14:$G$73,MATCH($B7,'CA Standards and Followers'!$A$14:$A$73,0))&lt;=V$1),INDEX('CA Standards and Followers'!$2:$2,MATCH(V$1,'CA Standards and Followers'!$1:$1,0)),0))</f>
        <v>0.08</v>
      </c>
      <c r="W7">
        <f>IF(AND(INDEX('CA Standards and Followers'!$E$14:$E$73,MATCH($B7,'CA Standards and Followers'!$A$14:$A$73,0))=1,INDEX('CA Standards and Followers'!$H$14:$H$73,MATCH($B7,'CA Standards and Followers'!$A$14:$A$73,0))&lt;=W$1),INDEX('CA Standards and Followers'!$3:$3,MATCH(W$1,'CA Standards and Followers'!$1:$1,0)),IF(AND(INDEX('CA Standards and Followers'!$D$14:$D$73,MATCH($B7,'CA Standards and Followers'!$A$14:$A$73,0))=1,INDEX('CA Standards and Followers'!$G$14:$G$73,MATCH($B7,'CA Standards and Followers'!$A$14:$A$73,0))&lt;=W$1),INDEX('CA Standards and Followers'!$2:$2,MATCH(W$1,'CA Standards and Followers'!$1:$1,0)),0))</f>
        <v>0.08</v>
      </c>
      <c r="X7">
        <f>IF(AND(INDEX('CA Standards and Followers'!$E$14:$E$73,MATCH($B7,'CA Standards and Followers'!$A$14:$A$73,0))=1,INDEX('CA Standards and Followers'!$H$14:$H$73,MATCH($B7,'CA Standards and Followers'!$A$14:$A$73,0))&lt;=X$1),INDEX('CA Standards and Followers'!$3:$3,MATCH(X$1,'CA Standards and Followers'!$1:$1,0)),IF(AND(INDEX('CA Standards and Followers'!$D$14:$D$73,MATCH($B7,'CA Standards and Followers'!$A$14:$A$73,0))=1,INDEX('CA Standards and Followers'!$G$14:$G$73,MATCH($B7,'CA Standards and Followers'!$A$14:$A$73,0))&lt;=X$1),INDEX('CA Standards and Followers'!$2:$2,MATCH(X$1,'CA Standards and Followers'!$1:$1,0)),0))</f>
        <v>0.08</v>
      </c>
      <c r="Y7">
        <f>IF(AND(INDEX('CA Standards and Followers'!$E$14:$E$73,MATCH($B7,'CA Standards and Followers'!$A$14:$A$73,0))=1,INDEX('CA Standards and Followers'!$H$14:$H$73,MATCH($B7,'CA Standards and Followers'!$A$14:$A$73,0))&lt;=Y$1),INDEX('CA Standards and Followers'!$3:$3,MATCH(Y$1,'CA Standards and Followers'!$1:$1,0)),IF(AND(INDEX('CA Standards and Followers'!$D$14:$D$73,MATCH($B7,'CA Standards and Followers'!$A$14:$A$73,0))=1,INDEX('CA Standards and Followers'!$G$14:$G$73,MATCH($B7,'CA Standards and Followers'!$A$14:$A$73,0))&lt;=Y$1),INDEX('CA Standards and Followers'!$2:$2,MATCH(Y$1,'CA Standards and Followers'!$1:$1,0)),0))</f>
        <v>0.08</v>
      </c>
      <c r="Z7">
        <f>IF(AND(INDEX('CA Standards and Followers'!$E$14:$E$73,MATCH($B7,'CA Standards and Followers'!$A$14:$A$73,0))=1,INDEX('CA Standards and Followers'!$H$14:$H$73,MATCH($B7,'CA Standards and Followers'!$A$14:$A$73,0))&lt;=Z$1),INDEX('CA Standards and Followers'!$3:$3,MATCH(Z$1,'CA Standards and Followers'!$1:$1,0)),IF(AND(INDEX('CA Standards and Followers'!$D$14:$D$73,MATCH($B7,'CA Standards and Followers'!$A$14:$A$73,0))=1,INDEX('CA Standards and Followers'!$G$14:$G$73,MATCH($B7,'CA Standards and Followers'!$A$14:$A$73,0))&lt;=Z$1),INDEX('CA Standards and Followers'!$2:$2,MATCH(Z$1,'CA Standards and Followers'!$1:$1,0)),0))</f>
        <v>0.08</v>
      </c>
      <c r="AA7">
        <f>IF(AND(INDEX('CA Standards and Followers'!$E$14:$E$73,MATCH($B7,'CA Standards and Followers'!$A$14:$A$73,0))=1,INDEX('CA Standards and Followers'!$H$14:$H$73,MATCH($B7,'CA Standards and Followers'!$A$14:$A$73,0))&lt;=AA$1),INDEX('CA Standards and Followers'!$3:$3,MATCH(AA$1,'CA Standards and Followers'!$1:$1,0)),IF(AND(INDEX('CA Standards and Followers'!$D$14:$D$73,MATCH($B7,'CA Standards and Followers'!$A$14:$A$73,0))=1,INDEX('CA Standards and Followers'!$G$14:$G$73,MATCH($B7,'CA Standards and Followers'!$A$14:$A$73,0))&lt;=AA$1),INDEX('CA Standards and Followers'!$2:$2,MATCH(AA$1,'CA Standards and Followers'!$1:$1,0)),0))</f>
        <v>0.08</v>
      </c>
      <c r="AB7">
        <f>IF(AND(INDEX('CA Standards and Followers'!$E$14:$E$73,MATCH($B7,'CA Standards and Followers'!$A$14:$A$73,0))=1,INDEX('CA Standards and Followers'!$H$14:$H$73,MATCH($B7,'CA Standards and Followers'!$A$14:$A$73,0))&lt;=AB$1),INDEX('CA Standards and Followers'!$3:$3,MATCH(AB$1,'CA Standards and Followers'!$1:$1,0)),IF(AND(INDEX('CA Standards and Followers'!$D$14:$D$73,MATCH($B7,'CA Standards and Followers'!$A$14:$A$73,0))=1,INDEX('CA Standards and Followers'!$G$14:$G$73,MATCH($B7,'CA Standards and Followers'!$A$14:$A$73,0))&lt;=AB$1),INDEX('CA Standards and Followers'!$2:$2,MATCH(AB$1,'CA Standards and Followers'!$1:$1,0)),0))</f>
        <v>0.08</v>
      </c>
      <c r="AC7">
        <f>IF(AND(INDEX('CA Standards and Followers'!$E$14:$E$73,MATCH($B7,'CA Standards and Followers'!$A$14:$A$73,0))=1,INDEX('CA Standards and Followers'!$H$14:$H$73,MATCH($B7,'CA Standards and Followers'!$A$14:$A$73,0))&lt;=AC$1),INDEX('CA Standards and Followers'!$3:$3,MATCH(AC$1,'CA Standards and Followers'!$1:$1,0)),IF(AND(INDEX('CA Standards and Followers'!$D$14:$D$73,MATCH($B7,'CA Standards and Followers'!$A$14:$A$73,0))=1,INDEX('CA Standards and Followers'!$G$14:$G$73,MATCH($B7,'CA Standards and Followers'!$A$14:$A$73,0))&lt;=AC$1),INDEX('CA Standards and Followers'!$2:$2,MATCH(AC$1,'CA Standards and Followers'!$1:$1,0)),0))</f>
        <v>0.08</v>
      </c>
    </row>
    <row r="8" spans="1:29" x14ac:dyDescent="0.25">
      <c r="A8" s="118" t="str">
        <f t="shared" si="0"/>
        <v>Connecticut</v>
      </c>
      <c r="B8" t="s">
        <v>8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0.08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0.08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0.08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0.08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0.08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0.08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0.08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0.08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0.08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0.08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0.08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0.08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0.08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0.08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0.08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0.08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0.08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0.08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0.08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0.08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0.08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0.08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0.08</v>
      </c>
    </row>
    <row r="9" spans="1:29" s="47" customFormat="1" x14ac:dyDescent="0.25">
      <c r="A9" s="118" t="str">
        <f t="shared" si="0"/>
        <v>Delaware</v>
      </c>
      <c r="B9" s="47" t="s">
        <v>9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</v>
      </c>
      <c r="E9">
        <f>IF(AND(INDEX('CA Standards and Followers'!$E$14:$E$73,MATCH($B9,'CA Standards and Followers'!$A$14:$A$73,0))=1,INDEX('CA Standards and Followers'!$H$14:$H$73,MATCH($B9,'CA Standards and Followers'!$A$14:$A$73,0))&lt;=E$1),INDEX('CA Standards and Followers'!$3:$3,MATCH(E$1,'CA Standards and Followers'!$1:$1,0)),IF(AND(INDEX('CA Standards and Followers'!$D$14:$D$73,MATCH($B9,'CA Standards and Followers'!$A$14:$A$73,0))=1,INDEX('CA Standards and Followers'!$G$14:$G$73,MATCH($B9,'CA Standards and Followers'!$A$14:$A$73,0))&lt;=E$1),INDEX('CA Standards and Followers'!$2:$2,MATCH(E$1,'CA Standards and Followers'!$1:$1,0)),0))</f>
        <v>0</v>
      </c>
      <c r="F9">
        <f>IF(AND(INDEX('CA Standards and Followers'!$E$14:$E$73,MATCH($B9,'CA Standards and Followers'!$A$14:$A$73,0))=1,INDEX('CA Standards and Followers'!$H$14:$H$73,MATCH($B9,'CA Standards and Followers'!$A$14:$A$73,0))&lt;=F$1),INDEX('CA Standards and Followers'!$3:$3,MATCH(F$1,'CA Standards and Followers'!$1:$1,0)),IF(AND(INDEX('CA Standards and Followers'!$D$14:$D$73,MATCH($B9,'CA Standards and Followers'!$A$14:$A$73,0))=1,INDEX('CA Standards and Followers'!$G$14:$G$73,MATCH($B9,'CA Standards and Followers'!$A$14:$A$73,0))&lt;=F$1),INDEX('CA Standards and Followers'!$2:$2,MATCH(F$1,'CA Standards and Followers'!$1:$1,0)),0))</f>
        <v>0</v>
      </c>
      <c r="G9">
        <f>IF(AND(INDEX('CA Standards and Followers'!$E$14:$E$73,MATCH($B9,'CA Standards and Followers'!$A$14:$A$73,0))=1,INDEX('CA Standards and Followers'!$H$14:$H$73,MATCH($B9,'CA Standards and Followers'!$A$14:$A$73,0))&lt;=G$1),INDEX('CA Standards and Followers'!$3:$3,MATCH(G$1,'CA Standards and Followers'!$1:$1,0)),IF(AND(INDEX('CA Standards and Followers'!$D$14:$D$73,MATCH($B9,'CA Standards and Followers'!$A$14:$A$73,0))=1,INDEX('CA Standards and Followers'!$G$14:$G$73,MATCH($B9,'CA Standards and Followers'!$A$14:$A$73,0))&lt;=G$1),INDEX('CA Standards and Followers'!$2:$2,MATCH(G$1,'CA Standards and Followers'!$1:$1,0)),0))</f>
        <v>0</v>
      </c>
      <c r="H9">
        <f>IF(AND(INDEX('CA Standards and Followers'!$E$14:$E$73,MATCH($B9,'CA Standards and Followers'!$A$14:$A$73,0))=1,INDEX('CA Standards and Followers'!$H$14:$H$73,MATCH($B9,'CA Standards and Followers'!$A$14:$A$73,0))&lt;=H$1),INDEX('CA Standards and Followers'!$3:$3,MATCH(H$1,'CA Standards and Followers'!$1:$1,0)),IF(AND(INDEX('CA Standards and Followers'!$D$14:$D$73,MATCH($B9,'CA Standards and Followers'!$A$14:$A$73,0))=1,INDEX('CA Standards and Followers'!$G$14:$G$73,MATCH($B9,'CA Standards and Followers'!$A$14:$A$73,0))&lt;=H$1),INDEX('CA Standards and Followers'!$2:$2,MATCH(H$1,'CA Standards and Followers'!$1:$1,0)),0))</f>
        <v>0</v>
      </c>
      <c r="I9">
        <f>IF(AND(INDEX('CA Standards and Followers'!$E$14:$E$73,MATCH($B9,'CA Standards and Followers'!$A$14:$A$73,0))=1,INDEX('CA Standards and Followers'!$H$14:$H$73,MATCH($B9,'CA Standards and Followers'!$A$14:$A$73,0))&lt;=I$1),INDEX('CA Standards and Followers'!$3:$3,MATCH(I$1,'CA Standards and Followers'!$1:$1,0)),IF(AND(INDEX('CA Standards and Followers'!$D$14:$D$73,MATCH($B9,'CA Standards and Followers'!$A$14:$A$73,0))=1,INDEX('CA Standards and Followers'!$G$14:$G$73,MATCH($B9,'CA Standards and Followers'!$A$14:$A$73,0))&lt;=I$1),INDEX('CA Standards and Followers'!$2:$2,MATCH(I$1,'CA Standards and Followers'!$1:$1,0)),0))</f>
        <v>0</v>
      </c>
      <c r="J9">
        <f>IF(AND(INDEX('CA Standards and Followers'!$E$14:$E$73,MATCH($B9,'CA Standards and Followers'!$A$14:$A$73,0))=1,INDEX('CA Standards and Followers'!$H$14:$H$73,MATCH($B9,'CA Standards and Followers'!$A$14:$A$73,0))&lt;=J$1),INDEX('CA Standards and Followers'!$3:$3,MATCH(J$1,'CA Standards and Followers'!$1:$1,0)),IF(AND(INDEX('CA Standards and Followers'!$D$14:$D$73,MATCH($B9,'CA Standards and Followers'!$A$14:$A$73,0))=1,INDEX('CA Standards and Followers'!$G$14:$G$73,MATCH($B9,'CA Standards and Followers'!$A$14:$A$73,0))&lt;=J$1),INDEX('CA Standards and Followers'!$2:$2,MATCH(J$1,'CA Standards and Followers'!$1:$1,0)),0))</f>
        <v>0</v>
      </c>
      <c r="K9">
        <f>IF(AND(INDEX('CA Standards and Followers'!$E$14:$E$73,MATCH($B9,'CA Standards and Followers'!$A$14:$A$73,0))=1,INDEX('CA Standards and Followers'!$H$14:$H$73,MATCH($B9,'CA Standards and Followers'!$A$14:$A$73,0))&lt;=K$1),INDEX('CA Standards and Followers'!$3:$3,MATCH(K$1,'CA Standards and Followers'!$1:$1,0)),IF(AND(INDEX('CA Standards and Followers'!$D$14:$D$73,MATCH($B9,'CA Standards and Followers'!$A$14:$A$73,0))=1,INDEX('CA Standards and Followers'!$G$14:$G$73,MATCH($B9,'CA Standards and Followers'!$A$14:$A$73,0))&lt;=K$1),INDEX('CA Standards and Followers'!$2:$2,MATCH(K$1,'CA Standards and Followers'!$1:$1,0)),0))</f>
        <v>0</v>
      </c>
      <c r="L9">
        <f>IF(AND(INDEX('CA Standards and Followers'!$E$14:$E$73,MATCH($B9,'CA Standards and Followers'!$A$14:$A$73,0))=1,INDEX('CA Standards and Followers'!$H$14:$H$73,MATCH($B9,'CA Standards and Followers'!$A$14:$A$73,0))&lt;=L$1),INDEX('CA Standards and Followers'!$3:$3,MATCH(L$1,'CA Standards and Followers'!$1:$1,0)),IF(AND(INDEX('CA Standards and Followers'!$D$14:$D$73,MATCH($B9,'CA Standards and Followers'!$A$14:$A$73,0))=1,INDEX('CA Standards and Followers'!$G$14:$G$73,MATCH($B9,'CA Standards and Followers'!$A$14:$A$73,0))&lt;=L$1),INDEX('CA Standards and Followers'!$2:$2,MATCH(L$1,'CA Standards and Followers'!$1:$1,0)),0))</f>
        <v>0</v>
      </c>
      <c r="M9">
        <f>IF(AND(INDEX('CA Standards and Followers'!$E$14:$E$73,MATCH($B9,'CA Standards and Followers'!$A$14:$A$73,0))=1,INDEX('CA Standards and Followers'!$H$14:$H$73,MATCH($B9,'CA Standards and Followers'!$A$14:$A$73,0))&lt;=M$1),INDEX('CA Standards and Followers'!$3:$3,MATCH(M$1,'CA Standards and Followers'!$1:$1,0)),IF(AND(INDEX('CA Standards and Followers'!$D$14:$D$73,MATCH($B9,'CA Standards and Followers'!$A$14:$A$73,0))=1,INDEX('CA Standards and Followers'!$G$14:$G$73,MATCH($B9,'CA Standards and Followers'!$A$14:$A$73,0))&lt;=M$1),INDEX('CA Standards and Followers'!$2:$2,MATCH(M$1,'CA Standards and Followers'!$1:$1,0)),0))</f>
        <v>0</v>
      </c>
      <c r="N9">
        <f>IF(AND(INDEX('CA Standards and Followers'!$E$14:$E$73,MATCH($B9,'CA Standards and Followers'!$A$14:$A$73,0))=1,INDEX('CA Standards and Followers'!$H$14:$H$73,MATCH($B9,'CA Standards and Followers'!$A$14:$A$73,0))&lt;=N$1),INDEX('CA Standards and Followers'!$3:$3,MATCH(N$1,'CA Standards and Followers'!$1:$1,0)),IF(AND(INDEX('CA Standards and Followers'!$D$14:$D$73,MATCH($B9,'CA Standards and Followers'!$A$14:$A$73,0))=1,INDEX('CA Standards and Followers'!$G$14:$G$73,MATCH($B9,'CA Standards and Followers'!$A$14:$A$73,0))&lt;=N$1),INDEX('CA Standards and Followers'!$2:$2,MATCH(N$1,'CA Standards and Followers'!$1:$1,0)),0))</f>
        <v>0</v>
      </c>
      <c r="O9">
        <f>IF(AND(INDEX('CA Standards and Followers'!$E$14:$E$73,MATCH($B9,'CA Standards and Followers'!$A$14:$A$73,0))=1,INDEX('CA Standards and Followers'!$H$14:$H$73,MATCH($B9,'CA Standards and Followers'!$A$14:$A$73,0))&lt;=O$1),INDEX('CA Standards and Followers'!$3:$3,MATCH(O$1,'CA Standards and Followers'!$1:$1,0)),IF(AND(INDEX('CA Standards and Followers'!$D$14:$D$73,MATCH($B9,'CA Standards and Followers'!$A$14:$A$73,0))=1,INDEX('CA Standards and Followers'!$G$14:$G$73,MATCH($B9,'CA Standards and Followers'!$A$14:$A$73,0))&lt;=O$1),INDEX('CA Standards and Followers'!$2:$2,MATCH(O$1,'CA Standards and Followers'!$1:$1,0)),0))</f>
        <v>0</v>
      </c>
      <c r="P9">
        <f>IF(AND(INDEX('CA Standards and Followers'!$E$14:$E$73,MATCH($B9,'CA Standards and Followers'!$A$14:$A$73,0))=1,INDEX('CA Standards and Followers'!$H$14:$H$73,MATCH($B9,'CA Standards and Followers'!$A$14:$A$73,0))&lt;=P$1),INDEX('CA Standards and Followers'!$3:$3,MATCH(P$1,'CA Standards and Followers'!$1:$1,0)),IF(AND(INDEX('CA Standards and Followers'!$D$14:$D$73,MATCH($B9,'CA Standards and Followers'!$A$14:$A$73,0))=1,INDEX('CA Standards and Followers'!$G$14:$G$73,MATCH($B9,'CA Standards and Followers'!$A$14:$A$73,0))&lt;=P$1),INDEX('CA Standards and Followers'!$2:$2,MATCH(P$1,'CA Standards and Followers'!$1:$1,0)),0))</f>
        <v>0</v>
      </c>
      <c r="Q9">
        <f>IF(AND(INDEX('CA Standards and Followers'!$E$14:$E$73,MATCH($B9,'CA Standards and Followers'!$A$14:$A$73,0))=1,INDEX('CA Standards and Followers'!$H$14:$H$73,MATCH($B9,'CA Standards and Followers'!$A$14:$A$73,0))&lt;=Q$1),INDEX('CA Standards and Followers'!$3:$3,MATCH(Q$1,'CA Standards and Followers'!$1:$1,0)),IF(AND(INDEX('CA Standards and Followers'!$D$14:$D$73,MATCH($B9,'CA Standards and Followers'!$A$14:$A$73,0))=1,INDEX('CA Standards and Followers'!$G$14:$G$73,MATCH($B9,'CA Standards and Followers'!$A$14:$A$73,0))&lt;=Q$1),INDEX('CA Standards and Followers'!$2:$2,MATCH(Q$1,'CA Standards and Followers'!$1:$1,0)),0))</f>
        <v>0</v>
      </c>
      <c r="R9">
        <f>IF(AND(INDEX('CA Standards and Followers'!$E$14:$E$73,MATCH($B9,'CA Standards and Followers'!$A$14:$A$73,0))=1,INDEX('CA Standards and Followers'!$H$14:$H$73,MATCH($B9,'CA Standards and Followers'!$A$14:$A$73,0))&lt;=R$1),INDEX('CA Standards and Followers'!$3:$3,MATCH(R$1,'CA Standards and Followers'!$1:$1,0)),IF(AND(INDEX('CA Standards and Followers'!$D$14:$D$73,MATCH($B9,'CA Standards and Followers'!$A$14:$A$73,0))=1,INDEX('CA Standards and Followers'!$G$14:$G$73,MATCH($B9,'CA Standards and Followers'!$A$14:$A$73,0))&lt;=R$1),INDEX('CA Standards and Followers'!$2:$2,MATCH(R$1,'CA Standards and Followers'!$1:$1,0)),0))</f>
        <v>0</v>
      </c>
      <c r="S9">
        <f>IF(AND(INDEX('CA Standards and Followers'!$E$14:$E$73,MATCH($B9,'CA Standards and Followers'!$A$14:$A$73,0))=1,INDEX('CA Standards and Followers'!$H$14:$H$73,MATCH($B9,'CA Standards and Followers'!$A$14:$A$73,0))&lt;=S$1),INDEX('CA Standards and Followers'!$3:$3,MATCH(S$1,'CA Standards and Followers'!$1:$1,0)),IF(AND(INDEX('CA Standards and Followers'!$D$14:$D$73,MATCH($B9,'CA Standards and Followers'!$A$14:$A$73,0))=1,INDEX('CA Standards and Followers'!$G$14:$G$73,MATCH($B9,'CA Standards and Followers'!$A$14:$A$73,0))&lt;=S$1),INDEX('CA Standards and Followers'!$2:$2,MATCH(S$1,'CA Standards and Followers'!$1:$1,0)),0))</f>
        <v>0</v>
      </c>
      <c r="T9">
        <f>IF(AND(INDEX('CA Standards and Followers'!$E$14:$E$73,MATCH($B9,'CA Standards and Followers'!$A$14:$A$73,0))=1,INDEX('CA Standards and Followers'!$H$14:$H$73,MATCH($B9,'CA Standards and Followers'!$A$14:$A$73,0))&lt;=T$1),INDEX('CA Standards and Followers'!$3:$3,MATCH(T$1,'CA Standards and Followers'!$1:$1,0)),IF(AND(INDEX('CA Standards and Followers'!$D$14:$D$73,MATCH($B9,'CA Standards and Followers'!$A$14:$A$73,0))=1,INDEX('CA Standards and Followers'!$G$14:$G$73,MATCH($B9,'CA Standards and Followers'!$A$14:$A$73,0))&lt;=T$1),INDEX('CA Standards and Followers'!$2:$2,MATCH(T$1,'CA Standards and Followers'!$1:$1,0)),0))</f>
        <v>0</v>
      </c>
      <c r="U9">
        <f>IF(AND(INDEX('CA Standards and Followers'!$E$14:$E$73,MATCH($B9,'CA Standards and Followers'!$A$14:$A$73,0))=1,INDEX('CA Standards and Followers'!$H$14:$H$73,MATCH($B9,'CA Standards and Followers'!$A$14:$A$73,0))&lt;=U$1),INDEX('CA Standards and Followers'!$3:$3,MATCH(U$1,'CA Standards and Followers'!$1:$1,0)),IF(AND(INDEX('CA Standards and Followers'!$D$14:$D$73,MATCH($B9,'CA Standards and Followers'!$A$14:$A$73,0))=1,INDEX('CA Standards and Followers'!$G$14:$G$73,MATCH($B9,'CA Standards and Followers'!$A$14:$A$73,0))&lt;=U$1),INDEX('CA Standards and Followers'!$2:$2,MATCH(U$1,'CA Standards and Followers'!$1:$1,0)),0))</f>
        <v>0</v>
      </c>
      <c r="V9">
        <f>IF(AND(INDEX('CA Standards and Followers'!$E$14:$E$73,MATCH($B9,'CA Standards and Followers'!$A$14:$A$73,0))=1,INDEX('CA Standards and Followers'!$H$14:$H$73,MATCH($B9,'CA Standards and Followers'!$A$14:$A$73,0))&lt;=V$1),INDEX('CA Standards and Followers'!$3:$3,MATCH(V$1,'CA Standards and Followers'!$1:$1,0)),IF(AND(INDEX('CA Standards and Followers'!$D$14:$D$73,MATCH($B9,'CA Standards and Followers'!$A$14:$A$73,0))=1,INDEX('CA Standards and Followers'!$G$14:$G$73,MATCH($B9,'CA Standards and Followers'!$A$14:$A$73,0))&lt;=V$1),INDEX('CA Standards and Followers'!$2:$2,MATCH(V$1,'CA Standards and Followers'!$1:$1,0)),0))</f>
        <v>0</v>
      </c>
      <c r="W9">
        <f>IF(AND(INDEX('CA Standards and Followers'!$E$14:$E$73,MATCH($B9,'CA Standards and Followers'!$A$14:$A$73,0))=1,INDEX('CA Standards and Followers'!$H$14:$H$73,MATCH($B9,'CA Standards and Followers'!$A$14:$A$73,0))&lt;=W$1),INDEX('CA Standards and Followers'!$3:$3,MATCH(W$1,'CA Standards and Followers'!$1:$1,0)),IF(AND(INDEX('CA Standards and Followers'!$D$14:$D$73,MATCH($B9,'CA Standards and Followers'!$A$14:$A$73,0))=1,INDEX('CA Standards and Followers'!$G$14:$G$73,MATCH($B9,'CA Standards and Followers'!$A$14:$A$73,0))&lt;=W$1),INDEX('CA Standards and Followers'!$2:$2,MATCH(W$1,'CA Standards and Followers'!$1:$1,0)),0))</f>
        <v>0</v>
      </c>
      <c r="X9">
        <f>IF(AND(INDEX('CA Standards and Followers'!$E$14:$E$73,MATCH($B9,'CA Standards and Followers'!$A$14:$A$73,0))=1,INDEX('CA Standards and Followers'!$H$14:$H$73,MATCH($B9,'CA Standards and Followers'!$A$14:$A$73,0))&lt;=X$1),INDEX('CA Standards and Followers'!$3:$3,MATCH(X$1,'CA Standards and Followers'!$1:$1,0)),IF(AND(INDEX('CA Standards and Followers'!$D$14:$D$73,MATCH($B9,'CA Standards and Followers'!$A$14:$A$73,0))=1,INDEX('CA Standards and Followers'!$G$14:$G$73,MATCH($B9,'CA Standards and Followers'!$A$14:$A$73,0))&lt;=X$1),INDEX('CA Standards and Followers'!$2:$2,MATCH(X$1,'CA Standards and Followers'!$1:$1,0)),0))</f>
        <v>0</v>
      </c>
      <c r="Y9">
        <f>IF(AND(INDEX('CA Standards and Followers'!$E$14:$E$73,MATCH($B9,'CA Standards and Followers'!$A$14:$A$73,0))=1,INDEX('CA Standards and Followers'!$H$14:$H$73,MATCH($B9,'CA Standards and Followers'!$A$14:$A$73,0))&lt;=Y$1),INDEX('CA Standards and Followers'!$3:$3,MATCH(Y$1,'CA Standards and Followers'!$1:$1,0)),IF(AND(INDEX('CA Standards and Followers'!$D$14:$D$73,MATCH($B9,'CA Standards and Followers'!$A$14:$A$73,0))=1,INDEX('CA Standards and Followers'!$G$14:$G$73,MATCH($B9,'CA Standards and Followers'!$A$14:$A$73,0))&lt;=Y$1),INDEX('CA Standards and Followers'!$2:$2,MATCH(Y$1,'CA Standards and Followers'!$1:$1,0)),0))</f>
        <v>0</v>
      </c>
      <c r="Z9">
        <f>IF(AND(INDEX('CA Standards and Followers'!$E$14:$E$73,MATCH($B9,'CA Standards and Followers'!$A$14:$A$73,0))=1,INDEX('CA Standards and Followers'!$H$14:$H$73,MATCH($B9,'CA Standards and Followers'!$A$14:$A$73,0))&lt;=Z$1),INDEX('CA Standards and Followers'!$3:$3,MATCH(Z$1,'CA Standards and Followers'!$1:$1,0)),IF(AND(INDEX('CA Standards and Followers'!$D$14:$D$73,MATCH($B9,'CA Standards and Followers'!$A$14:$A$73,0))=1,INDEX('CA Standards and Followers'!$G$14:$G$73,MATCH($B9,'CA Standards and Followers'!$A$14:$A$73,0))&lt;=Z$1),INDEX('CA Standards and Followers'!$2:$2,MATCH(Z$1,'CA Standards and Followers'!$1:$1,0)),0))</f>
        <v>0</v>
      </c>
      <c r="AA9">
        <f>IF(AND(INDEX('CA Standards and Followers'!$E$14:$E$73,MATCH($B9,'CA Standards and Followers'!$A$14:$A$73,0))=1,INDEX('CA Standards and Followers'!$H$14:$H$73,MATCH($B9,'CA Standards and Followers'!$A$14:$A$73,0))&lt;=AA$1),INDEX('CA Standards and Followers'!$3:$3,MATCH(AA$1,'CA Standards and Followers'!$1:$1,0)),IF(AND(INDEX('CA Standards and Followers'!$D$14:$D$73,MATCH($B9,'CA Standards and Followers'!$A$14:$A$73,0))=1,INDEX('CA Standards and Followers'!$G$14:$G$73,MATCH($B9,'CA Standards and Followers'!$A$14:$A$73,0))&lt;=AA$1),INDEX('CA Standards and Followers'!$2:$2,MATCH(AA$1,'CA Standards and Followers'!$1:$1,0)),0))</f>
        <v>0</v>
      </c>
      <c r="AB9">
        <f>IF(AND(INDEX('CA Standards and Followers'!$E$14:$E$73,MATCH($B9,'CA Standards and Followers'!$A$14:$A$73,0))=1,INDEX('CA Standards and Followers'!$H$14:$H$73,MATCH($B9,'CA Standards and Followers'!$A$14:$A$73,0))&lt;=AB$1),INDEX('CA Standards and Followers'!$3:$3,MATCH(AB$1,'CA Standards and Followers'!$1:$1,0)),IF(AND(INDEX('CA Standards and Followers'!$D$14:$D$73,MATCH($B9,'CA Standards and Followers'!$A$14:$A$73,0))=1,INDEX('CA Standards and Followers'!$G$14:$G$73,MATCH($B9,'CA Standards and Followers'!$A$14:$A$73,0))&lt;=AB$1),INDEX('CA Standards and Followers'!$2:$2,MATCH(AB$1,'CA Standards and Followers'!$1:$1,0)),0))</f>
        <v>0</v>
      </c>
      <c r="AC9">
        <f>IF(AND(INDEX('CA Standards and Followers'!$E$14:$E$73,MATCH($B9,'CA Standards and Followers'!$A$14:$A$73,0))=1,INDEX('CA Standards and Followers'!$H$14:$H$73,MATCH($B9,'CA Standards and Followers'!$A$14:$A$73,0))&lt;=AC$1),INDEX('CA Standards and Followers'!$3:$3,MATCH(AC$1,'CA Standards and Followers'!$1:$1,0)),IF(AND(INDEX('CA Standards and Followers'!$D$14:$D$73,MATCH($B9,'CA Standards and Followers'!$A$14:$A$73,0))=1,INDEX('CA Standards and Followers'!$G$14:$G$73,MATCH($B9,'CA Standards and Followers'!$A$14:$A$73,0))&lt;=AC$1),INDEX('CA Standards and Followers'!$2:$2,MATCH(AC$1,'CA Standards and Followers'!$1:$1,0)),0))</f>
        <v>0</v>
      </c>
    </row>
    <row r="10" spans="1:29" x14ac:dyDescent="0.25">
      <c r="A10" s="118" t="str">
        <f t="shared" si="0"/>
        <v>District of Columbia</v>
      </c>
      <c r="B10" t="s">
        <v>10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0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0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0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0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0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0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0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0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0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0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0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0</v>
      </c>
    </row>
    <row r="11" spans="1:29" x14ac:dyDescent="0.25">
      <c r="A11" s="118" t="str">
        <f t="shared" si="0"/>
        <v>Florida</v>
      </c>
      <c r="B11" t="s">
        <v>11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</row>
    <row r="12" spans="1:29" x14ac:dyDescent="0.25">
      <c r="A12" s="118" t="str">
        <f t="shared" si="0"/>
        <v>Georgia</v>
      </c>
      <c r="B12" t="s">
        <v>12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</row>
    <row r="13" spans="1:29" x14ac:dyDescent="0.25">
      <c r="A13" s="118" t="str">
        <f t="shared" si="0"/>
        <v>Hawaii</v>
      </c>
      <c r="B13" t="s">
        <v>13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</row>
    <row r="14" spans="1:29" x14ac:dyDescent="0.25">
      <c r="A14" s="118" t="str">
        <f t="shared" si="0"/>
        <v>Idaho</v>
      </c>
      <c r="B14" t="s">
        <v>14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</row>
    <row r="15" spans="1:29" x14ac:dyDescent="0.25">
      <c r="A15" s="118" t="str">
        <f t="shared" si="0"/>
        <v>Illinois</v>
      </c>
      <c r="B15" t="s">
        <v>15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</row>
    <row r="16" spans="1:29" x14ac:dyDescent="0.25">
      <c r="A16" s="118" t="str">
        <f t="shared" si="0"/>
        <v>Indiana</v>
      </c>
      <c r="B16" t="s">
        <v>16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</row>
    <row r="17" spans="1:29" x14ac:dyDescent="0.25">
      <c r="A17" s="118" t="str">
        <f t="shared" si="0"/>
        <v>Iowa</v>
      </c>
      <c r="B17" t="s">
        <v>17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</row>
    <row r="18" spans="1:29" x14ac:dyDescent="0.25">
      <c r="A18" s="118" t="str">
        <f t="shared" si="0"/>
        <v>Kansas</v>
      </c>
      <c r="B18" t="s">
        <v>18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</row>
    <row r="19" spans="1:29" x14ac:dyDescent="0.25">
      <c r="A19" s="118" t="str">
        <f t="shared" si="0"/>
        <v>Kentucky</v>
      </c>
      <c r="B19" t="s">
        <v>19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</row>
    <row r="20" spans="1:29" x14ac:dyDescent="0.25">
      <c r="A20" s="118" t="str">
        <f t="shared" si="0"/>
        <v>Louisiana</v>
      </c>
      <c r="B20" t="s">
        <v>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</row>
    <row r="21" spans="1:29" x14ac:dyDescent="0.25">
      <c r="A21" s="118" t="str">
        <f t="shared" si="0"/>
        <v>Maine</v>
      </c>
      <c r="B21" t="s">
        <v>21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0.08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0.08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0.08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0.08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0.08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0.08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0.08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0.08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0.08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0.08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0.08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0.08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0.08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0.08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0.08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0.08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0.08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0.08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0.08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0.08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0.08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0.08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0.08</v>
      </c>
    </row>
    <row r="22" spans="1:29" x14ac:dyDescent="0.25">
      <c r="A22" s="118" t="str">
        <f t="shared" si="0"/>
        <v>Maryland</v>
      </c>
      <c r="B22" t="s">
        <v>22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0.08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0.08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0.08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0.08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0.08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0.08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0.08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0.08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0.08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0.08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0.08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0.08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0.08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0.08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0.08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0.08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0.08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0.08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0.08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0.08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0.08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0.08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0.08</v>
      </c>
    </row>
    <row r="23" spans="1:29" x14ac:dyDescent="0.25">
      <c r="A23" s="118" t="str">
        <f t="shared" si="0"/>
        <v>Massachusetts</v>
      </c>
      <c r="B23" t="s">
        <v>23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0.08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0.08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0.08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0.08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0.08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0.08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0.08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0.08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0.08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0.08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0.08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0.08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0.08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0.08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0.08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0.08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0.08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0.08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0.08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0.08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0.08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0.08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0.08</v>
      </c>
    </row>
    <row r="24" spans="1:29" x14ac:dyDescent="0.25">
      <c r="A24" s="118" t="str">
        <f t="shared" si="0"/>
        <v>Michigan</v>
      </c>
      <c r="B24" t="s">
        <v>24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</row>
    <row r="25" spans="1:29" x14ac:dyDescent="0.25">
      <c r="A25" s="118" t="str">
        <f t="shared" si="0"/>
        <v>Minnesota</v>
      </c>
      <c r="B25" t="s">
        <v>25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0.08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0.08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0.08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0.08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0.08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0.08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0.08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0.08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0.08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0.08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0.08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0.08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0.08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0.08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0.08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0.08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0.08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0.08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0.08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0.08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0.08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0.08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0.08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0.08</v>
      </c>
    </row>
    <row r="26" spans="1:29" x14ac:dyDescent="0.25">
      <c r="A26" s="118" t="str">
        <f t="shared" si="0"/>
        <v>Mississippi</v>
      </c>
      <c r="B26" t="s">
        <v>26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</row>
    <row r="27" spans="1:29" x14ac:dyDescent="0.25">
      <c r="A27" s="118" t="str">
        <f t="shared" si="0"/>
        <v>Missouri</v>
      </c>
      <c r="B27" t="s">
        <v>27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</row>
    <row r="28" spans="1:29" x14ac:dyDescent="0.25">
      <c r="A28" s="118" t="str">
        <f t="shared" si="0"/>
        <v>Montana</v>
      </c>
      <c r="B28" t="s">
        <v>28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</row>
    <row r="29" spans="1:29" x14ac:dyDescent="0.25">
      <c r="A29" s="118" t="str">
        <f t="shared" si="0"/>
        <v>Nebraska</v>
      </c>
      <c r="B29" t="s">
        <v>29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</row>
    <row r="30" spans="1:29" x14ac:dyDescent="0.25">
      <c r="A30" s="118" t="str">
        <f t="shared" si="0"/>
        <v>Nevada</v>
      </c>
      <c r="B30" t="s">
        <v>30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0.08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0.08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0.08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0.08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0.08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0.08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0.08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0.08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0.08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0.08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0.08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0.08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0.08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0.08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0.08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0.08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0.08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0.08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0.08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0.08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0.08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0.08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0.08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0.08</v>
      </c>
    </row>
    <row r="31" spans="1:29" x14ac:dyDescent="0.25">
      <c r="A31" s="118" t="str">
        <f t="shared" si="0"/>
        <v>New Hampshire</v>
      </c>
      <c r="B31" t="s">
        <v>31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</row>
    <row r="32" spans="1:29" x14ac:dyDescent="0.25">
      <c r="A32" s="118" t="str">
        <f t="shared" si="0"/>
        <v>New Jersey</v>
      </c>
      <c r="B32" t="s">
        <v>32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0.08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0.08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0.08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0.08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0.08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0.08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0.08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0.08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0.08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0.08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0.08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0.08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0.08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0.08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0.08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0.08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0.08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0.08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0.08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0.08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0.08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0.08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0.08</v>
      </c>
    </row>
    <row r="33" spans="1:29" s="47" customFormat="1" x14ac:dyDescent="0.25">
      <c r="A33" s="118" t="str">
        <f t="shared" si="0"/>
        <v>New Mexico</v>
      </c>
      <c r="B33" s="47" t="s">
        <v>33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</v>
      </c>
      <c r="E33">
        <f>IF(AND(INDEX('CA Standards and Followers'!$E$14:$E$73,MATCH($B33,'CA Standards and Followers'!$A$14:$A$73,0))=1,INDEX('CA Standards and Followers'!$H$14:$H$73,MATCH($B33,'CA Standards and Followers'!$A$14:$A$73,0))&lt;=E$1),INDEX('CA Standards and Followers'!$3:$3,MATCH(E$1,'CA Standards and Followers'!$1:$1,0)),IF(AND(INDEX('CA Standards and Followers'!$D$14:$D$73,MATCH($B33,'CA Standards and Followers'!$A$14:$A$73,0))=1,INDEX('CA Standards and Followers'!$G$14:$G$73,MATCH($B33,'CA Standards and Followers'!$A$14:$A$73,0))&lt;=E$1),INDEX('CA Standards and Followers'!$2:$2,MATCH(E$1,'CA Standards and Followers'!$1:$1,0)),0))</f>
        <v>0.08</v>
      </c>
      <c r="F33">
        <f>IF(AND(INDEX('CA Standards and Followers'!$E$14:$E$73,MATCH($B33,'CA Standards and Followers'!$A$14:$A$73,0))=1,INDEX('CA Standards and Followers'!$H$14:$H$73,MATCH($B33,'CA Standards and Followers'!$A$14:$A$73,0))&lt;=F$1),INDEX('CA Standards and Followers'!$3:$3,MATCH(F$1,'CA Standards and Followers'!$1:$1,0)),IF(AND(INDEX('CA Standards and Followers'!$D$14:$D$73,MATCH($B33,'CA Standards and Followers'!$A$14:$A$73,0))=1,INDEX('CA Standards and Followers'!$G$14:$G$73,MATCH($B33,'CA Standards and Followers'!$A$14:$A$73,0))&lt;=F$1),INDEX('CA Standards and Followers'!$2:$2,MATCH(F$1,'CA Standards and Followers'!$1:$1,0)),0))</f>
        <v>0.08</v>
      </c>
      <c r="G33">
        <f>IF(AND(INDEX('CA Standards and Followers'!$E$14:$E$73,MATCH($B33,'CA Standards and Followers'!$A$14:$A$73,0))=1,INDEX('CA Standards and Followers'!$H$14:$H$73,MATCH($B33,'CA Standards and Followers'!$A$14:$A$73,0))&lt;=G$1),INDEX('CA Standards and Followers'!$3:$3,MATCH(G$1,'CA Standards and Followers'!$1:$1,0)),IF(AND(INDEX('CA Standards and Followers'!$D$14:$D$73,MATCH($B33,'CA Standards and Followers'!$A$14:$A$73,0))=1,INDEX('CA Standards and Followers'!$G$14:$G$73,MATCH($B33,'CA Standards and Followers'!$A$14:$A$73,0))&lt;=G$1),INDEX('CA Standards and Followers'!$2:$2,MATCH(G$1,'CA Standards and Followers'!$1:$1,0)),0))</f>
        <v>0.08</v>
      </c>
      <c r="H33">
        <f>IF(AND(INDEX('CA Standards and Followers'!$E$14:$E$73,MATCH($B33,'CA Standards and Followers'!$A$14:$A$73,0))=1,INDEX('CA Standards and Followers'!$H$14:$H$73,MATCH($B33,'CA Standards and Followers'!$A$14:$A$73,0))&lt;=H$1),INDEX('CA Standards and Followers'!$3:$3,MATCH(H$1,'CA Standards and Followers'!$1:$1,0)),IF(AND(INDEX('CA Standards and Followers'!$D$14:$D$73,MATCH($B33,'CA Standards and Followers'!$A$14:$A$73,0))=1,INDEX('CA Standards and Followers'!$G$14:$G$73,MATCH($B33,'CA Standards and Followers'!$A$14:$A$73,0))&lt;=H$1),INDEX('CA Standards and Followers'!$2:$2,MATCH(H$1,'CA Standards and Followers'!$1:$1,0)),0))</f>
        <v>0.08</v>
      </c>
      <c r="I33">
        <f>IF(AND(INDEX('CA Standards and Followers'!$E$14:$E$73,MATCH($B33,'CA Standards and Followers'!$A$14:$A$73,0))=1,INDEX('CA Standards and Followers'!$H$14:$H$73,MATCH($B33,'CA Standards and Followers'!$A$14:$A$73,0))&lt;=I$1),INDEX('CA Standards and Followers'!$3:$3,MATCH(I$1,'CA Standards and Followers'!$1:$1,0)),IF(AND(INDEX('CA Standards and Followers'!$D$14:$D$73,MATCH($B33,'CA Standards and Followers'!$A$14:$A$73,0))=1,INDEX('CA Standards and Followers'!$G$14:$G$73,MATCH($B33,'CA Standards and Followers'!$A$14:$A$73,0))&lt;=I$1),INDEX('CA Standards and Followers'!$2:$2,MATCH(I$1,'CA Standards and Followers'!$1:$1,0)),0))</f>
        <v>0.08</v>
      </c>
      <c r="J33">
        <f>IF(AND(INDEX('CA Standards and Followers'!$E$14:$E$73,MATCH($B33,'CA Standards and Followers'!$A$14:$A$73,0))=1,INDEX('CA Standards and Followers'!$H$14:$H$73,MATCH($B33,'CA Standards and Followers'!$A$14:$A$73,0))&lt;=J$1),INDEX('CA Standards and Followers'!$3:$3,MATCH(J$1,'CA Standards and Followers'!$1:$1,0)),IF(AND(INDEX('CA Standards and Followers'!$D$14:$D$73,MATCH($B33,'CA Standards and Followers'!$A$14:$A$73,0))=1,INDEX('CA Standards and Followers'!$G$14:$G$73,MATCH($B33,'CA Standards and Followers'!$A$14:$A$73,0))&lt;=J$1),INDEX('CA Standards and Followers'!$2:$2,MATCH(J$1,'CA Standards and Followers'!$1:$1,0)),0))</f>
        <v>0.08</v>
      </c>
      <c r="K33">
        <f>IF(AND(INDEX('CA Standards and Followers'!$E$14:$E$73,MATCH($B33,'CA Standards and Followers'!$A$14:$A$73,0))=1,INDEX('CA Standards and Followers'!$H$14:$H$73,MATCH($B33,'CA Standards and Followers'!$A$14:$A$73,0))&lt;=K$1),INDEX('CA Standards and Followers'!$3:$3,MATCH(K$1,'CA Standards and Followers'!$1:$1,0)),IF(AND(INDEX('CA Standards and Followers'!$D$14:$D$73,MATCH($B33,'CA Standards and Followers'!$A$14:$A$73,0))=1,INDEX('CA Standards and Followers'!$G$14:$G$73,MATCH($B33,'CA Standards and Followers'!$A$14:$A$73,0))&lt;=K$1),INDEX('CA Standards and Followers'!$2:$2,MATCH(K$1,'CA Standards and Followers'!$1:$1,0)),0))</f>
        <v>0.08</v>
      </c>
      <c r="L33">
        <f>IF(AND(INDEX('CA Standards and Followers'!$E$14:$E$73,MATCH($B33,'CA Standards and Followers'!$A$14:$A$73,0))=1,INDEX('CA Standards and Followers'!$H$14:$H$73,MATCH($B33,'CA Standards and Followers'!$A$14:$A$73,0))&lt;=L$1),INDEX('CA Standards and Followers'!$3:$3,MATCH(L$1,'CA Standards and Followers'!$1:$1,0)),IF(AND(INDEX('CA Standards and Followers'!$D$14:$D$73,MATCH($B33,'CA Standards and Followers'!$A$14:$A$73,0))=1,INDEX('CA Standards and Followers'!$G$14:$G$73,MATCH($B33,'CA Standards and Followers'!$A$14:$A$73,0))&lt;=L$1),INDEX('CA Standards and Followers'!$2:$2,MATCH(L$1,'CA Standards and Followers'!$1:$1,0)),0))</f>
        <v>0.08</v>
      </c>
      <c r="M33">
        <f>IF(AND(INDEX('CA Standards and Followers'!$E$14:$E$73,MATCH($B33,'CA Standards and Followers'!$A$14:$A$73,0))=1,INDEX('CA Standards and Followers'!$H$14:$H$73,MATCH($B33,'CA Standards and Followers'!$A$14:$A$73,0))&lt;=M$1),INDEX('CA Standards and Followers'!$3:$3,MATCH(M$1,'CA Standards and Followers'!$1:$1,0)),IF(AND(INDEX('CA Standards and Followers'!$D$14:$D$73,MATCH($B33,'CA Standards and Followers'!$A$14:$A$73,0))=1,INDEX('CA Standards and Followers'!$G$14:$G$73,MATCH($B33,'CA Standards and Followers'!$A$14:$A$73,0))&lt;=M$1),INDEX('CA Standards and Followers'!$2:$2,MATCH(M$1,'CA Standards and Followers'!$1:$1,0)),0))</f>
        <v>0.08</v>
      </c>
      <c r="N33">
        <f>IF(AND(INDEX('CA Standards and Followers'!$E$14:$E$73,MATCH($B33,'CA Standards and Followers'!$A$14:$A$73,0))=1,INDEX('CA Standards and Followers'!$H$14:$H$73,MATCH($B33,'CA Standards and Followers'!$A$14:$A$73,0))&lt;=N$1),INDEX('CA Standards and Followers'!$3:$3,MATCH(N$1,'CA Standards and Followers'!$1:$1,0)),IF(AND(INDEX('CA Standards and Followers'!$D$14:$D$73,MATCH($B33,'CA Standards and Followers'!$A$14:$A$73,0))=1,INDEX('CA Standards and Followers'!$G$14:$G$73,MATCH($B33,'CA Standards and Followers'!$A$14:$A$73,0))&lt;=N$1),INDEX('CA Standards and Followers'!$2:$2,MATCH(N$1,'CA Standards and Followers'!$1:$1,0)),0))</f>
        <v>0.08</v>
      </c>
      <c r="O33">
        <f>IF(AND(INDEX('CA Standards and Followers'!$E$14:$E$73,MATCH($B33,'CA Standards and Followers'!$A$14:$A$73,0))=1,INDEX('CA Standards and Followers'!$H$14:$H$73,MATCH($B33,'CA Standards and Followers'!$A$14:$A$73,0))&lt;=O$1),INDEX('CA Standards and Followers'!$3:$3,MATCH(O$1,'CA Standards and Followers'!$1:$1,0)),IF(AND(INDEX('CA Standards and Followers'!$D$14:$D$73,MATCH($B33,'CA Standards and Followers'!$A$14:$A$73,0))=1,INDEX('CA Standards and Followers'!$G$14:$G$73,MATCH($B33,'CA Standards and Followers'!$A$14:$A$73,0))&lt;=O$1),INDEX('CA Standards and Followers'!$2:$2,MATCH(O$1,'CA Standards and Followers'!$1:$1,0)),0))</f>
        <v>0.08</v>
      </c>
      <c r="P33">
        <f>IF(AND(INDEX('CA Standards and Followers'!$E$14:$E$73,MATCH($B33,'CA Standards and Followers'!$A$14:$A$73,0))=1,INDEX('CA Standards and Followers'!$H$14:$H$73,MATCH($B33,'CA Standards and Followers'!$A$14:$A$73,0))&lt;=P$1),INDEX('CA Standards and Followers'!$3:$3,MATCH(P$1,'CA Standards and Followers'!$1:$1,0)),IF(AND(INDEX('CA Standards and Followers'!$D$14:$D$73,MATCH($B33,'CA Standards and Followers'!$A$14:$A$73,0))=1,INDEX('CA Standards and Followers'!$G$14:$G$73,MATCH($B33,'CA Standards and Followers'!$A$14:$A$73,0))&lt;=P$1),INDEX('CA Standards and Followers'!$2:$2,MATCH(P$1,'CA Standards and Followers'!$1:$1,0)),0))</f>
        <v>0.08</v>
      </c>
      <c r="Q33">
        <f>IF(AND(INDEX('CA Standards and Followers'!$E$14:$E$73,MATCH($B33,'CA Standards and Followers'!$A$14:$A$73,0))=1,INDEX('CA Standards and Followers'!$H$14:$H$73,MATCH($B33,'CA Standards and Followers'!$A$14:$A$73,0))&lt;=Q$1),INDEX('CA Standards and Followers'!$3:$3,MATCH(Q$1,'CA Standards and Followers'!$1:$1,0)),IF(AND(INDEX('CA Standards and Followers'!$D$14:$D$73,MATCH($B33,'CA Standards and Followers'!$A$14:$A$73,0))=1,INDEX('CA Standards and Followers'!$G$14:$G$73,MATCH($B33,'CA Standards and Followers'!$A$14:$A$73,0))&lt;=Q$1),INDEX('CA Standards and Followers'!$2:$2,MATCH(Q$1,'CA Standards and Followers'!$1:$1,0)),0))</f>
        <v>0.08</v>
      </c>
      <c r="R33">
        <f>IF(AND(INDEX('CA Standards and Followers'!$E$14:$E$73,MATCH($B33,'CA Standards and Followers'!$A$14:$A$73,0))=1,INDEX('CA Standards and Followers'!$H$14:$H$73,MATCH($B33,'CA Standards and Followers'!$A$14:$A$73,0))&lt;=R$1),INDEX('CA Standards and Followers'!$3:$3,MATCH(R$1,'CA Standards and Followers'!$1:$1,0)),IF(AND(INDEX('CA Standards and Followers'!$D$14:$D$73,MATCH($B33,'CA Standards and Followers'!$A$14:$A$73,0))=1,INDEX('CA Standards and Followers'!$G$14:$G$73,MATCH($B33,'CA Standards and Followers'!$A$14:$A$73,0))&lt;=R$1),INDEX('CA Standards and Followers'!$2:$2,MATCH(R$1,'CA Standards and Followers'!$1:$1,0)),0))</f>
        <v>0.08</v>
      </c>
      <c r="S33">
        <f>IF(AND(INDEX('CA Standards and Followers'!$E$14:$E$73,MATCH($B33,'CA Standards and Followers'!$A$14:$A$73,0))=1,INDEX('CA Standards and Followers'!$H$14:$H$73,MATCH($B33,'CA Standards and Followers'!$A$14:$A$73,0))&lt;=S$1),INDEX('CA Standards and Followers'!$3:$3,MATCH(S$1,'CA Standards and Followers'!$1:$1,0)),IF(AND(INDEX('CA Standards and Followers'!$D$14:$D$73,MATCH($B33,'CA Standards and Followers'!$A$14:$A$73,0))=1,INDEX('CA Standards and Followers'!$G$14:$G$73,MATCH($B33,'CA Standards and Followers'!$A$14:$A$73,0))&lt;=S$1),INDEX('CA Standards and Followers'!$2:$2,MATCH(S$1,'CA Standards and Followers'!$1:$1,0)),0))</f>
        <v>0.08</v>
      </c>
      <c r="T33">
        <f>IF(AND(INDEX('CA Standards and Followers'!$E$14:$E$73,MATCH($B33,'CA Standards and Followers'!$A$14:$A$73,0))=1,INDEX('CA Standards and Followers'!$H$14:$H$73,MATCH($B33,'CA Standards and Followers'!$A$14:$A$73,0))&lt;=T$1),INDEX('CA Standards and Followers'!$3:$3,MATCH(T$1,'CA Standards and Followers'!$1:$1,0)),IF(AND(INDEX('CA Standards and Followers'!$D$14:$D$73,MATCH($B33,'CA Standards and Followers'!$A$14:$A$73,0))=1,INDEX('CA Standards and Followers'!$G$14:$G$73,MATCH($B33,'CA Standards and Followers'!$A$14:$A$73,0))&lt;=T$1),INDEX('CA Standards and Followers'!$2:$2,MATCH(T$1,'CA Standards and Followers'!$1:$1,0)),0))</f>
        <v>0.08</v>
      </c>
      <c r="U33">
        <f>IF(AND(INDEX('CA Standards and Followers'!$E$14:$E$73,MATCH($B33,'CA Standards and Followers'!$A$14:$A$73,0))=1,INDEX('CA Standards and Followers'!$H$14:$H$73,MATCH($B33,'CA Standards and Followers'!$A$14:$A$73,0))&lt;=U$1),INDEX('CA Standards and Followers'!$3:$3,MATCH(U$1,'CA Standards and Followers'!$1:$1,0)),IF(AND(INDEX('CA Standards and Followers'!$D$14:$D$73,MATCH($B33,'CA Standards and Followers'!$A$14:$A$73,0))=1,INDEX('CA Standards and Followers'!$G$14:$G$73,MATCH($B33,'CA Standards and Followers'!$A$14:$A$73,0))&lt;=U$1),INDEX('CA Standards and Followers'!$2:$2,MATCH(U$1,'CA Standards and Followers'!$1:$1,0)),0))</f>
        <v>0.08</v>
      </c>
      <c r="V33">
        <f>IF(AND(INDEX('CA Standards and Followers'!$E$14:$E$73,MATCH($B33,'CA Standards and Followers'!$A$14:$A$73,0))=1,INDEX('CA Standards and Followers'!$H$14:$H$73,MATCH($B33,'CA Standards and Followers'!$A$14:$A$73,0))&lt;=V$1),INDEX('CA Standards and Followers'!$3:$3,MATCH(V$1,'CA Standards and Followers'!$1:$1,0)),IF(AND(INDEX('CA Standards and Followers'!$D$14:$D$73,MATCH($B33,'CA Standards and Followers'!$A$14:$A$73,0))=1,INDEX('CA Standards and Followers'!$G$14:$G$73,MATCH($B33,'CA Standards and Followers'!$A$14:$A$73,0))&lt;=V$1),INDEX('CA Standards and Followers'!$2:$2,MATCH(V$1,'CA Standards and Followers'!$1:$1,0)),0))</f>
        <v>0.08</v>
      </c>
      <c r="W33">
        <f>IF(AND(INDEX('CA Standards and Followers'!$E$14:$E$73,MATCH($B33,'CA Standards and Followers'!$A$14:$A$73,0))=1,INDEX('CA Standards and Followers'!$H$14:$H$73,MATCH($B33,'CA Standards and Followers'!$A$14:$A$73,0))&lt;=W$1),INDEX('CA Standards and Followers'!$3:$3,MATCH(W$1,'CA Standards and Followers'!$1:$1,0)),IF(AND(INDEX('CA Standards and Followers'!$D$14:$D$73,MATCH($B33,'CA Standards and Followers'!$A$14:$A$73,0))=1,INDEX('CA Standards and Followers'!$G$14:$G$73,MATCH($B33,'CA Standards and Followers'!$A$14:$A$73,0))&lt;=W$1),INDEX('CA Standards and Followers'!$2:$2,MATCH(W$1,'CA Standards and Followers'!$1:$1,0)),0))</f>
        <v>0.08</v>
      </c>
      <c r="X33">
        <f>IF(AND(INDEX('CA Standards and Followers'!$E$14:$E$73,MATCH($B33,'CA Standards and Followers'!$A$14:$A$73,0))=1,INDEX('CA Standards and Followers'!$H$14:$H$73,MATCH($B33,'CA Standards and Followers'!$A$14:$A$73,0))&lt;=X$1),INDEX('CA Standards and Followers'!$3:$3,MATCH(X$1,'CA Standards and Followers'!$1:$1,0)),IF(AND(INDEX('CA Standards and Followers'!$D$14:$D$73,MATCH($B33,'CA Standards and Followers'!$A$14:$A$73,0))=1,INDEX('CA Standards and Followers'!$G$14:$G$73,MATCH($B33,'CA Standards and Followers'!$A$14:$A$73,0))&lt;=X$1),INDEX('CA Standards and Followers'!$2:$2,MATCH(X$1,'CA Standards and Followers'!$1:$1,0)),0))</f>
        <v>0.08</v>
      </c>
      <c r="Y33">
        <f>IF(AND(INDEX('CA Standards and Followers'!$E$14:$E$73,MATCH($B33,'CA Standards and Followers'!$A$14:$A$73,0))=1,INDEX('CA Standards and Followers'!$H$14:$H$73,MATCH($B33,'CA Standards and Followers'!$A$14:$A$73,0))&lt;=Y$1),INDEX('CA Standards and Followers'!$3:$3,MATCH(Y$1,'CA Standards and Followers'!$1:$1,0)),IF(AND(INDEX('CA Standards and Followers'!$D$14:$D$73,MATCH($B33,'CA Standards and Followers'!$A$14:$A$73,0))=1,INDEX('CA Standards and Followers'!$G$14:$G$73,MATCH($B33,'CA Standards and Followers'!$A$14:$A$73,0))&lt;=Y$1),INDEX('CA Standards and Followers'!$2:$2,MATCH(Y$1,'CA Standards and Followers'!$1:$1,0)),0))</f>
        <v>0.08</v>
      </c>
      <c r="Z33">
        <f>IF(AND(INDEX('CA Standards and Followers'!$E$14:$E$73,MATCH($B33,'CA Standards and Followers'!$A$14:$A$73,0))=1,INDEX('CA Standards and Followers'!$H$14:$H$73,MATCH($B33,'CA Standards and Followers'!$A$14:$A$73,0))&lt;=Z$1),INDEX('CA Standards and Followers'!$3:$3,MATCH(Z$1,'CA Standards and Followers'!$1:$1,0)),IF(AND(INDEX('CA Standards and Followers'!$D$14:$D$73,MATCH($B33,'CA Standards and Followers'!$A$14:$A$73,0))=1,INDEX('CA Standards and Followers'!$G$14:$G$73,MATCH($B33,'CA Standards and Followers'!$A$14:$A$73,0))&lt;=Z$1),INDEX('CA Standards and Followers'!$2:$2,MATCH(Z$1,'CA Standards and Followers'!$1:$1,0)),0))</f>
        <v>0.08</v>
      </c>
      <c r="AA33">
        <f>IF(AND(INDEX('CA Standards and Followers'!$E$14:$E$73,MATCH($B33,'CA Standards and Followers'!$A$14:$A$73,0))=1,INDEX('CA Standards and Followers'!$H$14:$H$73,MATCH($B33,'CA Standards and Followers'!$A$14:$A$73,0))&lt;=AA$1),INDEX('CA Standards and Followers'!$3:$3,MATCH(AA$1,'CA Standards and Followers'!$1:$1,0)),IF(AND(INDEX('CA Standards and Followers'!$D$14:$D$73,MATCH($B33,'CA Standards and Followers'!$A$14:$A$73,0))=1,INDEX('CA Standards and Followers'!$G$14:$G$73,MATCH($B33,'CA Standards and Followers'!$A$14:$A$73,0))&lt;=AA$1),INDEX('CA Standards and Followers'!$2:$2,MATCH(AA$1,'CA Standards and Followers'!$1:$1,0)),0))</f>
        <v>0.08</v>
      </c>
      <c r="AB33">
        <f>IF(AND(INDEX('CA Standards and Followers'!$E$14:$E$73,MATCH($B33,'CA Standards and Followers'!$A$14:$A$73,0))=1,INDEX('CA Standards and Followers'!$H$14:$H$73,MATCH($B33,'CA Standards and Followers'!$A$14:$A$73,0))&lt;=AB$1),INDEX('CA Standards and Followers'!$3:$3,MATCH(AB$1,'CA Standards and Followers'!$1:$1,0)),IF(AND(INDEX('CA Standards and Followers'!$D$14:$D$73,MATCH($B33,'CA Standards and Followers'!$A$14:$A$73,0))=1,INDEX('CA Standards and Followers'!$G$14:$G$73,MATCH($B33,'CA Standards and Followers'!$A$14:$A$73,0))&lt;=AB$1),INDEX('CA Standards and Followers'!$2:$2,MATCH(AB$1,'CA Standards and Followers'!$1:$1,0)),0))</f>
        <v>0.08</v>
      </c>
      <c r="AC33">
        <f>IF(AND(INDEX('CA Standards and Followers'!$E$14:$E$73,MATCH($B33,'CA Standards and Followers'!$A$14:$A$73,0))=1,INDEX('CA Standards and Followers'!$H$14:$H$73,MATCH($B33,'CA Standards and Followers'!$A$14:$A$73,0))&lt;=AC$1),INDEX('CA Standards and Followers'!$3:$3,MATCH(AC$1,'CA Standards and Followers'!$1:$1,0)),IF(AND(INDEX('CA Standards and Followers'!$D$14:$D$73,MATCH($B33,'CA Standards and Followers'!$A$14:$A$73,0))=1,INDEX('CA Standards and Followers'!$G$14:$G$73,MATCH($B33,'CA Standards and Followers'!$A$14:$A$73,0))&lt;=AC$1),INDEX('CA Standards and Followers'!$2:$2,MATCH(AC$1,'CA Standards and Followers'!$1:$1,0)),0))</f>
        <v>0.08</v>
      </c>
    </row>
    <row r="34" spans="1:29" x14ac:dyDescent="0.25">
      <c r="A34" s="118" t="str">
        <f t="shared" si="0"/>
        <v>New York</v>
      </c>
      <c r="B34" t="s">
        <v>34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0.08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0.08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0.08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0.08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0.08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0.08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0.08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0.08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0.08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0.08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0.08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0.08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0.08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0.08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0.08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0.08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0.08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0.08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0.08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0.08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0.08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0.08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0.08</v>
      </c>
    </row>
    <row r="35" spans="1:29" x14ac:dyDescent="0.25">
      <c r="A35" s="118" t="str">
        <f t="shared" si="0"/>
        <v>North Carolina</v>
      </c>
      <c r="B35" t="s">
        <v>35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</row>
    <row r="36" spans="1:29" x14ac:dyDescent="0.25">
      <c r="A36" s="118" t="str">
        <f t="shared" si="0"/>
        <v>North Dakota</v>
      </c>
      <c r="B36" t="s">
        <v>36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</row>
    <row r="37" spans="1:29" x14ac:dyDescent="0.25">
      <c r="A37" s="118" t="str">
        <f t="shared" si="0"/>
        <v>Ohio</v>
      </c>
      <c r="B37" t="s">
        <v>37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</row>
    <row r="38" spans="1:29" x14ac:dyDescent="0.25">
      <c r="A38" s="118" t="str">
        <f t="shared" si="0"/>
        <v>Oklahoma</v>
      </c>
      <c r="B38" t="s">
        <v>38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</row>
    <row r="39" spans="1:29" x14ac:dyDescent="0.25">
      <c r="A39" s="118" t="str">
        <f t="shared" si="0"/>
        <v>Oregon</v>
      </c>
      <c r="B39" t="s">
        <v>39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0.08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0.08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0.08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0.08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0.08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0.08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0.08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0.08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0.08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0.08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0.08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0.08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0.08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0.08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0.08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0.08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0.08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0.08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0.08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0.08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0.08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0.08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0.08</v>
      </c>
    </row>
    <row r="40" spans="1:29" x14ac:dyDescent="0.25">
      <c r="A40" s="118" t="str">
        <f t="shared" si="0"/>
        <v>Pennsylvania</v>
      </c>
      <c r="B40" t="s">
        <v>40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</row>
    <row r="41" spans="1:29" x14ac:dyDescent="0.25">
      <c r="A41" s="118" t="str">
        <f t="shared" si="0"/>
        <v>Rhode Island</v>
      </c>
      <c r="B41" t="s">
        <v>41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0.08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0.08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0.08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0.08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0.08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0.08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0.08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0.08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0.08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0.08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0.08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0.08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0.08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0.08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0.08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0.08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0.08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0.08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0.08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0.08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0.08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0.08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0.08</v>
      </c>
    </row>
    <row r="42" spans="1:29" x14ac:dyDescent="0.25">
      <c r="A42" s="118" t="str">
        <f t="shared" si="0"/>
        <v>South Carolina</v>
      </c>
      <c r="B42" t="s">
        <v>42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</row>
    <row r="43" spans="1:29" x14ac:dyDescent="0.25">
      <c r="A43" s="118" t="str">
        <f t="shared" si="0"/>
        <v>South Dakota</v>
      </c>
      <c r="B43" t="s">
        <v>43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</row>
    <row r="44" spans="1:29" x14ac:dyDescent="0.25">
      <c r="A44" s="118" t="str">
        <f t="shared" si="0"/>
        <v>Tennessee</v>
      </c>
      <c r="B44" t="s">
        <v>44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</row>
    <row r="45" spans="1:29" x14ac:dyDescent="0.25">
      <c r="A45" s="118" t="str">
        <f t="shared" si="0"/>
        <v>Texas</v>
      </c>
      <c r="B45" t="s">
        <v>45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</row>
    <row r="46" spans="1:29" x14ac:dyDescent="0.25">
      <c r="A46" s="118" t="str">
        <f t="shared" si="0"/>
        <v>Utah</v>
      </c>
      <c r="B46" t="s">
        <v>46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</row>
    <row r="47" spans="1:29" x14ac:dyDescent="0.25">
      <c r="A47" s="118" t="str">
        <f t="shared" si="0"/>
        <v>Vermont</v>
      </c>
      <c r="B47" t="s">
        <v>47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0.08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0.08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0.08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0.08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0.08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0.08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0.08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0.08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0.08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0.08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0.08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0.08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0.08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0.08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0.08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0.08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0.08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0.08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0.08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0.08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0.08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0.08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0.08</v>
      </c>
    </row>
    <row r="48" spans="1:29" x14ac:dyDescent="0.25">
      <c r="A48" s="118" t="str">
        <f t="shared" si="0"/>
        <v>Virginia</v>
      </c>
      <c r="B48" t="s">
        <v>48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0.08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0.08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0.08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0.08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0.08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0.08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0.08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0.08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0.08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0.08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0.08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0.08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0.08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0.08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0.08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0.08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0.08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0.08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0.08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0.08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0.08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0.08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0.08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0.08</v>
      </c>
    </row>
    <row r="49" spans="1:29" x14ac:dyDescent="0.25">
      <c r="A49" s="118" t="str">
        <f t="shared" si="0"/>
        <v>Washington</v>
      </c>
      <c r="B49" t="s">
        <v>49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0.08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0.08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0.08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0.08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0.08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0.08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0.08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0.08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0.08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0.08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0.08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0.08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0.08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0.08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0.08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0.08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0.08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0.08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0.08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0.08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0.08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0.08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0.08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0.08</v>
      </c>
    </row>
    <row r="50" spans="1:29" x14ac:dyDescent="0.25">
      <c r="A50" s="118" t="str">
        <f t="shared" si="0"/>
        <v>West Virginia</v>
      </c>
      <c r="B50" t="s">
        <v>50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</row>
    <row r="51" spans="1:29" x14ac:dyDescent="0.25">
      <c r="A51" s="118" t="str">
        <f t="shared" si="0"/>
        <v>Wisconsin</v>
      </c>
      <c r="B51" t="s">
        <v>51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</row>
    <row r="52" spans="1:29" x14ac:dyDescent="0.25">
      <c r="A52" s="118" t="str">
        <f t="shared" si="0"/>
        <v>Wyoming</v>
      </c>
      <c r="B52" t="s">
        <v>52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</row>
    <row r="53" spans="1:29" x14ac:dyDescent="0.25">
      <c r="A53" s="118" t="str">
        <f t="shared" si="0"/>
        <v>subregion52</v>
      </c>
      <c r="B53" t="s">
        <v>53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</row>
    <row r="54" spans="1:29" x14ac:dyDescent="0.25">
      <c r="A54" s="118" t="str">
        <f t="shared" si="0"/>
        <v>subregion53</v>
      </c>
      <c r="B54" t="s">
        <v>54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</row>
    <row r="55" spans="1:29" x14ac:dyDescent="0.25">
      <c r="A55" s="118" t="str">
        <f t="shared" si="0"/>
        <v>subregion54</v>
      </c>
      <c r="B55" t="s">
        <v>55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</row>
    <row r="56" spans="1:29" x14ac:dyDescent="0.25">
      <c r="A56" s="118" t="str">
        <f t="shared" si="0"/>
        <v>subregion55</v>
      </c>
      <c r="B56" t="s">
        <v>56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</row>
    <row r="57" spans="1:29" x14ac:dyDescent="0.25">
      <c r="A57" s="118" t="str">
        <f t="shared" si="0"/>
        <v>subregion56</v>
      </c>
      <c r="B57" t="s">
        <v>57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</row>
    <row r="58" spans="1:29" x14ac:dyDescent="0.25">
      <c r="A58" s="118" t="str">
        <f t="shared" si="0"/>
        <v>subregion57</v>
      </c>
      <c r="B58" t="s">
        <v>58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</row>
    <row r="59" spans="1:29" x14ac:dyDescent="0.25">
      <c r="A59" s="118" t="str">
        <f t="shared" si="0"/>
        <v>subregion58</v>
      </c>
      <c r="B59" t="s">
        <v>59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</row>
    <row r="60" spans="1:29" x14ac:dyDescent="0.25">
      <c r="A60" s="118" t="str">
        <f t="shared" si="0"/>
        <v>subregion59</v>
      </c>
      <c r="B60" t="s">
        <v>60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</row>
    <row r="61" spans="1:29" x14ac:dyDescent="0.25">
      <c r="A61" s="118" t="str">
        <f t="shared" si="0"/>
        <v>subregion60</v>
      </c>
      <c r="B61" t="s">
        <v>61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B61"/>
  <sheetViews>
    <sheetView workbookViewId="0">
      <selection activeCell="B1" sqref="B1"/>
    </sheetView>
  </sheetViews>
  <sheetFormatPr defaultRowHeight="15" x14ac:dyDescent="0.25"/>
  <cols>
    <col min="1" max="1" width="20" customWidth="1"/>
  </cols>
  <sheetData>
    <row r="1" spans="1:28" x14ac:dyDescent="0.25">
      <c r="A1" s="2" t="s">
        <v>62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211</v>
      </c>
      <c r="B2">
        <f>SUMIFS('BRZSPbS-psgr-ldv-all'!C:C,'BRZSPbS-psgr-ldv-all'!$A:$A,About!$B$1)</f>
        <v>0</v>
      </c>
      <c r="C2">
        <f>SUMIFS('BRZSPbS-psgr-ldv-all'!D:D,'BRZSPbS-psgr-ldv-all'!$A:$A,About!$B$1)</f>
        <v>0</v>
      </c>
      <c r="D2">
        <f>SUMIFS('BRZSPbS-psgr-ldv-all'!E:E,'BRZSPbS-psgr-ldv-all'!$A:$A,About!$B$1)</f>
        <v>0</v>
      </c>
      <c r="E2">
        <f>SUMIFS('BRZSPbS-psgr-ldv-all'!F:F,'BRZSPbS-psgr-ldv-all'!$A:$A,About!$B$1)</f>
        <v>0</v>
      </c>
      <c r="F2">
        <f>SUMIFS('BRZSPbS-psgr-ldv-all'!G:G,'BRZSPbS-psgr-ldv-all'!$A:$A,About!$B$1)</f>
        <v>0</v>
      </c>
      <c r="G2">
        <f>SUMIFS('BRZSPbS-psgr-ldv-all'!H:H,'BRZSPbS-psgr-ldv-all'!$A:$A,About!$B$1)</f>
        <v>0</v>
      </c>
      <c r="H2">
        <f>SUMIFS('BRZSPbS-psgr-ldv-all'!I:I,'BRZSPbS-psgr-ldv-all'!$A:$A,About!$B$1)</f>
        <v>0</v>
      </c>
      <c r="I2">
        <f>SUMIFS('BRZSPbS-psgr-ldv-all'!J:J,'BRZSPbS-psgr-ldv-all'!$A:$A,About!$B$1)</f>
        <v>0</v>
      </c>
      <c r="J2">
        <f>SUMIFS('BRZSPbS-psgr-ldv-all'!K:K,'BRZSPbS-psgr-ldv-all'!$A:$A,About!$B$1)</f>
        <v>0</v>
      </c>
      <c r="K2">
        <f>SUMIFS('BRZSPbS-psgr-ldv-all'!L:L,'BRZSPbS-psgr-ldv-all'!$A:$A,About!$B$1)</f>
        <v>0</v>
      </c>
      <c r="L2">
        <f>SUMIFS('BRZSPbS-psgr-ldv-all'!M:M,'BRZSPbS-psgr-ldv-all'!$A:$A,About!$B$1)</f>
        <v>0</v>
      </c>
      <c r="M2">
        <f>SUMIFS('BRZSPbS-psgr-ldv-all'!N:N,'BRZSPbS-psgr-ldv-all'!$A:$A,About!$B$1)</f>
        <v>0</v>
      </c>
      <c r="N2">
        <f>SUMIFS('BRZSPbS-psgr-ldv-all'!O:O,'BRZSPbS-psgr-ldv-all'!$A:$A,About!$B$1)</f>
        <v>0</v>
      </c>
      <c r="O2">
        <f>SUMIFS('BRZSPbS-psgr-ldv-all'!P:P,'BRZSPbS-psgr-ldv-all'!$A:$A,About!$B$1)</f>
        <v>0</v>
      </c>
      <c r="P2">
        <f>SUMIFS('BRZSPbS-psgr-ldv-all'!Q:Q,'BRZSPbS-psgr-ldv-all'!$A:$A,About!$B$1)</f>
        <v>0</v>
      </c>
      <c r="Q2">
        <f>SUMIFS('BRZSPbS-psgr-ldv-all'!R:R,'BRZSPbS-psgr-ldv-all'!$A:$A,About!$B$1)</f>
        <v>0</v>
      </c>
      <c r="R2">
        <f>SUMIFS('BRZSPbS-psgr-ldv-all'!S:S,'BRZSPbS-psgr-ldv-all'!$A:$A,About!$B$1)</f>
        <v>0</v>
      </c>
      <c r="S2">
        <f>SUMIFS('BRZSPbS-psgr-ldv-all'!T:T,'BRZSPbS-psgr-ldv-all'!$A:$A,About!$B$1)</f>
        <v>0</v>
      </c>
      <c r="T2">
        <f>SUMIFS('BRZSPbS-psgr-ldv-all'!U:U,'BRZSPbS-psgr-ldv-all'!$A:$A,About!$B$1)</f>
        <v>0</v>
      </c>
      <c r="U2">
        <f>SUMIFS('BRZSPbS-psgr-ldv-all'!V:V,'BRZSPbS-psgr-ldv-all'!$A:$A,About!$B$1)</f>
        <v>0</v>
      </c>
      <c r="V2">
        <f>SUMIFS('BRZSPbS-psgr-ldv-all'!W:W,'BRZSPbS-psgr-ldv-all'!$A:$A,About!$B$1)</f>
        <v>0</v>
      </c>
      <c r="W2">
        <f>SUMIFS('BRZSPbS-psgr-ldv-all'!X:X,'BRZSPbS-psgr-ldv-all'!$A:$A,About!$B$1)</f>
        <v>0</v>
      </c>
      <c r="X2">
        <f>SUMIFS('BRZSPbS-psgr-ldv-all'!Y:Y,'BRZSPbS-psgr-ldv-all'!$A:$A,About!$B$1)</f>
        <v>0</v>
      </c>
      <c r="Y2">
        <f>SUMIFS('BRZSPbS-psgr-ldv-all'!Z:Z,'BRZSPbS-psgr-ldv-all'!$A:$A,About!$B$1)</f>
        <v>0</v>
      </c>
      <c r="Z2">
        <f>SUMIFS('BRZSPbS-psgr-ldv-all'!AA:AA,'BRZSPbS-psgr-ldv-all'!$A:$A,About!$B$1)</f>
        <v>0</v>
      </c>
      <c r="AA2">
        <f>SUMIFS('BRZSPbS-psgr-ldv-all'!AB:AB,'BRZSPbS-psgr-ldv-all'!$A:$A,About!$B$1)</f>
        <v>0</v>
      </c>
      <c r="AB2">
        <f>SUMIFS('BRZSPbS-psgr-ldv-all'!AC:AC,'BRZSPbS-psgr-ldv-all'!$A:$A,About!$B$1)</f>
        <v>0</v>
      </c>
    </row>
    <row r="3" spans="1:28" x14ac:dyDescent="0.25">
      <c r="A3" t="s">
        <v>161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162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163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164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47" customFormat="1" x14ac:dyDescent="0.25">
      <c r="A7" t="s">
        <v>165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166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47" customFormat="1" x14ac:dyDescent="0.25">
      <c r="A9" t="s">
        <v>167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168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 t="s">
        <v>169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170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 t="s">
        <v>171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172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173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174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 t="s">
        <v>175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 t="s">
        <v>176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177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178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179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180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181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182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183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 t="s">
        <v>184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 t="s">
        <v>185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 t="s">
        <v>186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25">
      <c r="A29" t="s">
        <v>187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25">
      <c r="A30" t="s">
        <v>188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25">
      <c r="A31" t="s">
        <v>189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25">
      <c r="A32" t="s">
        <v>190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47" customFormat="1" x14ac:dyDescent="0.25">
      <c r="A33" t="s">
        <v>191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25">
      <c r="A34" t="s">
        <v>192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25">
      <c r="A35" t="s">
        <v>193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25">
      <c r="A36" t="s">
        <v>194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25">
      <c r="A37" t="s">
        <v>195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25">
      <c r="A38" t="s">
        <v>196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25">
      <c r="A39" t="s">
        <v>197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25">
      <c r="A40" t="s">
        <v>198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25">
      <c r="A41" t="s">
        <v>199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25">
      <c r="A42" t="s">
        <v>200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25">
      <c r="A43" t="s">
        <v>201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25">
      <c r="A44" t="s">
        <v>202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25">
      <c r="A45" t="s">
        <v>203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25">
      <c r="A46" t="s">
        <v>204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25">
      <c r="A47" t="s">
        <v>205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25">
      <c r="A48" t="s">
        <v>206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25">
      <c r="A49" t="s">
        <v>207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25">
      <c r="A50" t="s">
        <v>208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25">
      <c r="A51" t="s">
        <v>209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25">
      <c r="A52" t="s">
        <v>210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25">
      <c r="A53" t="s">
        <v>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25">
      <c r="A54" t="s">
        <v>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25">
      <c r="A55" t="s">
        <v>55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25">
      <c r="A56" t="s">
        <v>56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25">
      <c r="A57" t="s">
        <v>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25">
      <c r="A58" t="s">
        <v>58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25">
      <c r="A59" t="s">
        <v>59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25">
      <c r="A60" t="s">
        <v>60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25">
      <c r="A61" t="s">
        <v>61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C26AC-1391-4E69-8D99-5916F7B696E9}">
  <sheetPr>
    <tabColor theme="5"/>
  </sheetPr>
  <dimension ref="A1:AC61"/>
  <sheetViews>
    <sheetView workbookViewId="0"/>
  </sheetViews>
  <sheetFormatPr defaultRowHeight="15" x14ac:dyDescent="0.25"/>
  <cols>
    <col min="1" max="1" width="9.140625" style="118"/>
    <col min="2" max="2" width="20" customWidth="1"/>
  </cols>
  <sheetData>
    <row r="1" spans="1:29" x14ac:dyDescent="0.25">
      <c r="B1" s="2" t="s">
        <v>62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25">
      <c r="A2" s="118" t="str">
        <f>TRIM(B2)</f>
        <v>Alabama</v>
      </c>
      <c r="B2" t="s">
        <v>2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25">
      <c r="A3" s="118" t="str">
        <f t="shared" ref="A3:A61" si="0">TRIM(B3)</f>
        <v>Alaska</v>
      </c>
      <c r="B3" t="s">
        <v>3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25">
      <c r="A4" s="118" t="str">
        <f t="shared" si="0"/>
        <v>Arizona</v>
      </c>
      <c r="B4" t="s">
        <v>4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25">
      <c r="A5" s="118" t="str">
        <f t="shared" si="0"/>
        <v>Arkansas</v>
      </c>
      <c r="B5" t="s">
        <v>5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25">
      <c r="A6" s="118" t="str">
        <f t="shared" si="0"/>
        <v>California</v>
      </c>
      <c r="B6" t="s">
        <v>6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3.9118535662182166E-2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25">
      <c r="A7" s="118" t="str">
        <f t="shared" si="0"/>
        <v>Colorado</v>
      </c>
      <c r="B7" t="s">
        <v>7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s="118" t="str">
        <f t="shared" si="0"/>
        <v>Connecticut</v>
      </c>
      <c r="B8" t="s">
        <v>8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s="118" t="str">
        <f t="shared" si="0"/>
        <v>Delaware</v>
      </c>
      <c r="B9" t="s">
        <v>9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s="118" t="str">
        <f t="shared" si="0"/>
        <v>District of Columbia</v>
      </c>
      <c r="B10" t="s">
        <v>10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s="118" t="str">
        <f t="shared" si="0"/>
        <v>Florida</v>
      </c>
      <c r="B11" t="s">
        <v>11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s="118" t="str">
        <f t="shared" si="0"/>
        <v>Georgia</v>
      </c>
      <c r="B12" t="s">
        <v>12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 s="118" t="str">
        <f t="shared" si="0"/>
        <v>Hawaii</v>
      </c>
      <c r="B13" t="s">
        <v>13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25">
      <c r="A14" s="118" t="str">
        <f t="shared" si="0"/>
        <v>Idaho</v>
      </c>
      <c r="B14" t="s">
        <v>14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25">
      <c r="A15" s="118" t="str">
        <f t="shared" si="0"/>
        <v>Illinois</v>
      </c>
      <c r="B15" t="s">
        <v>15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25">
      <c r="A16" s="118" t="str">
        <f t="shared" si="0"/>
        <v>Indiana</v>
      </c>
      <c r="B16" t="s">
        <v>16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25">
      <c r="A17" s="118" t="str">
        <f t="shared" si="0"/>
        <v>Iowa</v>
      </c>
      <c r="B17" t="s">
        <v>17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25">
      <c r="A18" s="118" t="str">
        <f t="shared" si="0"/>
        <v>Kansas</v>
      </c>
      <c r="B18" t="s">
        <v>18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25">
      <c r="A19" s="118" t="str">
        <f t="shared" si="0"/>
        <v>Kentucky</v>
      </c>
      <c r="B19" t="s">
        <v>19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25">
      <c r="A20" s="118" t="str">
        <f t="shared" si="0"/>
        <v>Louisiana</v>
      </c>
      <c r="B20" t="s">
        <v>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25">
      <c r="A21" s="118" t="str">
        <f t="shared" si="0"/>
        <v>Maine</v>
      </c>
      <c r="B21" t="s">
        <v>21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25">
      <c r="A22" s="118" t="str">
        <f t="shared" si="0"/>
        <v>Maryland</v>
      </c>
      <c r="B22" t="s">
        <v>22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25">
      <c r="A23" s="118" t="str">
        <f t="shared" si="0"/>
        <v>Massachusetts</v>
      </c>
      <c r="B23" t="s">
        <v>23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25">
      <c r="A24" s="118" t="str">
        <f t="shared" si="0"/>
        <v>Michigan</v>
      </c>
      <c r="B24" t="s">
        <v>24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25">
      <c r="A25" s="118" t="str">
        <f t="shared" si="0"/>
        <v>Minnesota</v>
      </c>
      <c r="B25" t="s">
        <v>25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25">
      <c r="A26" s="118" t="str">
        <f t="shared" si="0"/>
        <v>Mississippi</v>
      </c>
      <c r="B26" t="s">
        <v>26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25">
      <c r="A27" s="118" t="str">
        <f t="shared" si="0"/>
        <v>Missouri</v>
      </c>
      <c r="B27" t="s">
        <v>27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25">
      <c r="A28" s="118" t="str">
        <f t="shared" si="0"/>
        <v>Montana</v>
      </c>
      <c r="B28" t="s">
        <v>28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25">
      <c r="A29" s="118" t="str">
        <f t="shared" si="0"/>
        <v>Nebraska</v>
      </c>
      <c r="B29" t="s">
        <v>29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25">
      <c r="A30" s="118" t="str">
        <f t="shared" si="0"/>
        <v>Nevada</v>
      </c>
      <c r="B30" t="s">
        <v>30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25">
      <c r="A31" s="118" t="str">
        <f t="shared" si="0"/>
        <v>New Hampshire</v>
      </c>
      <c r="B31" t="s">
        <v>31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25">
      <c r="A32" s="118" t="str">
        <f t="shared" si="0"/>
        <v>New Jersey</v>
      </c>
      <c r="B32" t="s">
        <v>32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25">
      <c r="A33" s="118" t="str">
        <f t="shared" si="0"/>
        <v>New Mexico</v>
      </c>
      <c r="B33" t="s">
        <v>33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25">
      <c r="A34" s="118" t="str">
        <f t="shared" si="0"/>
        <v>New York</v>
      </c>
      <c r="B34" t="s">
        <v>34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25">
      <c r="A35" s="118" t="str">
        <f t="shared" si="0"/>
        <v>North Carolina</v>
      </c>
      <c r="B35" t="s">
        <v>35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25">
      <c r="A36" s="118" t="str">
        <f t="shared" si="0"/>
        <v>North Dakota</v>
      </c>
      <c r="B36" t="s">
        <v>36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25">
      <c r="A37" s="118" t="str">
        <f t="shared" si="0"/>
        <v>Ohio</v>
      </c>
      <c r="B37" t="s">
        <v>37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25">
      <c r="A38" s="118" t="str">
        <f t="shared" si="0"/>
        <v>Oklahoma</v>
      </c>
      <c r="B38" t="s">
        <v>38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25">
      <c r="A39" s="118" t="str">
        <f t="shared" si="0"/>
        <v>Oregon</v>
      </c>
      <c r="B39" t="s">
        <v>39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3.9118535662182166E-2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25">
      <c r="A40" s="118" t="str">
        <f t="shared" si="0"/>
        <v>Pennsylvania</v>
      </c>
      <c r="B40" t="s">
        <v>40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25">
      <c r="A41" s="118" t="str">
        <f t="shared" si="0"/>
        <v>Rhode Island</v>
      </c>
      <c r="B41" t="s">
        <v>41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25">
      <c r="A42" s="118" t="str">
        <f t="shared" si="0"/>
        <v>South Carolina</v>
      </c>
      <c r="B42" t="s">
        <v>42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25">
      <c r="A43" s="118" t="str">
        <f t="shared" si="0"/>
        <v>South Dakota</v>
      </c>
      <c r="B43" t="s">
        <v>43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25">
      <c r="A44" s="118" t="str">
        <f t="shared" si="0"/>
        <v>Tennessee</v>
      </c>
      <c r="B44" t="s">
        <v>44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25">
      <c r="A45" s="118" t="str">
        <f t="shared" si="0"/>
        <v>Texas</v>
      </c>
      <c r="B45" t="s">
        <v>45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25">
      <c r="A46" s="118" t="str">
        <f t="shared" si="0"/>
        <v>Utah</v>
      </c>
      <c r="B46" t="s">
        <v>46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25">
      <c r="A47" s="118" t="str">
        <f t="shared" si="0"/>
        <v>Vermont</v>
      </c>
      <c r="B47" t="s">
        <v>47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25">
      <c r="A48" s="118" t="str">
        <f t="shared" si="0"/>
        <v>Virginia</v>
      </c>
      <c r="B48" t="s">
        <v>48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25">
      <c r="A49" s="118" t="str">
        <f t="shared" si="0"/>
        <v>Washington</v>
      </c>
      <c r="B49" t="s">
        <v>49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25">
      <c r="A50" s="118" t="str">
        <f t="shared" si="0"/>
        <v>West Virginia</v>
      </c>
      <c r="B50" t="s">
        <v>50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25">
      <c r="A51" s="118" t="str">
        <f t="shared" si="0"/>
        <v>Wisconsin</v>
      </c>
      <c r="B51" t="s">
        <v>51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25">
      <c r="A52" s="118" t="str">
        <f t="shared" si="0"/>
        <v>Wyoming</v>
      </c>
      <c r="B52" t="s">
        <v>52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25">
      <c r="A53" s="118" t="str">
        <f t="shared" si="0"/>
        <v>subregion52</v>
      </c>
      <c r="B53" t="s">
        <v>53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25">
      <c r="A54" s="118" t="str">
        <f t="shared" si="0"/>
        <v>subregion53</v>
      </c>
      <c r="B54" t="s">
        <v>54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25">
      <c r="A55" s="118" t="str">
        <f t="shared" si="0"/>
        <v>subregion54</v>
      </c>
      <c r="B55" t="s">
        <v>55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25">
      <c r="A56" s="118" t="str">
        <f t="shared" si="0"/>
        <v>subregion55</v>
      </c>
      <c r="B56" t="s">
        <v>56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25">
      <c r="A57" s="118" t="str">
        <f t="shared" si="0"/>
        <v>subregion56</v>
      </c>
      <c r="B57" t="s">
        <v>57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25">
      <c r="A58" s="118" t="str">
        <f t="shared" si="0"/>
        <v>subregion57</v>
      </c>
      <c r="B58" t="s">
        <v>58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25">
      <c r="A59" s="118" t="str">
        <f t="shared" si="0"/>
        <v>subregion58</v>
      </c>
      <c r="B59" t="s">
        <v>59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25">
      <c r="A60" s="118" t="str">
        <f t="shared" si="0"/>
        <v>subregion59</v>
      </c>
      <c r="B60" t="s">
        <v>60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25">
      <c r="A61" s="118" t="str">
        <f t="shared" si="0"/>
        <v>subregion60</v>
      </c>
      <c r="B61" t="s">
        <v>61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B61"/>
  <sheetViews>
    <sheetView workbookViewId="0">
      <selection activeCell="B1" sqref="B1"/>
    </sheetView>
  </sheetViews>
  <sheetFormatPr defaultRowHeight="15" x14ac:dyDescent="0.25"/>
  <cols>
    <col min="1" max="1" width="20" customWidth="1"/>
  </cols>
  <sheetData>
    <row r="1" spans="1:28" x14ac:dyDescent="0.25">
      <c r="A1" s="2" t="s">
        <v>62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211</v>
      </c>
      <c r="B2">
        <f>SUMIFS('BRZSPbS-psgr-hdv-all'!C:C,'BRZSPbS-psgr-hdv-all'!$A:$A,About!$B$1)</f>
        <v>0</v>
      </c>
      <c r="C2">
        <f>SUMIFS('BRZSPbS-psgr-hdv-all'!D:D,'BRZSPbS-psgr-hdv-all'!$A:$A,About!$B$1)</f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25">
      <c r="A3" t="s">
        <v>161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162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163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164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166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167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168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 t="s">
        <v>169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170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 t="s">
        <v>171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172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173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174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 t="s">
        <v>175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 t="s">
        <v>176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177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178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179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180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181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182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183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 t="s">
        <v>184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 t="s">
        <v>185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 t="s">
        <v>186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25">
      <c r="A29" t="s">
        <v>187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25">
      <c r="A30" t="s">
        <v>188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25">
      <c r="A31" t="s">
        <v>189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25">
      <c r="A32" t="s">
        <v>190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25">
      <c r="A33" t="s">
        <v>191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25">
      <c r="A34" t="s">
        <v>192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25">
      <c r="A35" t="s">
        <v>193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25">
      <c r="A36" t="s">
        <v>194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25">
      <c r="A37" t="s">
        <v>195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25">
      <c r="A38" t="s">
        <v>196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25">
      <c r="A39" t="s">
        <v>197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25">
      <c r="A40" t="s">
        <v>198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25">
      <c r="A41" t="s">
        <v>199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25">
      <c r="A42" t="s">
        <v>200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25">
      <c r="A43" t="s">
        <v>201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25">
      <c r="A44" t="s">
        <v>202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25">
      <c r="A45" t="s">
        <v>203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25">
      <c r="A46" t="s">
        <v>204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25">
      <c r="A47" t="s">
        <v>205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25">
      <c r="A48" t="s">
        <v>206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25">
      <c r="A49" t="s">
        <v>207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25">
      <c r="A50" t="s">
        <v>208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25">
      <c r="A51" t="s">
        <v>209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25">
      <c r="A52" t="s">
        <v>210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25">
      <c r="A53" t="s">
        <v>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25">
      <c r="A54" t="s">
        <v>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25">
      <c r="A55" t="s">
        <v>55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25">
      <c r="A56" t="s">
        <v>56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25">
      <c r="A57" t="s">
        <v>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25">
      <c r="A58" t="s">
        <v>58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25">
      <c r="A59" t="s">
        <v>59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25">
      <c r="A60" t="s">
        <v>60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25">
      <c r="A61" t="s">
        <v>61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>
      <selection activeCell="B1" sqref="B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180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190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200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210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60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180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190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200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210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60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180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190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200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210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60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3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4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5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6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7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8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9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10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11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12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13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14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15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16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17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18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19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20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21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22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23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24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25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26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27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28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29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30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31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32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33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34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35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36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37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38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39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40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41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42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43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44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45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46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47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48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49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50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51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52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53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54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55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56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57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58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59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60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61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442BF-6A57-4F96-8D81-EA698232A0BA}">
  <sheetPr>
    <tabColor theme="5"/>
  </sheetPr>
  <dimension ref="A1:AC61"/>
  <sheetViews>
    <sheetView workbookViewId="0">
      <selection activeCell="C1" sqref="C1"/>
    </sheetView>
  </sheetViews>
  <sheetFormatPr defaultRowHeight="15" x14ac:dyDescent="0.25"/>
  <cols>
    <col min="1" max="1" width="9.140625" style="118"/>
    <col min="2" max="2" width="20" customWidth="1"/>
  </cols>
  <sheetData>
    <row r="1" spans="1:29" x14ac:dyDescent="0.25">
      <c r="B1" s="2" t="s">
        <v>62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25">
      <c r="A2" s="118" t="str">
        <f>TRIM(B2)</f>
        <v>Alabama</v>
      </c>
      <c r="B2" t="s">
        <v>2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25">
      <c r="A3" s="118" t="str">
        <f t="shared" ref="A3:A61" si="0">TRIM(B3)</f>
        <v>Alaska</v>
      </c>
      <c r="B3" t="s">
        <v>3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25">
      <c r="A4" s="118" t="str">
        <f t="shared" si="0"/>
        <v>Arizona</v>
      </c>
      <c r="B4" t="s">
        <v>4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25">
      <c r="A5" s="118" t="str">
        <f t="shared" si="0"/>
        <v>Arkansas</v>
      </c>
      <c r="B5" t="s">
        <v>5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25">
      <c r="A6" s="118" t="str">
        <f t="shared" si="0"/>
        <v>California</v>
      </c>
      <c r="B6" t="s">
        <v>6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25">
      <c r="A7" s="118" t="str">
        <f t="shared" si="0"/>
        <v>Colorado</v>
      </c>
      <c r="B7" t="s">
        <v>7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s="118" t="str">
        <f t="shared" si="0"/>
        <v>Connecticut</v>
      </c>
      <c r="B8" t="s">
        <v>8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s="118" t="str">
        <f t="shared" si="0"/>
        <v>Delaware</v>
      </c>
      <c r="B9" t="s">
        <v>9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s="118" t="str">
        <f t="shared" si="0"/>
        <v>District of Columbia</v>
      </c>
      <c r="B10" t="s">
        <v>10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s="118" t="str">
        <f t="shared" si="0"/>
        <v>Florida</v>
      </c>
      <c r="B11" t="s">
        <v>11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s="118" t="str">
        <f t="shared" si="0"/>
        <v>Georgia</v>
      </c>
      <c r="B12" t="s">
        <v>12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 s="118" t="str">
        <f t="shared" si="0"/>
        <v>Hawaii</v>
      </c>
      <c r="B13" t="s">
        <v>13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25">
      <c r="A14" s="118" t="str">
        <f t="shared" si="0"/>
        <v>Idaho</v>
      </c>
      <c r="B14" t="s">
        <v>14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25">
      <c r="A15" s="118" t="str">
        <f t="shared" si="0"/>
        <v>Illinois</v>
      </c>
      <c r="B15" t="s">
        <v>15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25">
      <c r="A16" s="118" t="str">
        <f t="shared" si="0"/>
        <v>Indiana</v>
      </c>
      <c r="B16" t="s">
        <v>16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25">
      <c r="A17" s="118" t="str">
        <f t="shared" si="0"/>
        <v>Iowa</v>
      </c>
      <c r="B17" t="s">
        <v>17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25">
      <c r="A18" s="118" t="str">
        <f t="shared" si="0"/>
        <v>Kansas</v>
      </c>
      <c r="B18" t="s">
        <v>18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25">
      <c r="A19" s="118" t="str">
        <f t="shared" si="0"/>
        <v>Kentucky</v>
      </c>
      <c r="B19" t="s">
        <v>19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25">
      <c r="A20" s="118" t="str">
        <f t="shared" si="0"/>
        <v>Louisiana</v>
      </c>
      <c r="B20" t="s">
        <v>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25">
      <c r="A21" s="118" t="str">
        <f t="shared" si="0"/>
        <v>Maine</v>
      </c>
      <c r="B21" t="s">
        <v>21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25">
      <c r="A22" s="118" t="str">
        <f t="shared" si="0"/>
        <v>Maryland</v>
      </c>
      <c r="B22" t="s">
        <v>22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25">
      <c r="A23" s="118" t="str">
        <f t="shared" si="0"/>
        <v>Massachusetts</v>
      </c>
      <c r="B23" t="s">
        <v>23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25">
      <c r="A24" s="118" t="str">
        <f t="shared" si="0"/>
        <v>Michigan</v>
      </c>
      <c r="B24" t="s">
        <v>24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25">
      <c r="A25" s="118" t="str">
        <f t="shared" si="0"/>
        <v>Minnesota</v>
      </c>
      <c r="B25" t="s">
        <v>25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25">
      <c r="A26" s="118" t="str">
        <f t="shared" si="0"/>
        <v>Mississippi</v>
      </c>
      <c r="B26" t="s">
        <v>26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25">
      <c r="A27" s="118" t="str">
        <f t="shared" si="0"/>
        <v>Missouri</v>
      </c>
      <c r="B27" t="s">
        <v>27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25">
      <c r="A28" s="118" t="str">
        <f t="shared" si="0"/>
        <v>Montana</v>
      </c>
      <c r="B28" t="s">
        <v>28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25">
      <c r="A29" s="118" t="str">
        <f t="shared" si="0"/>
        <v>Nebraska</v>
      </c>
      <c r="B29" t="s">
        <v>29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25">
      <c r="A30" s="118" t="str">
        <f t="shared" si="0"/>
        <v>Nevada</v>
      </c>
      <c r="B30" t="s">
        <v>30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25">
      <c r="A31" s="118" t="str">
        <f t="shared" si="0"/>
        <v>New Hampshire</v>
      </c>
      <c r="B31" t="s">
        <v>31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25">
      <c r="A32" s="118" t="str">
        <f t="shared" si="0"/>
        <v>New Jersey</v>
      </c>
      <c r="B32" t="s">
        <v>32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25">
      <c r="A33" s="118" t="str">
        <f t="shared" si="0"/>
        <v>New Mexico</v>
      </c>
      <c r="B33" t="s">
        <v>33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25">
      <c r="A34" s="118" t="str">
        <f t="shared" si="0"/>
        <v>New York</v>
      </c>
      <c r="B34" t="s">
        <v>34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25">
      <c r="A35" s="118" t="str">
        <f t="shared" si="0"/>
        <v>North Carolina</v>
      </c>
      <c r="B35" t="s">
        <v>35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25">
      <c r="A36" s="118" t="str">
        <f t="shared" si="0"/>
        <v>North Dakota</v>
      </c>
      <c r="B36" t="s">
        <v>36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25">
      <c r="A37" s="118" t="str">
        <f t="shared" si="0"/>
        <v>Ohio</v>
      </c>
      <c r="B37" t="s">
        <v>37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25">
      <c r="A38" s="118" t="str">
        <f t="shared" si="0"/>
        <v>Oklahoma</v>
      </c>
      <c r="B38" t="s">
        <v>38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25">
      <c r="A39" s="118" t="str">
        <f t="shared" si="0"/>
        <v>Oregon</v>
      </c>
      <c r="B39" t="s">
        <v>39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25">
      <c r="A40" s="118" t="str">
        <f t="shared" si="0"/>
        <v>Pennsylvania</v>
      </c>
      <c r="B40" t="s">
        <v>40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25">
      <c r="A41" s="118" t="str">
        <f t="shared" si="0"/>
        <v>Rhode Island</v>
      </c>
      <c r="B41" t="s">
        <v>41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25">
      <c r="A42" s="118" t="str">
        <f t="shared" si="0"/>
        <v>South Carolina</v>
      </c>
      <c r="B42" t="s">
        <v>42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25">
      <c r="A43" s="118" t="str">
        <f t="shared" si="0"/>
        <v>South Dakota</v>
      </c>
      <c r="B43" t="s">
        <v>43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25">
      <c r="A44" s="118" t="str">
        <f t="shared" si="0"/>
        <v>Tennessee</v>
      </c>
      <c r="B44" t="s">
        <v>44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25">
      <c r="A45" s="118" t="str">
        <f t="shared" si="0"/>
        <v>Texas</v>
      </c>
      <c r="B45" t="s">
        <v>45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25">
      <c r="A46" s="118" t="str">
        <f t="shared" si="0"/>
        <v>Utah</v>
      </c>
      <c r="B46" t="s">
        <v>46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25">
      <c r="A47" s="118" t="str">
        <f t="shared" si="0"/>
        <v>Vermont</v>
      </c>
      <c r="B47" t="s">
        <v>47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25">
      <c r="A48" s="118" t="str">
        <f t="shared" si="0"/>
        <v>Virginia</v>
      </c>
      <c r="B48" t="s">
        <v>48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25">
      <c r="A49" s="118" t="str">
        <f t="shared" si="0"/>
        <v>Washington</v>
      </c>
      <c r="B49" t="s">
        <v>49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25">
      <c r="A50" s="118" t="str">
        <f t="shared" si="0"/>
        <v>West Virginia</v>
      </c>
      <c r="B50" t="s">
        <v>50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25">
      <c r="A51" s="118" t="str">
        <f t="shared" si="0"/>
        <v>Wisconsin</v>
      </c>
      <c r="B51" t="s">
        <v>51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25">
      <c r="A52" s="118" t="str">
        <f t="shared" si="0"/>
        <v>Wyoming</v>
      </c>
      <c r="B52" t="s">
        <v>52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25">
      <c r="A53" s="118" t="str">
        <f t="shared" si="0"/>
        <v>subregion52</v>
      </c>
      <c r="B53" t="s">
        <v>53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25">
      <c r="A54" s="118" t="str">
        <f t="shared" si="0"/>
        <v>subregion53</v>
      </c>
      <c r="B54" t="s">
        <v>54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25">
      <c r="A55" s="118" t="str">
        <f t="shared" si="0"/>
        <v>subregion54</v>
      </c>
      <c r="B55" t="s">
        <v>55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25">
      <c r="A56" s="118" t="str">
        <f t="shared" si="0"/>
        <v>subregion55</v>
      </c>
      <c r="B56" t="s">
        <v>56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25">
      <c r="A57" s="118" t="str">
        <f t="shared" si="0"/>
        <v>subregion56</v>
      </c>
      <c r="B57" t="s">
        <v>57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25">
      <c r="A58" s="118" t="str">
        <f t="shared" si="0"/>
        <v>subregion57</v>
      </c>
      <c r="B58" t="s">
        <v>58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25">
      <c r="A59" s="118" t="str">
        <f t="shared" si="0"/>
        <v>subregion58</v>
      </c>
      <c r="B59" t="s">
        <v>59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25">
      <c r="A60" s="118" t="str">
        <f t="shared" si="0"/>
        <v>subregion59</v>
      </c>
      <c r="B60" t="s">
        <v>60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25">
      <c r="A61" s="118" t="str">
        <f t="shared" si="0"/>
        <v>subregion60</v>
      </c>
      <c r="B61" t="s">
        <v>61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L61"/>
  <sheetViews>
    <sheetView workbookViewId="0">
      <selection activeCell="B1" sqref="B1"/>
    </sheetView>
  </sheetViews>
  <sheetFormatPr defaultRowHeight="15" x14ac:dyDescent="0.25"/>
  <cols>
    <col min="1" max="1" width="20" customWidth="1"/>
  </cols>
  <sheetData>
    <row r="1" spans="1:38" x14ac:dyDescent="0.25">
      <c r="A1" s="2" t="s">
        <v>62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25">
      <c r="A2" t="s">
        <v>211</v>
      </c>
      <c r="B2">
        <f>SUMIFS('BRZSPbS-frgt-ldv-all'!C:C,'BRZSPbS-frgt-ldv-all'!$A:$A,About!$B$1)</f>
        <v>0</v>
      </c>
      <c r="C2">
        <f>SUMIFS('BRZSPbS-frgt-ldv-all'!D:D,'BRZSPbS-frgt-ldv-all'!$A:$A,About!$B$1)</f>
        <v>0</v>
      </c>
      <c r="D2">
        <f>SUMIFS('BRZSPbS-frgt-ldv-all'!E:E,'BRZSPbS-frgt-ldv-all'!$A:$A,About!$B$1)</f>
        <v>0</v>
      </c>
      <c r="E2">
        <f>SUMIFS('BRZSPbS-frgt-ldv-all'!F:F,'BRZSPbS-frgt-ldv-all'!$A:$A,About!$B$1)</f>
        <v>0</v>
      </c>
      <c r="F2">
        <f>SUMIFS('BRZSPbS-frgt-ldv-all'!G:G,'BRZSPbS-frgt-ldv-all'!$A:$A,About!$B$1)</f>
        <v>0</v>
      </c>
      <c r="G2">
        <f>SUMIFS('BRZSPbS-frgt-ldv-all'!H:H,'BRZSPbS-frgt-ldv-all'!$A:$A,About!$B$1)</f>
        <v>0</v>
      </c>
      <c r="H2">
        <f>SUMIFS('BRZSPbS-frgt-ldv-all'!I:I,'BRZSPbS-frgt-ldv-all'!$A:$A,About!$B$1)</f>
        <v>0</v>
      </c>
      <c r="I2">
        <f>SUMIFS('BRZSPbS-frgt-ldv-all'!J:J,'BRZSPbS-frgt-ldv-all'!$A:$A,About!$B$1)</f>
        <v>0</v>
      </c>
      <c r="J2">
        <f>SUMIFS('BRZSPbS-frgt-ldv-all'!K:K,'BRZSPbS-frgt-ldv-all'!$A:$A,About!$B$1)</f>
        <v>0</v>
      </c>
      <c r="K2">
        <f>SUMIFS('BRZSPbS-frgt-ldv-all'!L:L,'BRZSPbS-frgt-ldv-all'!$A:$A,About!$B$1)</f>
        <v>0</v>
      </c>
      <c r="L2">
        <f>SUMIFS('BRZSPbS-frgt-ldv-all'!M:M,'BRZSPbS-frgt-ldv-all'!$A:$A,About!$B$1)</f>
        <v>0</v>
      </c>
      <c r="M2">
        <f>SUMIFS('BRZSPbS-frgt-ldv-all'!N:N,'BRZSPbS-frgt-ldv-all'!$A:$A,About!$B$1)</f>
        <v>0</v>
      </c>
      <c r="N2">
        <f>SUMIFS('BRZSPbS-frgt-ldv-all'!O:O,'BRZSPbS-frgt-ldv-all'!$A:$A,About!$B$1)</f>
        <v>0</v>
      </c>
      <c r="O2">
        <f>SUMIFS('BRZSPbS-frgt-ldv-all'!P:P,'BRZSPbS-frgt-ldv-all'!$A:$A,About!$B$1)</f>
        <v>0</v>
      </c>
      <c r="P2">
        <f>SUMIFS('BRZSPbS-frgt-ldv-all'!Q:Q,'BRZSPbS-frgt-ldv-all'!$A:$A,About!$B$1)</f>
        <v>0</v>
      </c>
      <c r="Q2">
        <f>SUMIFS('BRZSPbS-frgt-ldv-all'!R:R,'BRZSPbS-frgt-ldv-all'!$A:$A,About!$B$1)</f>
        <v>0</v>
      </c>
      <c r="R2">
        <f>SUMIFS('BRZSPbS-frgt-ldv-all'!S:S,'BRZSPbS-frgt-ldv-all'!$A:$A,About!$B$1)</f>
        <v>0</v>
      </c>
      <c r="S2">
        <f>SUMIFS('BRZSPbS-frgt-ldv-all'!T:T,'BRZSPbS-frgt-ldv-all'!$A:$A,About!$B$1)</f>
        <v>0</v>
      </c>
      <c r="T2">
        <f>SUMIFS('BRZSPbS-frgt-ldv-all'!U:U,'BRZSPbS-frgt-ldv-all'!$A:$A,About!$B$1)</f>
        <v>0</v>
      </c>
      <c r="U2">
        <f>SUMIFS('BRZSPbS-frgt-ldv-all'!V:V,'BRZSPbS-frgt-ldv-all'!$A:$A,About!$B$1)</f>
        <v>0</v>
      </c>
      <c r="V2">
        <f>SUMIFS('BRZSPbS-frgt-ldv-all'!W:W,'BRZSPbS-frgt-ldv-all'!$A:$A,About!$B$1)</f>
        <v>0</v>
      </c>
      <c r="W2">
        <f>SUMIFS('BRZSPbS-frgt-ldv-all'!X:X,'BRZSPbS-frgt-ldv-all'!$A:$A,About!$B$1)</f>
        <v>0</v>
      </c>
      <c r="X2">
        <f>SUMIFS('BRZSPbS-frgt-ldv-all'!Y:Y,'BRZSPbS-frgt-ldv-all'!$A:$A,About!$B$1)</f>
        <v>0</v>
      </c>
      <c r="Y2">
        <f>SUMIFS('BRZSPbS-frgt-ldv-all'!Z:Z,'BRZSPbS-frgt-ldv-all'!$A:$A,About!$B$1)</f>
        <v>0</v>
      </c>
      <c r="Z2">
        <f>SUMIFS('BRZSPbS-frgt-ldv-all'!AA:AA,'BRZSPbS-frgt-ldv-all'!$A:$A,About!$B$1)</f>
        <v>0</v>
      </c>
      <c r="AA2">
        <f>SUMIFS('BRZSPbS-frgt-ldv-all'!AB:AB,'BRZSPbS-frgt-ldv-all'!$A:$A,About!$B$1)</f>
        <v>0</v>
      </c>
      <c r="AB2">
        <f>SUMIFS('BRZSPbS-frgt-ldv-all'!AC:AC,'BRZSPbS-frgt-ldv-all'!$A:$A,About!$B$1)</f>
        <v>0</v>
      </c>
      <c r="AC2">
        <f>SUMIFS('BRZSPbS-frgt-ldv-all'!AD:AD,'BRZSPbS-frgt-ldv-all'!$A:$A,About!$B$1)</f>
        <v>0</v>
      </c>
      <c r="AD2">
        <f>SUMIFS('BRZSPbS-frgt-ldv-all'!AE:AE,'BRZSPbS-frgt-ldv-all'!$A:$A,About!$B$1)</f>
        <v>0</v>
      </c>
      <c r="AE2">
        <f>SUMIFS('BRZSPbS-frgt-ldv-all'!AF:AF,'BRZSPbS-frgt-ldv-all'!$A:$A,About!$B$1)</f>
        <v>0</v>
      </c>
      <c r="AF2">
        <f>SUMIFS('BRZSPbS-frgt-ldv-all'!AG:AG,'BRZSPbS-frgt-ldv-all'!$A:$A,About!$B$1)</f>
        <v>0</v>
      </c>
      <c r="AG2">
        <f>SUMIFS('BRZSPbS-frgt-ldv-all'!AH:AH,'BRZSPbS-frgt-ldv-all'!$A:$A,About!$B$1)</f>
        <v>0</v>
      </c>
      <c r="AH2">
        <f>SUMIFS('BRZSPbS-frgt-ldv-all'!AI:AI,'BRZSPbS-frgt-ldv-all'!$A:$A,About!$B$1)</f>
        <v>0</v>
      </c>
      <c r="AI2">
        <f>SUMIFS('BRZSPbS-frgt-ldv-all'!AJ:AJ,'BRZSPbS-frgt-ldv-all'!$A:$A,About!$B$1)</f>
        <v>0</v>
      </c>
      <c r="AJ2">
        <f>SUMIFS('BRZSPbS-frgt-ldv-all'!AK:AK,'BRZSPbS-frgt-ldv-all'!$A:$A,About!$B$1)</f>
        <v>0</v>
      </c>
      <c r="AK2">
        <f>SUMIFS('BRZSPbS-frgt-ldv-all'!AL:AL,'BRZSPbS-frgt-ldv-all'!$A:$A,About!$B$1)</f>
        <v>0</v>
      </c>
      <c r="AL2">
        <f>SUMIFS('BRZSPbS-frgt-ldv-all'!AM:AM,'BRZSPbS-frgt-ldv-all'!$A:$A,About!$B$1)</f>
        <v>0</v>
      </c>
    </row>
    <row r="3" spans="1:38" x14ac:dyDescent="0.25">
      <c r="A3" t="s">
        <v>161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25">
      <c r="A4" t="s">
        <v>162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25">
      <c r="A5" t="s">
        <v>163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164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25">
      <c r="A7" t="s">
        <v>165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25">
      <c r="A8" t="s">
        <v>166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25">
      <c r="A9" t="s">
        <v>167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 t="s">
        <v>168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 t="s">
        <v>169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25">
      <c r="A12" t="s">
        <v>170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 t="s">
        <v>171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25">
      <c r="A14" t="s">
        <v>172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25">
      <c r="A15" t="s">
        <v>173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25">
      <c r="A16" t="s">
        <v>174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25">
      <c r="A17" t="s">
        <v>175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25">
      <c r="A18" t="s">
        <v>176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25">
      <c r="A19" t="s">
        <v>177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25">
      <c r="A20" t="s">
        <v>178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25">
      <c r="A21" t="s">
        <v>179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25">
      <c r="A22" t="s">
        <v>180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25">
      <c r="A23" t="s">
        <v>181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25">
      <c r="A24" t="s">
        <v>182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25">
      <c r="A25" t="s">
        <v>183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25">
      <c r="A26" t="s">
        <v>184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25">
      <c r="A27" t="s">
        <v>185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25">
      <c r="A28" t="s">
        <v>186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25">
      <c r="A29" t="s">
        <v>187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25">
      <c r="A30" t="s">
        <v>188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25">
      <c r="A31" t="s">
        <v>189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25">
      <c r="A32" t="s">
        <v>190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25">
      <c r="A33" t="s">
        <v>191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25">
      <c r="A34" t="s">
        <v>192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25">
      <c r="A35" t="s">
        <v>193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25">
      <c r="A36" t="s">
        <v>194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25">
      <c r="A37" t="s">
        <v>195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25">
      <c r="A38" t="s">
        <v>196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25">
      <c r="A39" t="s">
        <v>197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25">
      <c r="A40" t="s">
        <v>198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25">
      <c r="A41" t="s">
        <v>199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25">
      <c r="A42" t="s">
        <v>200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25">
      <c r="A43" t="s">
        <v>201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25">
      <c r="A44" t="s">
        <v>202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 t="s">
        <v>203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25">
      <c r="A46" t="s">
        <v>204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25">
      <c r="A47" t="s">
        <v>205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25">
      <c r="A48" t="s">
        <v>206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25">
      <c r="A49" t="s">
        <v>207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25">
      <c r="A50" t="s">
        <v>208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25">
      <c r="A51" t="s">
        <v>209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25">
      <c r="A52" t="s">
        <v>210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25">
      <c r="A53" t="s">
        <v>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25">
      <c r="A54" t="s">
        <v>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 t="s">
        <v>55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25">
      <c r="A56" t="s">
        <v>56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25">
      <c r="A57" t="s">
        <v>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25">
      <c r="A58" t="s">
        <v>58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25">
      <c r="A59" t="s">
        <v>59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 t="s">
        <v>60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25">
      <c r="A61" t="s">
        <v>61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DE354-F94A-492F-A5C1-3C122747430A}">
  <sheetPr>
    <tabColor theme="5"/>
  </sheetPr>
  <dimension ref="A1:AC61"/>
  <sheetViews>
    <sheetView workbookViewId="0">
      <selection activeCell="C1" sqref="C1"/>
    </sheetView>
  </sheetViews>
  <sheetFormatPr defaultRowHeight="15" x14ac:dyDescent="0.25"/>
  <cols>
    <col min="1" max="1" width="9.140625" style="118"/>
    <col min="2" max="2" width="20" customWidth="1"/>
  </cols>
  <sheetData>
    <row r="1" spans="1:29" x14ac:dyDescent="0.25">
      <c r="B1" s="2" t="s">
        <v>62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25">
      <c r="A2" s="118" t="str">
        <f>TRIM(B2)</f>
        <v>Alabama</v>
      </c>
      <c r="B2" t="s">
        <v>2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25">
      <c r="A3" s="118" t="str">
        <f t="shared" ref="A3:A61" si="0">TRIM(B3)</f>
        <v>Alaska</v>
      </c>
      <c r="B3" t="s">
        <v>3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25">
      <c r="A4" s="118" t="str">
        <f t="shared" si="0"/>
        <v>Arizona</v>
      </c>
      <c r="B4" t="s">
        <v>4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25">
      <c r="A5" s="118" t="str">
        <f t="shared" si="0"/>
        <v>Arkansas</v>
      </c>
      <c r="B5" t="s">
        <v>5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25">
      <c r="A6" s="118" t="str">
        <f t="shared" si="0"/>
        <v>California</v>
      </c>
      <c r="B6" t="s">
        <v>6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25">
      <c r="A7" s="118" t="str">
        <f t="shared" si="0"/>
        <v>Colorado</v>
      </c>
      <c r="B7" t="s">
        <v>7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s="118" t="str">
        <f t="shared" si="0"/>
        <v>Connecticut</v>
      </c>
      <c r="B8" t="s">
        <v>8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s="118" t="str">
        <f t="shared" si="0"/>
        <v>Delaware</v>
      </c>
      <c r="B9" t="s">
        <v>9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s="118" t="str">
        <f t="shared" si="0"/>
        <v>District of Columbia</v>
      </c>
      <c r="B10" t="s">
        <v>10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s="118" t="str">
        <f t="shared" si="0"/>
        <v>Florida</v>
      </c>
      <c r="B11" t="s">
        <v>11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s="118" t="str">
        <f t="shared" si="0"/>
        <v>Georgia</v>
      </c>
      <c r="B12" t="s">
        <v>12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 s="118" t="str">
        <f t="shared" si="0"/>
        <v>Hawaii</v>
      </c>
      <c r="B13" t="s">
        <v>13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25">
      <c r="A14" s="118" t="str">
        <f t="shared" si="0"/>
        <v>Idaho</v>
      </c>
      <c r="B14" t="s">
        <v>14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25">
      <c r="A15" s="118" t="str">
        <f t="shared" si="0"/>
        <v>Illinois</v>
      </c>
      <c r="B15" t="s">
        <v>15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25">
      <c r="A16" s="118" t="str">
        <f t="shared" si="0"/>
        <v>Indiana</v>
      </c>
      <c r="B16" t="s">
        <v>16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25">
      <c r="A17" s="118" t="str">
        <f t="shared" si="0"/>
        <v>Iowa</v>
      </c>
      <c r="B17" t="s">
        <v>17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25">
      <c r="A18" s="118" t="str">
        <f t="shared" si="0"/>
        <v>Kansas</v>
      </c>
      <c r="B18" t="s">
        <v>18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25">
      <c r="A19" s="118" t="str">
        <f t="shared" si="0"/>
        <v>Kentucky</v>
      </c>
      <c r="B19" t="s">
        <v>19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25">
      <c r="A20" s="118" t="str">
        <f t="shared" si="0"/>
        <v>Louisiana</v>
      </c>
      <c r="B20" t="s">
        <v>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25">
      <c r="A21" s="118" t="str">
        <f t="shared" si="0"/>
        <v>Maine</v>
      </c>
      <c r="B21" t="s">
        <v>21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25">
      <c r="A22" s="118" t="str">
        <f t="shared" si="0"/>
        <v>Maryland</v>
      </c>
      <c r="B22" t="s">
        <v>22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25">
      <c r="A23" s="118" t="str">
        <f t="shared" si="0"/>
        <v>Massachusetts</v>
      </c>
      <c r="B23" t="s">
        <v>23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25">
      <c r="A24" s="118" t="str">
        <f t="shared" si="0"/>
        <v>Michigan</v>
      </c>
      <c r="B24" t="s">
        <v>24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25">
      <c r="A25" s="118" t="str">
        <f t="shared" si="0"/>
        <v>Minnesota</v>
      </c>
      <c r="B25" t="s">
        <v>25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25">
      <c r="A26" s="118" t="str">
        <f t="shared" si="0"/>
        <v>Mississippi</v>
      </c>
      <c r="B26" t="s">
        <v>26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25">
      <c r="A27" s="118" t="str">
        <f t="shared" si="0"/>
        <v>Missouri</v>
      </c>
      <c r="B27" t="s">
        <v>27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25">
      <c r="A28" s="118" t="str">
        <f t="shared" si="0"/>
        <v>Montana</v>
      </c>
      <c r="B28" t="s">
        <v>28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25">
      <c r="A29" s="118" t="str">
        <f t="shared" si="0"/>
        <v>Nebraska</v>
      </c>
      <c r="B29" t="s">
        <v>29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25">
      <c r="A30" s="118" t="str">
        <f t="shared" si="0"/>
        <v>Nevada</v>
      </c>
      <c r="B30" t="s">
        <v>30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25">
      <c r="A31" s="118" t="str">
        <f t="shared" si="0"/>
        <v>New Hampshire</v>
      </c>
      <c r="B31" t="s">
        <v>31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25">
      <c r="A32" s="118" t="str">
        <f t="shared" si="0"/>
        <v>New Jersey</v>
      </c>
      <c r="B32" t="s">
        <v>32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25">
      <c r="A33" s="118" t="str">
        <f t="shared" si="0"/>
        <v>New Mexico</v>
      </c>
      <c r="B33" t="s">
        <v>33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25">
      <c r="A34" s="118" t="str">
        <f t="shared" si="0"/>
        <v>New York</v>
      </c>
      <c r="B34" t="s">
        <v>34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25">
      <c r="A35" s="118" t="str">
        <f t="shared" si="0"/>
        <v>North Carolina</v>
      </c>
      <c r="B35" t="s">
        <v>35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25">
      <c r="A36" s="118" t="str">
        <f t="shared" si="0"/>
        <v>North Dakota</v>
      </c>
      <c r="B36" t="s">
        <v>36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25">
      <c r="A37" s="118" t="str">
        <f t="shared" si="0"/>
        <v>Ohio</v>
      </c>
      <c r="B37" t="s">
        <v>37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25">
      <c r="A38" s="118" t="str">
        <f t="shared" si="0"/>
        <v>Oklahoma</v>
      </c>
      <c r="B38" t="s">
        <v>38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25">
      <c r="A39" s="118" t="str">
        <f t="shared" si="0"/>
        <v>Oregon</v>
      </c>
      <c r="B39" t="s">
        <v>39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25">
      <c r="A40" s="118" t="str">
        <f t="shared" si="0"/>
        <v>Pennsylvania</v>
      </c>
      <c r="B40" t="s">
        <v>40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25">
      <c r="A41" s="118" t="str">
        <f t="shared" si="0"/>
        <v>Rhode Island</v>
      </c>
      <c r="B41" t="s">
        <v>41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25">
      <c r="A42" s="118" t="str">
        <f t="shared" si="0"/>
        <v>South Carolina</v>
      </c>
      <c r="B42" t="s">
        <v>42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25">
      <c r="A43" s="118" t="str">
        <f t="shared" si="0"/>
        <v>South Dakota</v>
      </c>
      <c r="B43" t="s">
        <v>43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25">
      <c r="A44" s="118" t="str">
        <f t="shared" si="0"/>
        <v>Tennessee</v>
      </c>
      <c r="B44" t="s">
        <v>44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25">
      <c r="A45" s="118" t="str">
        <f t="shared" si="0"/>
        <v>Texas</v>
      </c>
      <c r="B45" t="s">
        <v>45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25">
      <c r="A46" s="118" t="str">
        <f t="shared" si="0"/>
        <v>Utah</v>
      </c>
      <c r="B46" t="s">
        <v>46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25">
      <c r="A47" s="118" t="str">
        <f t="shared" si="0"/>
        <v>Vermont</v>
      </c>
      <c r="B47" t="s">
        <v>47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25">
      <c r="A48" s="118" t="str">
        <f t="shared" si="0"/>
        <v>Virginia</v>
      </c>
      <c r="B48" t="s">
        <v>48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25">
      <c r="A49" s="118" t="str">
        <f t="shared" si="0"/>
        <v>Washington</v>
      </c>
      <c r="B49" t="s">
        <v>49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25">
      <c r="A50" s="118" t="str">
        <f t="shared" si="0"/>
        <v>West Virginia</v>
      </c>
      <c r="B50" t="s">
        <v>50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25">
      <c r="A51" s="118" t="str">
        <f t="shared" si="0"/>
        <v>Wisconsin</v>
      </c>
      <c r="B51" t="s">
        <v>51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25">
      <c r="A52" s="118" t="str">
        <f t="shared" si="0"/>
        <v>Wyoming</v>
      </c>
      <c r="B52" t="s">
        <v>52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25">
      <c r="A53" s="118" t="str">
        <f t="shared" si="0"/>
        <v>subregion52</v>
      </c>
      <c r="B53" t="s">
        <v>53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25">
      <c r="A54" s="118" t="str">
        <f t="shared" si="0"/>
        <v>subregion53</v>
      </c>
      <c r="B54" t="s">
        <v>54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25">
      <c r="A55" s="118" t="str">
        <f t="shared" si="0"/>
        <v>subregion54</v>
      </c>
      <c r="B55" t="s">
        <v>55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25">
      <c r="A56" s="118" t="str">
        <f t="shared" si="0"/>
        <v>subregion55</v>
      </c>
      <c r="B56" t="s">
        <v>56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25">
      <c r="A57" s="118" t="str">
        <f t="shared" si="0"/>
        <v>subregion56</v>
      </c>
      <c r="B57" t="s">
        <v>57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25">
      <c r="A58" s="118" t="str">
        <f t="shared" si="0"/>
        <v>subregion57</v>
      </c>
      <c r="B58" t="s">
        <v>58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25">
      <c r="A59" s="118" t="str">
        <f t="shared" si="0"/>
        <v>subregion58</v>
      </c>
      <c r="B59" t="s">
        <v>59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25">
      <c r="A60" s="118" t="str">
        <f t="shared" si="0"/>
        <v>subregion59</v>
      </c>
      <c r="B60" t="s">
        <v>60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25">
      <c r="A61" s="118" t="str">
        <f t="shared" si="0"/>
        <v>subregion60</v>
      </c>
      <c r="B61" t="s">
        <v>61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P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211</v>
      </c>
      <c r="B2" t="e">
        <f>SUMIFS('BRZSPbS-frgt-hdv-all'!#REF!,'BRZSPbS-frgt-hdv-all'!$A:$A,About!$B$1)</f>
        <v>#REF!</v>
      </c>
      <c r="C2" t="e">
        <f>SUMIFS('BRZSPbS-frgt-hdv-all'!#REF!,'BRZSPbS-frgt-hdv-all'!$A:$A,About!$B$1)</f>
        <v>#REF!</v>
      </c>
      <c r="D2" t="e">
        <f>SUMIFS('BRZSPbS-frgt-hdv-all'!#REF!,'BRZSPbS-frgt-hdv-all'!$A:$A,About!$B$1)</f>
        <v>#REF!</v>
      </c>
      <c r="E2" t="e">
        <f>SUMIFS('BRZSPbS-frgt-hdv-all'!#REF!,'BRZSPbS-frgt-hdv-all'!$A:$A,About!$B$1)</f>
        <v>#REF!</v>
      </c>
      <c r="F2">
        <f>SUMIFS('BRZSPbS-frgt-hdv-all'!C:C,'BRZSPbS-frgt-hdv-all'!$A:$A,About!$B$1)</f>
        <v>0</v>
      </c>
      <c r="G2">
        <f>SUMIFS('BRZSPbS-frgt-hdv-all'!D:D,'BRZSPbS-frgt-hdv-all'!$A:$A,About!$B$1)</f>
        <v>0</v>
      </c>
      <c r="H2">
        <f>SUMIFS('BRZSPbS-frgt-hdv-all'!E:E,'BRZSPbS-frgt-hdv-all'!$A:$A,About!$B$1)</f>
        <v>0</v>
      </c>
      <c r="I2">
        <f>SUMIFS('BRZSPbS-frgt-hdv-all'!F:F,'BRZSPbS-frgt-hdv-all'!$A:$A,About!$B$1)</f>
        <v>0</v>
      </c>
      <c r="J2">
        <f>SUMIFS('BRZSPbS-frgt-hdv-all'!G:G,'BRZSPbS-frgt-hdv-all'!$A:$A,About!$B$1)</f>
        <v>0</v>
      </c>
      <c r="K2">
        <f>SUMIFS('BRZSPbS-frgt-hdv-all'!H:H,'BRZSPbS-frgt-hdv-all'!$A:$A,About!$B$1)</f>
        <v>0</v>
      </c>
      <c r="L2">
        <f>SUMIFS('BRZSPbS-frgt-hdv-all'!I:I,'BRZSPbS-frgt-hdv-all'!$A:$A,About!$B$1)</f>
        <v>0</v>
      </c>
      <c r="M2">
        <f>SUMIFS('BRZSPbS-frgt-hdv-all'!J:J,'BRZSPbS-frgt-hdv-all'!$A:$A,About!$B$1)</f>
        <v>0</v>
      </c>
      <c r="N2">
        <f>SUMIFS('BRZSPbS-frgt-hdv-all'!K:K,'BRZSPbS-frgt-hdv-all'!$A:$A,About!$B$1)</f>
        <v>0</v>
      </c>
      <c r="O2">
        <f>SUMIFS('BRZSPbS-frgt-hdv-all'!L:L,'BRZSPbS-frgt-hdv-all'!$A:$A,About!$B$1)</f>
        <v>0</v>
      </c>
      <c r="P2">
        <f>SUMIFS('BRZSPbS-frgt-hdv-all'!M:M,'BRZSPbS-frgt-hdv-all'!$A:$A,About!$B$1)</f>
        <v>0</v>
      </c>
      <c r="Q2">
        <f>SUMIFS('BRZSPbS-frgt-hdv-all'!N:N,'BRZSPbS-frgt-hdv-all'!$A:$A,About!$B$1)</f>
        <v>0</v>
      </c>
      <c r="R2">
        <f>SUMIFS('BRZSPbS-frgt-hdv-all'!O:O,'BRZSPbS-frgt-hdv-all'!$A:$A,About!$B$1)</f>
        <v>0</v>
      </c>
      <c r="S2">
        <f>SUMIFS('BRZSPbS-frgt-hdv-all'!P:P,'BRZSPbS-frgt-hdv-all'!$A:$A,About!$B$1)</f>
        <v>0</v>
      </c>
      <c r="T2">
        <f>SUMIFS('BRZSPbS-frgt-hdv-all'!Q:Q,'BRZSPbS-frgt-hdv-all'!$A:$A,About!$B$1)</f>
        <v>0</v>
      </c>
      <c r="U2">
        <f>SUMIFS('BRZSPbS-frgt-hdv-all'!R:R,'BRZSPbS-frgt-hdv-all'!$A:$A,About!$B$1)</f>
        <v>0</v>
      </c>
      <c r="V2">
        <f>SUMIFS('BRZSPbS-frgt-hdv-all'!S:S,'BRZSPbS-frgt-hdv-all'!$A:$A,About!$B$1)</f>
        <v>0</v>
      </c>
      <c r="W2">
        <f>SUMIFS('BRZSPbS-frgt-hdv-all'!T:T,'BRZSPbS-frgt-hdv-all'!$A:$A,About!$B$1)</f>
        <v>0</v>
      </c>
      <c r="X2">
        <f>SUMIFS('BRZSPbS-frgt-hdv-all'!U:U,'BRZSPbS-frgt-hdv-all'!$A:$A,About!$B$1)</f>
        <v>0</v>
      </c>
      <c r="Y2">
        <f>SUMIFS('BRZSPbS-frgt-hdv-all'!V:V,'BRZSPbS-frgt-hdv-all'!$A:$A,About!$B$1)</f>
        <v>0</v>
      </c>
      <c r="Z2">
        <f>SUMIFS('BRZSPbS-frgt-hdv-all'!W:W,'BRZSPbS-frgt-hdv-all'!$A:$A,About!$B$1)</f>
        <v>0</v>
      </c>
      <c r="AA2">
        <f>SUMIFS('BRZSPbS-frgt-hdv-all'!X:X,'BRZSPbS-frgt-hdv-all'!$A:$A,About!$B$1)</f>
        <v>0</v>
      </c>
      <c r="AB2">
        <f>SUMIFS('BRZSPbS-frgt-hdv-all'!Y:Y,'BRZSPbS-frgt-hdv-all'!$A:$A,About!$B$1)</f>
        <v>0</v>
      </c>
      <c r="AC2">
        <f>SUMIFS('BRZSPbS-frgt-hdv-all'!Z:Z,'BRZSPbS-frgt-hdv-all'!$A:$A,About!$B$1)</f>
        <v>0</v>
      </c>
      <c r="AD2">
        <f>SUMIFS('BRZSPbS-frgt-hdv-all'!AA:AA,'BRZSPbS-frgt-hdv-all'!$A:$A,About!$B$1)</f>
        <v>0</v>
      </c>
      <c r="AE2">
        <f>SUMIFS('BRZSPbS-frgt-hdv-all'!AB:AB,'BRZSPbS-frgt-hdv-all'!$A:$A,About!$B$1)</f>
        <v>0</v>
      </c>
      <c r="AF2">
        <f>SUMIFS('BRZSPbS-frgt-hdv-all'!AC:AC,'BRZSPbS-frgt-hdv-all'!$A:$A,About!$B$1)</f>
        <v>0</v>
      </c>
      <c r="AG2">
        <f>SUMIFS('BRZSPbS-frgt-hdv-all'!AD:AD,'BRZSPbS-frgt-hdv-all'!$A:$A,About!$B$1)</f>
        <v>0</v>
      </c>
      <c r="AH2">
        <f>SUMIFS('BRZSPbS-frgt-hdv-all'!AE:AE,'BRZSPbS-frgt-hdv-all'!$A:$A,About!$B$1)</f>
        <v>0</v>
      </c>
      <c r="AI2">
        <f>SUMIFS('BRZSPbS-frgt-hdv-all'!AF:AF,'BRZSPbS-frgt-hdv-all'!$A:$A,About!$B$1)</f>
        <v>0</v>
      </c>
      <c r="AJ2">
        <f>SUMIFS('BRZSPbS-frgt-hdv-all'!AG:AG,'BRZSPbS-frgt-hdv-all'!$A:$A,About!$B$1)</f>
        <v>0</v>
      </c>
      <c r="AK2">
        <f>SUMIFS('BRZSPbS-frgt-hdv-all'!AH:AH,'BRZSPbS-frgt-hdv-all'!$A:$A,About!$B$1)</f>
        <v>0</v>
      </c>
      <c r="AL2">
        <f>SUMIFS('BRZSPbS-frgt-hdv-all'!AI:AI,'BRZSPbS-frgt-hdv-all'!$A:$A,About!$B$1)</f>
        <v>0</v>
      </c>
      <c r="AM2">
        <f>SUMIFS('BRZSPbS-frgt-hdv-all'!AJ:AJ,'BRZSPbS-frgt-hdv-all'!$A:$A,About!$B$1)</f>
        <v>0</v>
      </c>
      <c r="AN2">
        <f>SUMIFS('BRZSPbS-frgt-hdv-all'!AK:AK,'BRZSPbS-frgt-hdv-all'!$A:$A,About!$B$1)</f>
        <v>0</v>
      </c>
      <c r="AO2">
        <f>SUMIFS('BRZSPbS-frgt-hdv-all'!AL:AL,'BRZSPbS-frgt-hdv-all'!$A:$A,About!$B$1)</f>
        <v>0</v>
      </c>
      <c r="AP2">
        <f>SUMIFS('BRZSPbS-frgt-hdv-all'!AM:AM,'BRZSPbS-frgt-hdv-all'!$A:$A,About!$B$1)</f>
        <v>0</v>
      </c>
    </row>
    <row r="3" spans="1:42" x14ac:dyDescent="0.25">
      <c r="A3" t="s">
        <v>161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180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190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200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210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60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180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190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200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210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60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180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190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200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210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60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180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190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200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210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60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3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4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5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6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7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8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9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10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11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12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13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14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15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16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17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18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19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20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21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22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23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24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25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26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27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28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29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30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31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32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33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34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35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36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37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38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39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40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41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42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43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44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45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46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47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48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49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50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51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52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53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54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55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56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57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58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59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60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61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2026-07-20T20:25:56Z</dcterms:modified>
</cp:coreProperties>
</file>