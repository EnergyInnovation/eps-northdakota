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trans\SYVbT\"/>
    </mc:Choice>
  </mc:AlternateContent>
  <xr:revisionPtr revIDLastSave="0" documentId="8_{9FF1E572-44FB-4BD3-9FC3-7B7B042B83A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9" l="1"/>
  <c r="K49" i="19"/>
  <c r="I49" i="19"/>
  <c r="H49" i="19"/>
  <c r="F49" i="19"/>
  <c r="E49" i="19"/>
  <c r="C49" i="5" s="1"/>
  <c r="D49" i="19"/>
  <c r="C49" i="19"/>
  <c r="B49" i="19"/>
  <c r="J49" i="19" s="1"/>
  <c r="D48" i="19"/>
  <c r="C48" i="19"/>
  <c r="B48" i="5" s="1"/>
  <c r="B48" i="19"/>
  <c r="B47" i="19"/>
  <c r="K46" i="19"/>
  <c r="H46" i="19"/>
  <c r="F46" i="19"/>
  <c r="C46" i="19"/>
  <c r="B46" i="19"/>
  <c r="E45" i="19"/>
  <c r="D45" i="19"/>
  <c r="F45" i="5" s="1"/>
  <c r="C45" i="19"/>
  <c r="B45" i="5" s="1"/>
  <c r="B45" i="19"/>
  <c r="B44" i="19"/>
  <c r="K44" i="19" s="1"/>
  <c r="K43" i="19"/>
  <c r="B43" i="19"/>
  <c r="K42" i="19"/>
  <c r="D42" i="19"/>
  <c r="F42" i="5" s="1"/>
  <c r="C42" i="19"/>
  <c r="B42" i="5" s="1"/>
  <c r="B42" i="19"/>
  <c r="K41" i="19"/>
  <c r="J41" i="19"/>
  <c r="I41" i="19"/>
  <c r="H41" i="19"/>
  <c r="F41" i="19"/>
  <c r="D41" i="19"/>
  <c r="C41" i="19"/>
  <c r="B41" i="19"/>
  <c r="E41" i="19" s="1"/>
  <c r="J40" i="19"/>
  <c r="I40" i="19"/>
  <c r="H40" i="19"/>
  <c r="F40" i="19"/>
  <c r="E40" i="19"/>
  <c r="B40" i="19"/>
  <c r="H39" i="19"/>
  <c r="F39" i="19"/>
  <c r="B39" i="19"/>
  <c r="K38" i="19"/>
  <c r="I38" i="19"/>
  <c r="H38" i="19"/>
  <c r="F38" i="19"/>
  <c r="E38" i="19"/>
  <c r="D38" i="19"/>
  <c r="C38" i="19"/>
  <c r="B38" i="19"/>
  <c r="J38" i="19" s="1"/>
  <c r="J37" i="19"/>
  <c r="B37" i="19"/>
  <c r="J36" i="19"/>
  <c r="I36" i="19"/>
  <c r="F36" i="19"/>
  <c r="E36" i="19"/>
  <c r="D36" i="19"/>
  <c r="C36" i="19"/>
  <c r="B36" i="19"/>
  <c r="F35" i="19"/>
  <c r="E35" i="19"/>
  <c r="B35" i="19"/>
  <c r="J34" i="19"/>
  <c r="B34" i="19"/>
  <c r="K33" i="19"/>
  <c r="J33" i="19"/>
  <c r="I33" i="19"/>
  <c r="F33" i="19"/>
  <c r="E33" i="19"/>
  <c r="D33" i="19"/>
  <c r="C33" i="19"/>
  <c r="B33" i="19"/>
  <c r="H33" i="19" s="1"/>
  <c r="K32" i="19"/>
  <c r="J32" i="19"/>
  <c r="I32" i="19"/>
  <c r="H32" i="19"/>
  <c r="F32" i="19"/>
  <c r="E32" i="19"/>
  <c r="C32" i="5" s="1"/>
  <c r="C32" i="19"/>
  <c r="B32" i="19"/>
  <c r="D32" i="19" s="1"/>
  <c r="C31" i="19"/>
  <c r="B31" i="19"/>
  <c r="K30" i="19"/>
  <c r="J30" i="19"/>
  <c r="I30" i="19"/>
  <c r="H30" i="5" s="1"/>
  <c r="H30" i="19"/>
  <c r="G30" i="5" s="1"/>
  <c r="F30" i="19"/>
  <c r="D30" i="19"/>
  <c r="C30" i="19"/>
  <c r="B30" i="19"/>
  <c r="E30" i="19" s="1"/>
  <c r="K29" i="19"/>
  <c r="J29" i="19"/>
  <c r="I29" i="19"/>
  <c r="H29" i="19"/>
  <c r="G29" i="5" s="1"/>
  <c r="F29" i="19"/>
  <c r="E29" i="19"/>
  <c r="C29" i="5" s="1"/>
  <c r="B29" i="19"/>
  <c r="H28" i="19"/>
  <c r="D28" i="19"/>
  <c r="B28" i="19"/>
  <c r="K27" i="19"/>
  <c r="J27" i="19"/>
  <c r="I27" i="19"/>
  <c r="H27" i="19"/>
  <c r="F27" i="19"/>
  <c r="E27" i="19"/>
  <c r="D27" i="19"/>
  <c r="C27" i="19"/>
  <c r="B27" i="19"/>
  <c r="B26" i="19"/>
  <c r="J25" i="19"/>
  <c r="I25" i="19"/>
  <c r="D25" i="19"/>
  <c r="C25" i="19"/>
  <c r="B25" i="19"/>
  <c r="H24" i="19"/>
  <c r="B24" i="19"/>
  <c r="C23" i="19"/>
  <c r="B23" i="5" s="1"/>
  <c r="B23" i="19"/>
  <c r="K22" i="19"/>
  <c r="F22" i="19"/>
  <c r="E22" i="19"/>
  <c r="D22" i="19"/>
  <c r="C22" i="19"/>
  <c r="B22" i="19"/>
  <c r="B21" i="19"/>
  <c r="K20" i="19"/>
  <c r="J20" i="19"/>
  <c r="I20" i="19"/>
  <c r="H20" i="19"/>
  <c r="D20" i="19"/>
  <c r="C20" i="19"/>
  <c r="B20" i="19"/>
  <c r="K19" i="19"/>
  <c r="J19" i="19"/>
  <c r="I19" i="19"/>
  <c r="H19" i="19"/>
  <c r="G19" i="5" s="1"/>
  <c r="F19" i="19"/>
  <c r="D19" i="19"/>
  <c r="C19" i="19"/>
  <c r="B19" i="19"/>
  <c r="E19" i="19" s="1"/>
  <c r="K18" i="19"/>
  <c r="J18" i="19"/>
  <c r="I18" i="19"/>
  <c r="H18" i="19"/>
  <c r="F18" i="19"/>
  <c r="E18" i="19"/>
  <c r="B18" i="19"/>
  <c r="H17" i="19"/>
  <c r="E17" i="19"/>
  <c r="C17" i="5" s="1"/>
  <c r="D17" i="19"/>
  <c r="F17" i="5" s="1"/>
  <c r="B17" i="19"/>
  <c r="K16" i="19"/>
  <c r="J16" i="19"/>
  <c r="I16" i="19"/>
  <c r="H16" i="19"/>
  <c r="F16" i="19"/>
  <c r="E16" i="19"/>
  <c r="D16" i="19"/>
  <c r="F16" i="5" s="1"/>
  <c r="C16" i="19"/>
  <c r="B16" i="19"/>
  <c r="J15" i="19"/>
  <c r="I15" i="19"/>
  <c r="H15" i="19"/>
  <c r="G15" i="5" s="1"/>
  <c r="F15" i="19"/>
  <c r="E15" i="19"/>
  <c r="D15" i="19"/>
  <c r="C15" i="19"/>
  <c r="B15" i="19"/>
  <c r="K15" i="19" s="1"/>
  <c r="J14" i="19"/>
  <c r="B14" i="19"/>
  <c r="K13" i="19"/>
  <c r="H13" i="19"/>
  <c r="G13" i="5" s="1"/>
  <c r="F13" i="19"/>
  <c r="E13" i="19"/>
  <c r="C13" i="5" s="1"/>
  <c r="D13" i="19"/>
  <c r="C13" i="19"/>
  <c r="B13" i="5" s="1"/>
  <c r="B13" i="19"/>
  <c r="K12" i="19"/>
  <c r="J12" i="19"/>
  <c r="H12" i="19"/>
  <c r="C12" i="19"/>
  <c r="B12" i="19"/>
  <c r="I11" i="19"/>
  <c r="H11" i="5" s="1"/>
  <c r="F11" i="19"/>
  <c r="B11" i="19"/>
  <c r="I10" i="19"/>
  <c r="H10" i="19"/>
  <c r="B10" i="19"/>
  <c r="E10" i="19" s="1"/>
  <c r="C10" i="5" s="1"/>
  <c r="K9" i="19"/>
  <c r="J9" i="19"/>
  <c r="D9" i="19"/>
  <c r="C9" i="19"/>
  <c r="B9" i="5" s="1"/>
  <c r="B9" i="19"/>
  <c r="K8" i="19"/>
  <c r="J8" i="19"/>
  <c r="I8" i="19"/>
  <c r="H8" i="19"/>
  <c r="F8" i="19"/>
  <c r="D8" i="19"/>
  <c r="C8" i="19"/>
  <c r="B8" i="19"/>
  <c r="E8" i="19" s="1"/>
  <c r="K7" i="19"/>
  <c r="J7" i="19"/>
  <c r="I7" i="19"/>
  <c r="H7" i="5" s="1"/>
  <c r="H7" i="19"/>
  <c r="F7" i="19"/>
  <c r="E7" i="19"/>
  <c r="B7" i="19"/>
  <c r="J6" i="19"/>
  <c r="I6" i="19"/>
  <c r="H6" i="19"/>
  <c r="G6" i="5" s="1"/>
  <c r="B6" i="19"/>
  <c r="K5" i="19"/>
  <c r="J5" i="19"/>
  <c r="I5" i="19"/>
  <c r="H5" i="19"/>
  <c r="F5" i="19"/>
  <c r="E5" i="19"/>
  <c r="D5" i="19"/>
  <c r="F5" i="5" s="1"/>
  <c r="C5" i="19"/>
  <c r="B5" i="19"/>
  <c r="J4" i="19"/>
  <c r="I4" i="19"/>
  <c r="H4" i="5" s="1"/>
  <c r="F4" i="19"/>
  <c r="E4" i="19"/>
  <c r="C4" i="19"/>
  <c r="B4" i="5" s="1"/>
  <c r="B4" i="19"/>
  <c r="J3" i="19"/>
  <c r="D3" i="19"/>
  <c r="B3" i="19"/>
  <c r="I13" i="18"/>
  <c r="H13" i="18"/>
  <c r="G52" i="16" s="1"/>
  <c r="G13" i="18"/>
  <c r="F13" i="18"/>
  <c r="E13" i="18"/>
  <c r="D13" i="18"/>
  <c r="C13" i="18"/>
  <c r="I12" i="18"/>
  <c r="H12" i="18"/>
  <c r="G12" i="18"/>
  <c r="F12" i="18"/>
  <c r="E12" i="18"/>
  <c r="D52" i="15" s="1"/>
  <c r="D12" i="18"/>
  <c r="C12" i="18"/>
  <c r="I11" i="18"/>
  <c r="H11" i="18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C9" i="18"/>
  <c r="I8" i="18"/>
  <c r="H8" i="18"/>
  <c r="G8" i="18"/>
  <c r="F8" i="18"/>
  <c r="E8" i="18"/>
  <c r="D8" i="18"/>
  <c r="C8" i="18"/>
  <c r="I7" i="18"/>
  <c r="H7" i="18"/>
  <c r="G7" i="18"/>
  <c r="F7" i="18"/>
  <c r="H21" i="10" s="1"/>
  <c r="E7" i="18"/>
  <c r="D7" i="18"/>
  <c r="C7" i="18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S49" i="17"/>
  <c r="R49" i="17"/>
  <c r="Q49" i="17"/>
  <c r="N49" i="17"/>
  <c r="M49" i="17"/>
  <c r="L49" i="17"/>
  <c r="K49" i="17"/>
  <c r="J49" i="17"/>
  <c r="I49" i="17"/>
  <c r="H49" i="17"/>
  <c r="C6" i="7" s="1"/>
  <c r="G49" i="17"/>
  <c r="F49" i="17"/>
  <c r="D49" i="17"/>
  <c r="C49" i="17"/>
  <c r="O49" i="17" s="1"/>
  <c r="B49" i="17"/>
  <c r="E49" i="17" s="1"/>
  <c r="N48" i="17"/>
  <c r="M48" i="17"/>
  <c r="L48" i="17"/>
  <c r="K48" i="17"/>
  <c r="J48" i="17"/>
  <c r="I48" i="17"/>
  <c r="H48" i="17"/>
  <c r="F48" i="17"/>
  <c r="E48" i="17"/>
  <c r="B48" i="17"/>
  <c r="N47" i="17"/>
  <c r="M47" i="17"/>
  <c r="L47" i="17"/>
  <c r="K47" i="17"/>
  <c r="J47" i="17"/>
  <c r="I47" i="17"/>
  <c r="H47" i="17"/>
  <c r="B47" i="17"/>
  <c r="N46" i="17"/>
  <c r="M46" i="17"/>
  <c r="L46" i="17"/>
  <c r="K46" i="17"/>
  <c r="J46" i="17"/>
  <c r="I46" i="17"/>
  <c r="H46" i="17"/>
  <c r="G46" i="17"/>
  <c r="F46" i="17"/>
  <c r="E46" i="17"/>
  <c r="B46" i="17"/>
  <c r="P45" i="17"/>
  <c r="N45" i="17"/>
  <c r="M45" i="17"/>
  <c r="L45" i="17"/>
  <c r="K45" i="17"/>
  <c r="J45" i="17"/>
  <c r="I45" i="17"/>
  <c r="H45" i="17"/>
  <c r="G45" i="17"/>
  <c r="F45" i="17"/>
  <c r="F46" i="10" s="1"/>
  <c r="E45" i="17"/>
  <c r="D45" i="17"/>
  <c r="C45" i="17"/>
  <c r="B45" i="17"/>
  <c r="S44" i="17"/>
  <c r="O44" i="17"/>
  <c r="N44" i="17"/>
  <c r="M44" i="17"/>
  <c r="L44" i="17"/>
  <c r="K44" i="17"/>
  <c r="J44" i="17"/>
  <c r="I44" i="17"/>
  <c r="G26" i="13" s="1"/>
  <c r="H44" i="17"/>
  <c r="F44" i="17"/>
  <c r="E44" i="17"/>
  <c r="C44" i="17"/>
  <c r="B44" i="17"/>
  <c r="N43" i="17"/>
  <c r="M43" i="17"/>
  <c r="L43" i="17"/>
  <c r="K43" i="17"/>
  <c r="B44" i="8" s="1"/>
  <c r="J43" i="17"/>
  <c r="I43" i="17"/>
  <c r="H43" i="17"/>
  <c r="G43" i="17"/>
  <c r="B43" i="17"/>
  <c r="D43" i="17" s="1"/>
  <c r="N42" i="17"/>
  <c r="M42" i="17"/>
  <c r="L42" i="17"/>
  <c r="K42" i="17"/>
  <c r="J42" i="17"/>
  <c r="I42" i="17"/>
  <c r="H42" i="17"/>
  <c r="G42" i="17"/>
  <c r="C42" i="17"/>
  <c r="B42" i="17"/>
  <c r="N41" i="17"/>
  <c r="M41" i="17"/>
  <c r="L41" i="17"/>
  <c r="K41" i="17"/>
  <c r="J41" i="17"/>
  <c r="I41" i="17"/>
  <c r="H41" i="17"/>
  <c r="B41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O40" i="17" s="1"/>
  <c r="B40" i="17"/>
  <c r="N39" i="17"/>
  <c r="M39" i="17"/>
  <c r="L39" i="17"/>
  <c r="K39" i="17"/>
  <c r="J39" i="17"/>
  <c r="I39" i="17"/>
  <c r="H39" i="17"/>
  <c r="E39" i="17"/>
  <c r="D39" i="17"/>
  <c r="F40" i="6" s="1"/>
  <c r="C39" i="17"/>
  <c r="O39" i="17" s="1"/>
  <c r="B39" i="17"/>
  <c r="N38" i="17"/>
  <c r="M38" i="17"/>
  <c r="L38" i="17"/>
  <c r="K38" i="17"/>
  <c r="J38" i="17"/>
  <c r="I38" i="17"/>
  <c r="H38" i="17"/>
  <c r="G38" i="17"/>
  <c r="D38" i="17"/>
  <c r="B38" i="17"/>
  <c r="R37" i="17"/>
  <c r="Q37" i="17"/>
  <c r="P37" i="17"/>
  <c r="N37" i="17"/>
  <c r="M37" i="17"/>
  <c r="L37" i="17"/>
  <c r="K37" i="17"/>
  <c r="J37" i="17"/>
  <c r="I37" i="17"/>
  <c r="F38" i="13" s="1"/>
  <c r="H37" i="17"/>
  <c r="G37" i="17"/>
  <c r="F37" i="17"/>
  <c r="E37" i="17"/>
  <c r="E38" i="11" s="1"/>
  <c r="D37" i="17"/>
  <c r="B37" i="17"/>
  <c r="P36" i="17"/>
  <c r="N36" i="17"/>
  <c r="M36" i="17"/>
  <c r="L36" i="17"/>
  <c r="K36" i="17"/>
  <c r="J36" i="17"/>
  <c r="I36" i="17"/>
  <c r="H36" i="17"/>
  <c r="E36" i="17"/>
  <c r="G37" i="12" s="1"/>
  <c r="D36" i="17"/>
  <c r="B36" i="17"/>
  <c r="N35" i="17"/>
  <c r="M35" i="17"/>
  <c r="L35" i="17"/>
  <c r="K35" i="17"/>
  <c r="J35" i="17"/>
  <c r="I35" i="17"/>
  <c r="H35" i="17"/>
  <c r="E35" i="17"/>
  <c r="B35" i="17"/>
  <c r="N34" i="17"/>
  <c r="M34" i="17"/>
  <c r="L34" i="17"/>
  <c r="K34" i="17"/>
  <c r="J34" i="17"/>
  <c r="I34" i="17"/>
  <c r="F47" i="13" s="1"/>
  <c r="H34" i="17"/>
  <c r="B34" i="17"/>
  <c r="N33" i="17"/>
  <c r="M33" i="17"/>
  <c r="L33" i="17"/>
  <c r="K33" i="17"/>
  <c r="J33" i="17"/>
  <c r="I33" i="17"/>
  <c r="H33" i="17"/>
  <c r="F33" i="17"/>
  <c r="S33" i="17" s="1"/>
  <c r="B33" i="17"/>
  <c r="N32" i="17"/>
  <c r="M32" i="17"/>
  <c r="L32" i="17"/>
  <c r="K32" i="17"/>
  <c r="J32" i="17"/>
  <c r="I32" i="17"/>
  <c r="H32" i="17"/>
  <c r="E17" i="7" s="1"/>
  <c r="G32" i="17"/>
  <c r="F32" i="17"/>
  <c r="E32" i="17"/>
  <c r="F33" i="12" s="1"/>
  <c r="B32" i="17"/>
  <c r="C32" i="17" s="1"/>
  <c r="N31" i="17"/>
  <c r="M31" i="17"/>
  <c r="L31" i="17"/>
  <c r="K31" i="17"/>
  <c r="J31" i="17"/>
  <c r="I31" i="17"/>
  <c r="H31" i="17"/>
  <c r="B31" i="17"/>
  <c r="N30" i="17"/>
  <c r="M30" i="17"/>
  <c r="L30" i="17"/>
  <c r="F19" i="14" s="1"/>
  <c r="K30" i="17"/>
  <c r="J30" i="17"/>
  <c r="I30" i="17"/>
  <c r="H30" i="17"/>
  <c r="B30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N28" i="17"/>
  <c r="M28" i="17"/>
  <c r="L28" i="17"/>
  <c r="K28" i="17"/>
  <c r="J28" i="17"/>
  <c r="I28" i="17"/>
  <c r="H28" i="17"/>
  <c r="B28" i="17"/>
  <c r="C28" i="17" s="1"/>
  <c r="N27" i="17"/>
  <c r="M27" i="17"/>
  <c r="L27" i="17"/>
  <c r="K27" i="17"/>
  <c r="J27" i="17"/>
  <c r="I27" i="17"/>
  <c r="H27" i="17"/>
  <c r="G27" i="17"/>
  <c r="B27" i="17"/>
  <c r="R26" i="17"/>
  <c r="Q26" i="17"/>
  <c r="N26" i="17"/>
  <c r="M26" i="17"/>
  <c r="L26" i="17"/>
  <c r="K26" i="17"/>
  <c r="J26" i="17"/>
  <c r="I26" i="17"/>
  <c r="H26" i="17"/>
  <c r="F26" i="17"/>
  <c r="E26" i="17"/>
  <c r="F27" i="11" s="1"/>
  <c r="D26" i="17"/>
  <c r="B26" i="17"/>
  <c r="N25" i="17"/>
  <c r="M25" i="17"/>
  <c r="L25" i="17"/>
  <c r="K25" i="17"/>
  <c r="J25" i="17"/>
  <c r="I25" i="17"/>
  <c r="H25" i="17"/>
  <c r="F25" i="17"/>
  <c r="B25" i="17"/>
  <c r="N24" i="17"/>
  <c r="M24" i="17"/>
  <c r="L24" i="17"/>
  <c r="K24" i="17"/>
  <c r="J24" i="17"/>
  <c r="I24" i="17"/>
  <c r="H24" i="17"/>
  <c r="B24" i="17"/>
  <c r="P23" i="17"/>
  <c r="N23" i="17"/>
  <c r="F30" i="15" s="1"/>
  <c r="M23" i="17"/>
  <c r="L23" i="17"/>
  <c r="K23" i="17"/>
  <c r="J23" i="17"/>
  <c r="I23" i="17"/>
  <c r="H23" i="17"/>
  <c r="F23" i="17"/>
  <c r="S23" i="17" s="1"/>
  <c r="E23" i="17"/>
  <c r="D23" i="17"/>
  <c r="C23" i="17"/>
  <c r="O23" i="17" s="1"/>
  <c r="B23" i="17"/>
  <c r="G23" i="17" s="1"/>
  <c r="N22" i="17"/>
  <c r="M22" i="17"/>
  <c r="L22" i="17"/>
  <c r="K22" i="17"/>
  <c r="J22" i="17"/>
  <c r="I22" i="17"/>
  <c r="H22" i="17"/>
  <c r="B22" i="17"/>
  <c r="N21" i="17"/>
  <c r="M21" i="17"/>
  <c r="L21" i="17"/>
  <c r="K21" i="17"/>
  <c r="J21" i="17"/>
  <c r="I21" i="17"/>
  <c r="H21" i="17"/>
  <c r="B21" i="17"/>
  <c r="S20" i="17"/>
  <c r="N20" i="17"/>
  <c r="M20" i="17"/>
  <c r="L20" i="17"/>
  <c r="K20" i="17"/>
  <c r="J20" i="17"/>
  <c r="I20" i="17"/>
  <c r="H20" i="17"/>
  <c r="G20" i="17"/>
  <c r="F20" i="17"/>
  <c r="B20" i="17"/>
  <c r="A21" i="10" s="1"/>
  <c r="N19" i="17"/>
  <c r="M19" i="17"/>
  <c r="L19" i="17"/>
  <c r="K19" i="17"/>
  <c r="J19" i="17"/>
  <c r="I19" i="17"/>
  <c r="H19" i="17"/>
  <c r="G19" i="17"/>
  <c r="B19" i="17"/>
  <c r="S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P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8" i="16" s="1"/>
  <c r="R16" i="17"/>
  <c r="Q16" i="17"/>
  <c r="N16" i="17"/>
  <c r="M16" i="17"/>
  <c r="L16" i="17"/>
  <c r="K16" i="17"/>
  <c r="J16" i="17"/>
  <c r="I16" i="17"/>
  <c r="H16" i="17"/>
  <c r="G16" i="17"/>
  <c r="F16" i="17"/>
  <c r="D16" i="17"/>
  <c r="C16" i="17"/>
  <c r="O16" i="17" s="1"/>
  <c r="B16" i="17"/>
  <c r="E16" i="17" s="1"/>
  <c r="N15" i="17"/>
  <c r="D22" i="15" s="1"/>
  <c r="M15" i="17"/>
  <c r="L15" i="17"/>
  <c r="K15" i="17"/>
  <c r="J15" i="17"/>
  <c r="I15" i="17"/>
  <c r="H15" i="17"/>
  <c r="B15" i="17"/>
  <c r="P14" i="17"/>
  <c r="N14" i="17"/>
  <c r="M14" i="17"/>
  <c r="L14" i="17"/>
  <c r="K14" i="17"/>
  <c r="J14" i="17"/>
  <c r="I14" i="17"/>
  <c r="H14" i="17"/>
  <c r="F14" i="17"/>
  <c r="E14" i="17"/>
  <c r="D14" i="17"/>
  <c r="C14" i="17"/>
  <c r="B14" i="17"/>
  <c r="N13" i="17"/>
  <c r="M13" i="17"/>
  <c r="L13" i="17"/>
  <c r="K13" i="17"/>
  <c r="J13" i="17"/>
  <c r="I13" i="17"/>
  <c r="H13" i="17"/>
  <c r="B13" i="17"/>
  <c r="N12" i="17"/>
  <c r="M12" i="17"/>
  <c r="L12" i="17"/>
  <c r="K12" i="17"/>
  <c r="J12" i="17"/>
  <c r="I12" i="17"/>
  <c r="H12" i="17"/>
  <c r="C12" i="17"/>
  <c r="B12" i="17"/>
  <c r="N11" i="17"/>
  <c r="M11" i="17"/>
  <c r="L11" i="17"/>
  <c r="K11" i="17"/>
  <c r="J11" i="17"/>
  <c r="I11" i="17"/>
  <c r="H11" i="17"/>
  <c r="B11" i="17"/>
  <c r="N10" i="17"/>
  <c r="M10" i="17"/>
  <c r="L10" i="17"/>
  <c r="K10" i="17"/>
  <c r="J10" i="17"/>
  <c r="I10" i="17"/>
  <c r="H10" i="17"/>
  <c r="B10" i="17"/>
  <c r="A11" i="5" s="1"/>
  <c r="S9" i="17"/>
  <c r="R9" i="17"/>
  <c r="N9" i="17"/>
  <c r="M9" i="17"/>
  <c r="L9" i="17"/>
  <c r="K9" i="17"/>
  <c r="J9" i="17"/>
  <c r="I9" i="17"/>
  <c r="H9" i="17"/>
  <c r="G9" i="17"/>
  <c r="F9" i="17"/>
  <c r="E9" i="17"/>
  <c r="D9" i="17"/>
  <c r="P9" i="17" s="1"/>
  <c r="C9" i="17"/>
  <c r="B9" i="17"/>
  <c r="N8" i="17"/>
  <c r="M8" i="17"/>
  <c r="L8" i="17"/>
  <c r="K8" i="17"/>
  <c r="J8" i="17"/>
  <c r="I8" i="17"/>
  <c r="H8" i="17"/>
  <c r="B8" i="17"/>
  <c r="P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N6" i="17"/>
  <c r="M6" i="17"/>
  <c r="C7" i="9" s="1"/>
  <c r="L6" i="17"/>
  <c r="K6" i="17"/>
  <c r="J6" i="17"/>
  <c r="I6" i="17"/>
  <c r="H6" i="17"/>
  <c r="E6" i="17"/>
  <c r="G7" i="11" s="1"/>
  <c r="D6" i="17"/>
  <c r="C6" i="17"/>
  <c r="B6" i="17"/>
  <c r="R5" i="17"/>
  <c r="N5" i="17"/>
  <c r="M5" i="17"/>
  <c r="L5" i="17"/>
  <c r="D26" i="14" s="1"/>
  <c r="K5" i="17"/>
  <c r="B50" i="8" s="1"/>
  <c r="J5" i="17"/>
  <c r="I5" i="17"/>
  <c r="H5" i="17"/>
  <c r="G5" i="17"/>
  <c r="F5" i="17"/>
  <c r="D5" i="17"/>
  <c r="C5" i="17"/>
  <c r="O5" i="17" s="1"/>
  <c r="B5" i="17"/>
  <c r="E5" i="17" s="1"/>
  <c r="N4" i="17"/>
  <c r="M4" i="17"/>
  <c r="B36" i="9" s="1"/>
  <c r="L4" i="17"/>
  <c r="K4" i="17"/>
  <c r="J4" i="17"/>
  <c r="I4" i="17"/>
  <c r="H4" i="17"/>
  <c r="D4" i="17"/>
  <c r="B4" i="17"/>
  <c r="N3" i="17"/>
  <c r="M3" i="17"/>
  <c r="L3" i="17"/>
  <c r="K3" i="17"/>
  <c r="J3" i="17"/>
  <c r="I3" i="17"/>
  <c r="H3" i="17"/>
  <c r="B3" i="17"/>
  <c r="S2" i="17"/>
  <c r="R2" i="17"/>
  <c r="Q2" i="17"/>
  <c r="N2" i="17"/>
  <c r="M2" i="17"/>
  <c r="L2" i="17"/>
  <c r="K2" i="17"/>
  <c r="J2" i="17"/>
  <c r="I2" i="17"/>
  <c r="H2" i="17"/>
  <c r="G2" i="17"/>
  <c r="F2" i="17"/>
  <c r="E2" i="17"/>
  <c r="B2" i="17"/>
  <c r="H52" i="16"/>
  <c r="F52" i="16"/>
  <c r="E52" i="16"/>
  <c r="D52" i="16"/>
  <c r="C52" i="16"/>
  <c r="B52" i="16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A45" i="16"/>
  <c r="H44" i="16"/>
  <c r="G44" i="16"/>
  <c r="F44" i="16"/>
  <c r="E44" i="16"/>
  <c r="D44" i="16"/>
  <c r="C44" i="16"/>
  <c r="B44" i="16"/>
  <c r="A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A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H38" i="16"/>
  <c r="G38" i="16"/>
  <c r="F38" i="16"/>
  <c r="E38" i="16"/>
  <c r="D38" i="16"/>
  <c r="C38" i="16"/>
  <c r="B38" i="16"/>
  <c r="A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A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A30" i="16"/>
  <c r="H29" i="16"/>
  <c r="G29" i="16"/>
  <c r="F29" i="16"/>
  <c r="E29" i="16"/>
  <c r="D29" i="16"/>
  <c r="C29" i="16"/>
  <c r="B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A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A19" i="16"/>
  <c r="H18" i="16"/>
  <c r="G18" i="16"/>
  <c r="F18" i="16"/>
  <c r="E18" i="16"/>
  <c r="D18" i="16"/>
  <c r="C18" i="16"/>
  <c r="B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H14" i="16"/>
  <c r="G14" i="16"/>
  <c r="F14" i="16"/>
  <c r="E14" i="16"/>
  <c r="D14" i="16"/>
  <c r="C14" i="16"/>
  <c r="B14" i="16"/>
  <c r="A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A10" i="16"/>
  <c r="H9" i="16"/>
  <c r="G9" i="16"/>
  <c r="F9" i="16"/>
  <c r="E9" i="16"/>
  <c r="D9" i="16"/>
  <c r="C9" i="16"/>
  <c r="B9" i="16"/>
  <c r="H8" i="16"/>
  <c r="G8" i="16"/>
  <c r="F8" i="16"/>
  <c r="E8" i="16"/>
  <c r="D8" i="16"/>
  <c r="C8" i="16"/>
  <c r="B8" i="16"/>
  <c r="A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A3" i="16"/>
  <c r="G52" i="15"/>
  <c r="C52" i="15"/>
  <c r="B52" i="15"/>
  <c r="A50" i="15"/>
  <c r="A49" i="15"/>
  <c r="A46" i="15"/>
  <c r="A45" i="15"/>
  <c r="A42" i="15"/>
  <c r="A41" i="15"/>
  <c r="A39" i="15"/>
  <c r="A38" i="15"/>
  <c r="B35" i="15"/>
  <c r="A33" i="15"/>
  <c r="A32" i="15"/>
  <c r="A30" i="15"/>
  <c r="A27" i="15"/>
  <c r="A26" i="15"/>
  <c r="A24" i="15"/>
  <c r="A22" i="15"/>
  <c r="A20" i="15"/>
  <c r="A19" i="15"/>
  <c r="A18" i="15"/>
  <c r="A17" i="15"/>
  <c r="A15" i="15"/>
  <c r="A14" i="15"/>
  <c r="A10" i="15"/>
  <c r="A8" i="15"/>
  <c r="A6" i="15"/>
  <c r="A5" i="15"/>
  <c r="A3" i="15"/>
  <c r="G52" i="14"/>
  <c r="F52" i="14"/>
  <c r="E52" i="14"/>
  <c r="D52" i="14"/>
  <c r="C52" i="14"/>
  <c r="B52" i="14"/>
  <c r="A50" i="14"/>
  <c r="A49" i="14"/>
  <c r="G48" i="14"/>
  <c r="A46" i="14"/>
  <c r="A42" i="14"/>
  <c r="A41" i="14"/>
  <c r="A40" i="14"/>
  <c r="A39" i="14"/>
  <c r="A38" i="14"/>
  <c r="A37" i="14"/>
  <c r="A36" i="14"/>
  <c r="A35" i="14"/>
  <c r="A33" i="14"/>
  <c r="H30" i="14"/>
  <c r="A30" i="14"/>
  <c r="A24" i="14"/>
  <c r="A21" i="14"/>
  <c r="A20" i="14"/>
  <c r="A19" i="14"/>
  <c r="A18" i="14"/>
  <c r="A17" i="14"/>
  <c r="A15" i="14"/>
  <c r="A14" i="14"/>
  <c r="D11" i="14"/>
  <c r="A10" i="14"/>
  <c r="A8" i="14"/>
  <c r="A6" i="14"/>
  <c r="A3" i="14"/>
  <c r="H52" i="13"/>
  <c r="G52" i="13"/>
  <c r="E52" i="13"/>
  <c r="D52" i="13"/>
  <c r="C52" i="13"/>
  <c r="B52" i="13"/>
  <c r="A50" i="13"/>
  <c r="A49" i="13"/>
  <c r="A47" i="13"/>
  <c r="A46" i="13"/>
  <c r="A45" i="13"/>
  <c r="A44" i="13"/>
  <c r="A42" i="13"/>
  <c r="A41" i="13"/>
  <c r="A39" i="13"/>
  <c r="A37" i="13"/>
  <c r="G36" i="13"/>
  <c r="A36" i="13"/>
  <c r="A34" i="13"/>
  <c r="A33" i="13"/>
  <c r="A32" i="13"/>
  <c r="A31" i="13"/>
  <c r="A30" i="13"/>
  <c r="A28" i="13"/>
  <c r="A27" i="13"/>
  <c r="F25" i="13"/>
  <c r="E25" i="13"/>
  <c r="A24" i="13"/>
  <c r="A21" i="13"/>
  <c r="A20" i="13"/>
  <c r="A19" i="13"/>
  <c r="A18" i="13"/>
  <c r="A17" i="13"/>
  <c r="A14" i="13"/>
  <c r="A13" i="13"/>
  <c r="A10" i="13"/>
  <c r="A8" i="13"/>
  <c r="H7" i="13"/>
  <c r="G7" i="13"/>
  <c r="A7" i="13"/>
  <c r="A6" i="13"/>
  <c r="A5" i="13"/>
  <c r="A4" i="13"/>
  <c r="A3" i="13"/>
  <c r="H52" i="12"/>
  <c r="F52" i="12"/>
  <c r="E52" i="12"/>
  <c r="D52" i="12"/>
  <c r="C52" i="12"/>
  <c r="B52" i="12"/>
  <c r="F50" i="12"/>
  <c r="E50" i="12"/>
  <c r="D50" i="12"/>
  <c r="A50" i="12"/>
  <c r="H49" i="12"/>
  <c r="B49" i="12"/>
  <c r="A48" i="12"/>
  <c r="H47" i="12"/>
  <c r="C47" i="12"/>
  <c r="B47" i="12"/>
  <c r="A47" i="12"/>
  <c r="A46" i="12"/>
  <c r="H45" i="12"/>
  <c r="A45" i="12"/>
  <c r="A44" i="12"/>
  <c r="A43" i="12"/>
  <c r="A42" i="12"/>
  <c r="D41" i="12"/>
  <c r="C41" i="12"/>
  <c r="B41" i="12"/>
  <c r="A41" i="12"/>
  <c r="A39" i="12"/>
  <c r="H38" i="12"/>
  <c r="G38" i="12"/>
  <c r="C38" i="12"/>
  <c r="H37" i="12"/>
  <c r="F37" i="12"/>
  <c r="A36" i="12"/>
  <c r="E33" i="12"/>
  <c r="B33" i="12"/>
  <c r="A33" i="12"/>
  <c r="F30" i="12"/>
  <c r="E30" i="12"/>
  <c r="D30" i="12"/>
  <c r="C30" i="12"/>
  <c r="A30" i="12"/>
  <c r="A28" i="12"/>
  <c r="C27" i="12"/>
  <c r="B27" i="12"/>
  <c r="A26" i="12"/>
  <c r="A25" i="12"/>
  <c r="G24" i="12"/>
  <c r="D24" i="12"/>
  <c r="A24" i="12"/>
  <c r="A23" i="12"/>
  <c r="A21" i="12"/>
  <c r="A20" i="12"/>
  <c r="A19" i="12"/>
  <c r="E18" i="12"/>
  <c r="D18" i="12"/>
  <c r="C18" i="12"/>
  <c r="B18" i="12"/>
  <c r="A18" i="12"/>
  <c r="H17" i="12"/>
  <c r="G17" i="12"/>
  <c r="E17" i="12"/>
  <c r="D17" i="12"/>
  <c r="A17" i="12"/>
  <c r="H15" i="12"/>
  <c r="A15" i="12"/>
  <c r="A14" i="12"/>
  <c r="H10" i="12"/>
  <c r="A10" i="12"/>
  <c r="H8" i="12"/>
  <c r="A8" i="12"/>
  <c r="H6" i="12"/>
  <c r="G6" i="12"/>
  <c r="F6" i="12"/>
  <c r="A6" i="12"/>
  <c r="C3" i="12"/>
  <c r="B3" i="12"/>
  <c r="A3" i="12"/>
  <c r="H52" i="11"/>
  <c r="G52" i="11"/>
  <c r="F52" i="11"/>
  <c r="E52" i="11"/>
  <c r="D52" i="11"/>
  <c r="C52" i="11"/>
  <c r="B52" i="11"/>
  <c r="H50" i="11"/>
  <c r="A50" i="11"/>
  <c r="F49" i="11"/>
  <c r="E49" i="11"/>
  <c r="D49" i="11"/>
  <c r="C49" i="11"/>
  <c r="B49" i="11"/>
  <c r="A49" i="11"/>
  <c r="A48" i="11"/>
  <c r="H47" i="11"/>
  <c r="E47" i="11"/>
  <c r="C47" i="11"/>
  <c r="A47" i="11"/>
  <c r="A46" i="11"/>
  <c r="G45" i="11"/>
  <c r="F45" i="11"/>
  <c r="A45" i="11"/>
  <c r="A44" i="11"/>
  <c r="A43" i="11"/>
  <c r="A42" i="11"/>
  <c r="F41" i="11"/>
  <c r="E41" i="11"/>
  <c r="C41" i="11"/>
  <c r="B41" i="11"/>
  <c r="A41" i="11"/>
  <c r="B40" i="11"/>
  <c r="A39" i="11"/>
  <c r="B38" i="11"/>
  <c r="A38" i="11"/>
  <c r="H37" i="11"/>
  <c r="G37" i="11"/>
  <c r="B37" i="11"/>
  <c r="A36" i="11"/>
  <c r="A35" i="11"/>
  <c r="A34" i="11"/>
  <c r="A33" i="11"/>
  <c r="A32" i="11"/>
  <c r="G30" i="11"/>
  <c r="F30" i="11"/>
  <c r="C30" i="11"/>
  <c r="B30" i="11"/>
  <c r="A30" i="11"/>
  <c r="A28" i="11"/>
  <c r="C27" i="11"/>
  <c r="B27" i="11"/>
  <c r="A26" i="11"/>
  <c r="A25" i="11"/>
  <c r="H24" i="11"/>
  <c r="D24" i="11"/>
  <c r="A24" i="11"/>
  <c r="A21" i="11"/>
  <c r="A20" i="11"/>
  <c r="B19" i="11"/>
  <c r="A19" i="11"/>
  <c r="H18" i="11"/>
  <c r="G18" i="11"/>
  <c r="F18" i="11"/>
  <c r="E18" i="11"/>
  <c r="A18" i="11"/>
  <c r="E17" i="11"/>
  <c r="D17" i="11"/>
  <c r="C17" i="11"/>
  <c r="A17" i="11"/>
  <c r="A15" i="11"/>
  <c r="A14" i="11"/>
  <c r="G10" i="11"/>
  <c r="F10" i="11"/>
  <c r="E10" i="11"/>
  <c r="D10" i="11"/>
  <c r="B10" i="11"/>
  <c r="A10" i="11"/>
  <c r="A8" i="11"/>
  <c r="E7" i="11"/>
  <c r="D7" i="11"/>
  <c r="C7" i="11"/>
  <c r="B7" i="11"/>
  <c r="A7" i="11"/>
  <c r="A6" i="11"/>
  <c r="A5" i="11"/>
  <c r="H3" i="11"/>
  <c r="E3" i="11"/>
  <c r="A3" i="11"/>
  <c r="H52" i="10"/>
  <c r="G52" i="10"/>
  <c r="F52" i="10"/>
  <c r="E52" i="10"/>
  <c r="D52" i="10"/>
  <c r="C52" i="10"/>
  <c r="B52" i="10"/>
  <c r="A50" i="10"/>
  <c r="C49" i="10"/>
  <c r="A49" i="10"/>
  <c r="A48" i="10"/>
  <c r="A47" i="10"/>
  <c r="A46" i="10"/>
  <c r="H45" i="10"/>
  <c r="A45" i="10"/>
  <c r="A42" i="10"/>
  <c r="A41" i="10"/>
  <c r="A40" i="10"/>
  <c r="A39" i="10"/>
  <c r="G38" i="10"/>
  <c r="E38" i="10"/>
  <c r="A38" i="10"/>
  <c r="A36" i="10"/>
  <c r="C34" i="10"/>
  <c r="A34" i="10"/>
  <c r="A33" i="10"/>
  <c r="A31" i="10"/>
  <c r="H30" i="10"/>
  <c r="A30" i="10"/>
  <c r="A28" i="10"/>
  <c r="G27" i="10"/>
  <c r="F27" i="10"/>
  <c r="A27" i="10"/>
  <c r="A26" i="10"/>
  <c r="A25" i="10"/>
  <c r="A24" i="10"/>
  <c r="F21" i="10"/>
  <c r="E21" i="10"/>
  <c r="D21" i="10"/>
  <c r="H19" i="10"/>
  <c r="G19" i="10"/>
  <c r="A19" i="10"/>
  <c r="A18" i="10"/>
  <c r="A17" i="10"/>
  <c r="A15" i="10"/>
  <c r="A14" i="10"/>
  <c r="A13" i="10"/>
  <c r="E10" i="10"/>
  <c r="C10" i="10"/>
  <c r="A10" i="10"/>
  <c r="A8" i="10"/>
  <c r="A7" i="10"/>
  <c r="B6" i="10"/>
  <c r="A6" i="10"/>
  <c r="A5" i="10"/>
  <c r="A4" i="10"/>
  <c r="G3" i="10"/>
  <c r="A3" i="10"/>
  <c r="H52" i="9"/>
  <c r="G52" i="9"/>
  <c r="E52" i="9"/>
  <c r="B52" i="9"/>
  <c r="E50" i="9"/>
  <c r="A50" i="9"/>
  <c r="A49" i="9"/>
  <c r="A48" i="9"/>
  <c r="A47" i="9"/>
  <c r="A46" i="9"/>
  <c r="A45" i="9"/>
  <c r="A43" i="9"/>
  <c r="A41" i="9"/>
  <c r="A40" i="9"/>
  <c r="A39" i="9"/>
  <c r="A38" i="9"/>
  <c r="F37" i="9"/>
  <c r="A36" i="9"/>
  <c r="A34" i="9"/>
  <c r="A33" i="9"/>
  <c r="A31" i="9"/>
  <c r="A30" i="9"/>
  <c r="A29" i="9"/>
  <c r="A28" i="9"/>
  <c r="A27" i="9"/>
  <c r="A26" i="9"/>
  <c r="A25" i="9"/>
  <c r="A24" i="9"/>
  <c r="A21" i="9"/>
  <c r="A20" i="9"/>
  <c r="A19" i="9"/>
  <c r="A18" i="9"/>
  <c r="A17" i="9"/>
  <c r="A15" i="9"/>
  <c r="A14" i="9"/>
  <c r="A13" i="9"/>
  <c r="A10" i="9"/>
  <c r="A9" i="9"/>
  <c r="A8" i="9"/>
  <c r="A7" i="9"/>
  <c r="A6" i="9"/>
  <c r="A5" i="9"/>
  <c r="A4" i="9"/>
  <c r="F3" i="9"/>
  <c r="A3" i="9"/>
  <c r="H52" i="8"/>
  <c r="G52" i="8"/>
  <c r="F52" i="8"/>
  <c r="D52" i="8"/>
  <c r="C52" i="8"/>
  <c r="A50" i="8"/>
  <c r="A49" i="8"/>
  <c r="A47" i="8"/>
  <c r="A46" i="8"/>
  <c r="A45" i="8"/>
  <c r="A44" i="8"/>
  <c r="A43" i="8"/>
  <c r="A42" i="8"/>
  <c r="A41" i="8"/>
  <c r="A40" i="8"/>
  <c r="A39" i="8"/>
  <c r="A38" i="8"/>
  <c r="A36" i="8"/>
  <c r="A33" i="8"/>
  <c r="A30" i="8"/>
  <c r="A28" i="8"/>
  <c r="A27" i="8"/>
  <c r="A24" i="8"/>
  <c r="A21" i="8"/>
  <c r="A20" i="8"/>
  <c r="A19" i="8"/>
  <c r="A18" i="8"/>
  <c r="A17" i="8"/>
  <c r="A15" i="8"/>
  <c r="A14" i="8"/>
  <c r="A13" i="8"/>
  <c r="A10" i="8"/>
  <c r="A9" i="8"/>
  <c r="A8" i="8"/>
  <c r="G7" i="8"/>
  <c r="A7" i="8"/>
  <c r="A6" i="8"/>
  <c r="A5" i="8"/>
  <c r="A4" i="8"/>
  <c r="A3" i="8"/>
  <c r="H52" i="7"/>
  <c r="F52" i="7"/>
  <c r="E52" i="7"/>
  <c r="C52" i="7"/>
  <c r="B52" i="7"/>
  <c r="A50" i="7"/>
  <c r="A48" i="7"/>
  <c r="A47" i="7"/>
  <c r="A46" i="7"/>
  <c r="A45" i="7"/>
  <c r="A42" i="7"/>
  <c r="A41" i="7"/>
  <c r="A40" i="7"/>
  <c r="C39" i="7"/>
  <c r="A39" i="7"/>
  <c r="A38" i="7"/>
  <c r="A37" i="7"/>
  <c r="A36" i="7"/>
  <c r="A34" i="7"/>
  <c r="A33" i="7"/>
  <c r="A32" i="7"/>
  <c r="A31" i="7"/>
  <c r="A30" i="7"/>
  <c r="C29" i="7"/>
  <c r="A28" i="7"/>
  <c r="A27" i="7"/>
  <c r="A26" i="7"/>
  <c r="A25" i="7"/>
  <c r="A24" i="7"/>
  <c r="A21" i="7"/>
  <c r="A20" i="7"/>
  <c r="A19" i="7"/>
  <c r="A18" i="7"/>
  <c r="A17" i="7"/>
  <c r="A15" i="7"/>
  <c r="A14" i="7"/>
  <c r="A13" i="7"/>
  <c r="A11" i="7"/>
  <c r="A10" i="7"/>
  <c r="C8" i="7"/>
  <c r="A8" i="7"/>
  <c r="A6" i="7"/>
  <c r="A5" i="7"/>
  <c r="A3" i="7"/>
  <c r="H52" i="6"/>
  <c r="G52" i="6"/>
  <c r="F52" i="6"/>
  <c r="D52" i="6"/>
  <c r="C52" i="6"/>
  <c r="H50" i="6"/>
  <c r="G50" i="6"/>
  <c r="F50" i="6"/>
  <c r="E50" i="6"/>
  <c r="B50" i="6"/>
  <c r="A50" i="6"/>
  <c r="A48" i="6"/>
  <c r="A47" i="6"/>
  <c r="H46" i="6"/>
  <c r="A46" i="6"/>
  <c r="A45" i="6"/>
  <c r="G44" i="6"/>
  <c r="F44" i="6"/>
  <c r="E44" i="6"/>
  <c r="D44" i="6"/>
  <c r="C44" i="6"/>
  <c r="B44" i="6"/>
  <c r="A44" i="6"/>
  <c r="A42" i="6"/>
  <c r="H41" i="6"/>
  <c r="G41" i="6"/>
  <c r="F41" i="6"/>
  <c r="C41" i="6"/>
  <c r="B41" i="6"/>
  <c r="A41" i="6"/>
  <c r="E39" i="6"/>
  <c r="C39" i="6"/>
  <c r="B39" i="6"/>
  <c r="A39" i="6"/>
  <c r="G38" i="6"/>
  <c r="F38" i="6"/>
  <c r="C38" i="6"/>
  <c r="B38" i="6"/>
  <c r="A38" i="6"/>
  <c r="D37" i="6"/>
  <c r="A36" i="6"/>
  <c r="A33" i="6"/>
  <c r="A32" i="6"/>
  <c r="G30" i="6"/>
  <c r="F30" i="6"/>
  <c r="E30" i="6"/>
  <c r="D30" i="6"/>
  <c r="C30" i="6"/>
  <c r="A30" i="6"/>
  <c r="A28" i="6"/>
  <c r="G27" i="6"/>
  <c r="F27" i="6"/>
  <c r="D27" i="6"/>
  <c r="C27" i="6"/>
  <c r="B27" i="6"/>
  <c r="A27" i="6"/>
  <c r="G24" i="6"/>
  <c r="F24" i="6"/>
  <c r="E24" i="6"/>
  <c r="C24" i="6"/>
  <c r="B24" i="6"/>
  <c r="A24" i="6"/>
  <c r="A21" i="6"/>
  <c r="A20" i="6"/>
  <c r="F19" i="6"/>
  <c r="D19" i="6"/>
  <c r="C19" i="6"/>
  <c r="B19" i="6"/>
  <c r="A19" i="6"/>
  <c r="G18" i="6"/>
  <c r="F18" i="6"/>
  <c r="E18" i="6"/>
  <c r="D18" i="6"/>
  <c r="B18" i="6"/>
  <c r="A18" i="6"/>
  <c r="G17" i="6"/>
  <c r="A17" i="6"/>
  <c r="D15" i="6"/>
  <c r="C15" i="6"/>
  <c r="B15" i="6"/>
  <c r="A15" i="6"/>
  <c r="A14" i="6"/>
  <c r="H10" i="6"/>
  <c r="G10" i="6"/>
  <c r="A10" i="6"/>
  <c r="H8" i="6"/>
  <c r="D8" i="6"/>
  <c r="C8" i="6"/>
  <c r="A8" i="6"/>
  <c r="H7" i="6"/>
  <c r="F7" i="6"/>
  <c r="A7" i="6"/>
  <c r="G6" i="6"/>
  <c r="F6" i="6"/>
  <c r="E6" i="6"/>
  <c r="B6" i="6"/>
  <c r="A6" i="6"/>
  <c r="H5" i="6"/>
  <c r="F5" i="6"/>
  <c r="E5" i="6"/>
  <c r="D5" i="6"/>
  <c r="C5" i="6"/>
  <c r="B5" i="6"/>
  <c r="A5" i="6"/>
  <c r="A3" i="6"/>
  <c r="H52" i="5"/>
  <c r="G52" i="5"/>
  <c r="F52" i="5"/>
  <c r="E52" i="5"/>
  <c r="D52" i="5"/>
  <c r="C52" i="5"/>
  <c r="B52" i="5"/>
  <c r="A50" i="5"/>
  <c r="H49" i="5"/>
  <c r="G49" i="5"/>
  <c r="F49" i="5"/>
  <c r="B49" i="5"/>
  <c r="A49" i="5"/>
  <c r="F48" i="5"/>
  <c r="A48" i="5"/>
  <c r="A47" i="5"/>
  <c r="G46" i="5"/>
  <c r="B46" i="5"/>
  <c r="A46" i="5"/>
  <c r="C45" i="5"/>
  <c r="A45" i="5"/>
  <c r="A44" i="5"/>
  <c r="A43" i="5"/>
  <c r="A42" i="5"/>
  <c r="H41" i="5"/>
  <c r="G41" i="5"/>
  <c r="F41" i="5"/>
  <c r="C41" i="5"/>
  <c r="B41" i="5"/>
  <c r="A41" i="5"/>
  <c r="H40" i="5"/>
  <c r="G40" i="5"/>
  <c r="C40" i="5"/>
  <c r="G39" i="5"/>
  <c r="A39" i="5"/>
  <c r="H38" i="5"/>
  <c r="G38" i="5"/>
  <c r="F38" i="5"/>
  <c r="C38" i="5"/>
  <c r="B38" i="5"/>
  <c r="A38" i="5"/>
  <c r="H36" i="5"/>
  <c r="F36" i="5"/>
  <c r="C36" i="5"/>
  <c r="B36" i="5"/>
  <c r="A36" i="5"/>
  <c r="C35" i="5"/>
  <c r="A34" i="5"/>
  <c r="H33" i="5"/>
  <c r="G33" i="5"/>
  <c r="F33" i="5"/>
  <c r="C33" i="5"/>
  <c r="B33" i="5"/>
  <c r="A33" i="5"/>
  <c r="H32" i="5"/>
  <c r="G32" i="5"/>
  <c r="F32" i="5"/>
  <c r="B32" i="5"/>
  <c r="A32" i="5"/>
  <c r="B31" i="5"/>
  <c r="A31" i="5"/>
  <c r="F30" i="5"/>
  <c r="C30" i="5"/>
  <c r="B30" i="5"/>
  <c r="A30" i="5"/>
  <c r="H29" i="5"/>
  <c r="G28" i="5"/>
  <c r="F28" i="5"/>
  <c r="A28" i="5"/>
  <c r="H27" i="5"/>
  <c r="G27" i="5"/>
  <c r="F27" i="5"/>
  <c r="C27" i="5"/>
  <c r="B27" i="5"/>
  <c r="A27" i="5"/>
  <c r="A26" i="5"/>
  <c r="H25" i="5"/>
  <c r="F25" i="5"/>
  <c r="B25" i="5"/>
  <c r="A25" i="5"/>
  <c r="G24" i="5"/>
  <c r="F22" i="5"/>
  <c r="C22" i="5"/>
  <c r="B22" i="5"/>
  <c r="A21" i="5"/>
  <c r="H20" i="5"/>
  <c r="G20" i="5"/>
  <c r="F20" i="5"/>
  <c r="B20" i="5"/>
  <c r="A20" i="5"/>
  <c r="H19" i="5"/>
  <c r="F19" i="5"/>
  <c r="C19" i="5"/>
  <c r="B19" i="5"/>
  <c r="A19" i="5"/>
  <c r="H18" i="5"/>
  <c r="G18" i="5"/>
  <c r="C18" i="5"/>
  <c r="A18" i="5"/>
  <c r="G17" i="5"/>
  <c r="A17" i="5"/>
  <c r="H16" i="5"/>
  <c r="G16" i="5"/>
  <c r="C16" i="5"/>
  <c r="B16" i="5"/>
  <c r="H15" i="5"/>
  <c r="F15" i="5"/>
  <c r="C15" i="5"/>
  <c r="B15" i="5"/>
  <c r="A15" i="5"/>
  <c r="A14" i="5"/>
  <c r="F13" i="5"/>
  <c r="G12" i="5"/>
  <c r="B12" i="5"/>
  <c r="H10" i="5"/>
  <c r="G10" i="5"/>
  <c r="A10" i="5"/>
  <c r="F9" i="5"/>
  <c r="A9" i="5"/>
  <c r="H8" i="5"/>
  <c r="G8" i="5"/>
  <c r="F8" i="5"/>
  <c r="C8" i="5"/>
  <c r="B8" i="5"/>
  <c r="A8" i="5"/>
  <c r="G7" i="5"/>
  <c r="C7" i="5"/>
  <c r="A7" i="5"/>
  <c r="H6" i="5"/>
  <c r="A6" i="5"/>
  <c r="H5" i="5"/>
  <c r="G5" i="5"/>
  <c r="C5" i="5"/>
  <c r="B5" i="5"/>
  <c r="A5" i="5"/>
  <c r="C4" i="5"/>
  <c r="A4" i="5"/>
  <c r="F3" i="5"/>
  <c r="A3" i="5"/>
  <c r="B7" i="2"/>
  <c r="B2" i="2"/>
  <c r="F44" i="8" l="1"/>
  <c r="E44" i="8"/>
  <c r="G44" i="8"/>
  <c r="D44" i="8"/>
  <c r="C44" i="8"/>
  <c r="E48" i="8"/>
  <c r="H39" i="8"/>
  <c r="G32" i="8"/>
  <c r="F24" i="8"/>
  <c r="D17" i="8"/>
  <c r="G37" i="8"/>
  <c r="G21" i="8"/>
  <c r="C50" i="7"/>
  <c r="A16" i="14"/>
  <c r="F15" i="17"/>
  <c r="A16" i="15"/>
  <c r="A16" i="12"/>
  <c r="A16" i="9"/>
  <c r="A16" i="16"/>
  <c r="A16" i="10"/>
  <c r="A16" i="6"/>
  <c r="A16" i="11"/>
  <c r="D15" i="17"/>
  <c r="A16" i="13"/>
  <c r="A16" i="8"/>
  <c r="G15" i="17"/>
  <c r="A16" i="7"/>
  <c r="E15" i="17"/>
  <c r="G31" i="9"/>
  <c r="H31" i="9"/>
  <c r="F31" i="9"/>
  <c r="B31" i="9"/>
  <c r="E31" i="9"/>
  <c r="B10" i="7"/>
  <c r="D50" i="7"/>
  <c r="D19" i="8"/>
  <c r="C32" i="8"/>
  <c r="G3" i="9"/>
  <c r="G14" i="9"/>
  <c r="B33" i="14"/>
  <c r="C51" i="16"/>
  <c r="C53" i="16" s="1"/>
  <c r="C15" i="17"/>
  <c r="E19" i="8"/>
  <c r="D29" i="15"/>
  <c r="C29" i="15"/>
  <c r="B29" i="15"/>
  <c r="E29" i="15"/>
  <c r="F29" i="15"/>
  <c r="H29" i="15"/>
  <c r="G29" i="15"/>
  <c r="C10" i="7"/>
  <c r="G20" i="7"/>
  <c r="D30" i="7"/>
  <c r="D40" i="7"/>
  <c r="F50" i="7"/>
  <c r="B8" i="8"/>
  <c r="G19" i="8"/>
  <c r="E32" i="8"/>
  <c r="G43" i="8"/>
  <c r="H3" i="9"/>
  <c r="H36" i="13"/>
  <c r="B15" i="14"/>
  <c r="C33" i="14"/>
  <c r="D18" i="15"/>
  <c r="E40" i="15"/>
  <c r="D51" i="16"/>
  <c r="D53" i="16" s="1"/>
  <c r="B25" i="15"/>
  <c r="C25" i="15"/>
  <c r="D25" i="15"/>
  <c r="F25" i="15"/>
  <c r="E25" i="15"/>
  <c r="H10" i="7"/>
  <c r="G50" i="7"/>
  <c r="D8" i="8"/>
  <c r="F32" i="8"/>
  <c r="H43" i="8"/>
  <c r="E6" i="27"/>
  <c r="D6" i="27"/>
  <c r="B28" i="9"/>
  <c r="H40" i="9"/>
  <c r="B4" i="13"/>
  <c r="E22" i="13"/>
  <c r="C15" i="14"/>
  <c r="D33" i="14"/>
  <c r="F18" i="15"/>
  <c r="C21" i="7"/>
  <c r="D31" i="7"/>
  <c r="H41" i="7"/>
  <c r="H4" i="9"/>
  <c r="B17" i="9"/>
  <c r="C28" i="9"/>
  <c r="G4" i="13"/>
  <c r="G22" i="13"/>
  <c r="B37" i="13"/>
  <c r="D16" i="14"/>
  <c r="H34" i="14"/>
  <c r="H41" i="15"/>
  <c r="G11" i="7"/>
  <c r="D21" i="7"/>
  <c r="D9" i="8"/>
  <c r="F21" i="8"/>
  <c r="D33" i="8"/>
  <c r="H44" i="8"/>
  <c r="C17" i="9"/>
  <c r="G41" i="9"/>
  <c r="H22" i="13"/>
  <c r="E38" i="13"/>
  <c r="G19" i="15"/>
  <c r="H8" i="11"/>
  <c r="B8" i="12"/>
  <c r="Q7" i="17"/>
  <c r="F8" i="11"/>
  <c r="E8" i="11"/>
  <c r="D8" i="11"/>
  <c r="C8" i="11"/>
  <c r="B8" i="11"/>
  <c r="G8" i="11"/>
  <c r="E8" i="12"/>
  <c r="G8" i="12"/>
  <c r="F8" i="12"/>
  <c r="D8" i="12"/>
  <c r="C8" i="12"/>
  <c r="R7" i="17"/>
  <c r="E21" i="7"/>
  <c r="C32" i="7"/>
  <c r="B42" i="7"/>
  <c r="D22" i="8"/>
  <c r="D35" i="8"/>
  <c r="F17" i="9"/>
  <c r="B29" i="9"/>
  <c r="H41" i="9"/>
  <c r="H17" i="14"/>
  <c r="B42" i="15"/>
  <c r="F8" i="10"/>
  <c r="C8" i="10"/>
  <c r="E8" i="10"/>
  <c r="D8" i="10"/>
  <c r="B8" i="10"/>
  <c r="S7" i="17"/>
  <c r="G8" i="10"/>
  <c r="H8" i="10"/>
  <c r="G11" i="17"/>
  <c r="C11" i="17"/>
  <c r="O11" i="17" s="1"/>
  <c r="A12" i="15"/>
  <c r="A12" i="10"/>
  <c r="A12" i="11"/>
  <c r="A12" i="7"/>
  <c r="F11" i="17"/>
  <c r="E11" i="17"/>
  <c r="A12" i="6"/>
  <c r="E3" i="27" s="1"/>
  <c r="A12" i="5"/>
  <c r="H2" i="27" s="1"/>
  <c r="A12" i="13"/>
  <c r="D4" i="28" s="1"/>
  <c r="A12" i="14"/>
  <c r="D11" i="17"/>
  <c r="A12" i="12"/>
  <c r="C13" i="7"/>
  <c r="C22" i="7"/>
  <c r="D32" i="7"/>
  <c r="B44" i="7"/>
  <c r="A12" i="8"/>
  <c r="B23" i="8"/>
  <c r="E35" i="8"/>
  <c r="G6" i="9"/>
  <c r="E42" i="9"/>
  <c r="C25" i="13"/>
  <c r="C40" i="13"/>
  <c r="H11" i="19"/>
  <c r="G11" i="5" s="1"/>
  <c r="D11" i="19"/>
  <c r="F11" i="5" s="1"/>
  <c r="C11" i="19"/>
  <c r="B11" i="5" s="1"/>
  <c r="K11" i="19"/>
  <c r="G11" i="19" s="1"/>
  <c r="E11" i="5" s="1"/>
  <c r="J11" i="19"/>
  <c r="J51" i="19" s="1"/>
  <c r="E11" i="19"/>
  <c r="C11" i="5" s="1"/>
  <c r="F42" i="8"/>
  <c r="C3" i="14"/>
  <c r="C6" i="15"/>
  <c r="H38" i="8"/>
  <c r="B6" i="7"/>
  <c r="D21" i="14"/>
  <c r="B5" i="8"/>
  <c r="B34" i="9"/>
  <c r="C5" i="8"/>
  <c r="D15" i="8"/>
  <c r="D39" i="8"/>
  <c r="D11" i="9"/>
  <c r="H23" i="9"/>
  <c r="F13" i="13"/>
  <c r="B31" i="13"/>
  <c r="D8" i="14"/>
  <c r="C26" i="14"/>
  <c r="D45" i="14"/>
  <c r="F8" i="17"/>
  <c r="E8" i="17"/>
  <c r="A9" i="15"/>
  <c r="A9" i="7"/>
  <c r="C8" i="17"/>
  <c r="A9" i="12"/>
  <c r="A9" i="10"/>
  <c r="G7" i="27" s="1"/>
  <c r="A9" i="11"/>
  <c r="H2" i="28" s="1"/>
  <c r="D8" i="17"/>
  <c r="A9" i="16"/>
  <c r="A9" i="14"/>
  <c r="A9" i="13"/>
  <c r="A9" i="6"/>
  <c r="G22" i="17"/>
  <c r="E22" i="17"/>
  <c r="F22" i="17"/>
  <c r="A23" i="15"/>
  <c r="A23" i="11"/>
  <c r="A23" i="10"/>
  <c r="A23" i="9"/>
  <c r="A23" i="14"/>
  <c r="D22" i="17"/>
  <c r="A23" i="5"/>
  <c r="A23" i="7"/>
  <c r="A23" i="8"/>
  <c r="A23" i="16"/>
  <c r="A23" i="6"/>
  <c r="A23" i="13"/>
  <c r="S45" i="17"/>
  <c r="H46" i="10"/>
  <c r="G46" i="10"/>
  <c r="D46" i="10"/>
  <c r="C46" i="10"/>
  <c r="B46" i="10"/>
  <c r="E50" i="7"/>
  <c r="B50" i="7"/>
  <c r="H50" i="7"/>
  <c r="D29" i="7"/>
  <c r="F39" i="7"/>
  <c r="H7" i="8"/>
  <c r="C19" i="8"/>
  <c r="G31" i="8"/>
  <c r="A16" i="5"/>
  <c r="G14" i="7"/>
  <c r="D44" i="7"/>
  <c r="E12" i="8"/>
  <c r="H46" i="8"/>
  <c r="E19" i="9"/>
  <c r="B46" i="15"/>
  <c r="H32" i="7"/>
  <c r="F45" i="13"/>
  <c r="D45" i="13"/>
  <c r="G45" i="13"/>
  <c r="E45" i="13"/>
  <c r="C45" i="13"/>
  <c r="H14" i="7"/>
  <c r="G12" i="8"/>
  <c r="F8" i="9"/>
  <c r="F26" i="13"/>
  <c r="D3" i="14"/>
  <c r="C46" i="15"/>
  <c r="E35" i="7"/>
  <c r="C45" i="8"/>
  <c r="D45" i="8"/>
  <c r="H45" i="8"/>
  <c r="G45" i="8"/>
  <c r="F45" i="8"/>
  <c r="E45" i="8"/>
  <c r="H35" i="7"/>
  <c r="E24" i="8"/>
  <c r="G8" i="9"/>
  <c r="G45" i="7"/>
  <c r="H24" i="8"/>
  <c r="C47" i="8"/>
  <c r="B21" i="14"/>
  <c r="D48" i="15"/>
  <c r="F43" i="8"/>
  <c r="D36" i="7"/>
  <c r="F4" i="8"/>
  <c r="C20" i="9"/>
  <c r="G45" i="9"/>
  <c r="B45" i="13"/>
  <c r="G6" i="15"/>
  <c r="G48" i="15"/>
  <c r="S14" i="17"/>
  <c r="E15" i="10"/>
  <c r="H15" i="10"/>
  <c r="G15" i="10"/>
  <c r="F15" i="10"/>
  <c r="D15" i="10"/>
  <c r="B15" i="10"/>
  <c r="C15" i="10"/>
  <c r="C17" i="7"/>
  <c r="E36" i="7"/>
  <c r="F27" i="8"/>
  <c r="B9" i="9"/>
  <c r="G11" i="13"/>
  <c r="B8" i="14"/>
  <c r="G41" i="14"/>
  <c r="B28" i="15"/>
  <c r="F24" i="15"/>
  <c r="D24" i="15"/>
  <c r="B24" i="15"/>
  <c r="H24" i="15"/>
  <c r="G24" i="15"/>
  <c r="E24" i="15"/>
  <c r="C24" i="15"/>
  <c r="G35" i="15"/>
  <c r="C10" i="15"/>
  <c r="D35" i="14"/>
  <c r="G35" i="14"/>
  <c r="F35" i="14"/>
  <c r="C35" i="14"/>
  <c r="B35" i="14"/>
  <c r="E35" i="14"/>
  <c r="H35" i="14"/>
  <c r="D17" i="7"/>
  <c r="F36" i="7"/>
  <c r="F46" i="7"/>
  <c r="C15" i="8"/>
  <c r="G27" i="8"/>
  <c r="C39" i="8"/>
  <c r="B23" i="9"/>
  <c r="C46" i="9"/>
  <c r="C8" i="14"/>
  <c r="A29" i="16"/>
  <c r="G28" i="17"/>
  <c r="F28" i="17"/>
  <c r="E28" i="17"/>
  <c r="A29" i="15"/>
  <c r="A29" i="5"/>
  <c r="A29" i="11"/>
  <c r="A29" i="12"/>
  <c r="A29" i="14"/>
  <c r="A29" i="13"/>
  <c r="A29" i="7"/>
  <c r="D28" i="17"/>
  <c r="A29" i="6"/>
  <c r="A29" i="10"/>
  <c r="G33" i="7"/>
  <c r="F33" i="7"/>
  <c r="E33" i="7"/>
  <c r="B33" i="7"/>
  <c r="D33" i="7"/>
  <c r="C33" i="7"/>
  <c r="H33" i="7"/>
  <c r="H41" i="13"/>
  <c r="E41" i="13"/>
  <c r="D41" i="13"/>
  <c r="F41" i="13"/>
  <c r="C41" i="13"/>
  <c r="B41" i="13"/>
  <c r="G41" i="13"/>
  <c r="E6" i="7"/>
  <c r="E4" i="27" s="1"/>
  <c r="G46" i="7"/>
  <c r="B7" i="7"/>
  <c r="F17" i="7"/>
  <c r="B27" i="7"/>
  <c r="D37" i="7"/>
  <c r="D5" i="8"/>
  <c r="G16" i="8"/>
  <c r="D28" i="8"/>
  <c r="E39" i="8"/>
  <c r="A12" i="9"/>
  <c r="H6" i="27" s="1"/>
  <c r="F8" i="14"/>
  <c r="C13" i="15"/>
  <c r="D31" i="15"/>
  <c r="D40" i="8"/>
  <c r="G8" i="17"/>
  <c r="E13" i="13"/>
  <c r="D13" i="13"/>
  <c r="G29" i="13"/>
  <c r="B22" i="13"/>
  <c r="D10" i="13"/>
  <c r="H6" i="13"/>
  <c r="H4" i="28" s="1"/>
  <c r="D49" i="13"/>
  <c r="E37" i="13"/>
  <c r="H25" i="13"/>
  <c r="H13" i="13"/>
  <c r="B6" i="13"/>
  <c r="B4" i="28" s="1"/>
  <c r="G13" i="13"/>
  <c r="C47" i="13"/>
  <c r="H28" i="13"/>
  <c r="C7" i="13"/>
  <c r="B47" i="13"/>
  <c r="E42" i="13"/>
  <c r="H37" i="13"/>
  <c r="G28" i="13"/>
  <c r="H23" i="13"/>
  <c r="E19" i="13"/>
  <c r="D15" i="13"/>
  <c r="H10" i="13"/>
  <c r="B7" i="13"/>
  <c r="H46" i="13"/>
  <c r="B42" i="13"/>
  <c r="C37" i="13"/>
  <c r="G32" i="13"/>
  <c r="E28" i="13"/>
  <c r="E23" i="13"/>
  <c r="C19" i="13"/>
  <c r="C42" i="13"/>
  <c r="G37" i="13"/>
  <c r="H32" i="13"/>
  <c r="G23" i="13"/>
  <c r="D19" i="13"/>
  <c r="B15" i="13"/>
  <c r="G10" i="13"/>
  <c r="G30" i="13"/>
  <c r="D21" i="13"/>
  <c r="G16" i="13"/>
  <c r="G12" i="13"/>
  <c r="E4" i="13"/>
  <c r="C50" i="13"/>
  <c r="B21" i="13"/>
  <c r="H9" i="13"/>
  <c r="E32" i="13"/>
  <c r="H15" i="13"/>
  <c r="G9" i="13"/>
  <c r="H4" i="13"/>
  <c r="H29" i="13"/>
  <c r="D23" i="13"/>
  <c r="D12" i="13"/>
  <c r="E7" i="13"/>
  <c r="G46" i="13"/>
  <c r="E40" i="13"/>
  <c r="C29" i="13"/>
  <c r="C23" i="13"/>
  <c r="D7" i="13"/>
  <c r="H48" i="13"/>
  <c r="B43" i="13"/>
  <c r="D22" i="13"/>
  <c r="G15" i="13"/>
  <c r="G8" i="13"/>
  <c r="D3" i="13"/>
  <c r="I50" i="17"/>
  <c r="G48" i="13"/>
  <c r="G27" i="13"/>
  <c r="C22" i="13"/>
  <c r="C8" i="13"/>
  <c r="C3" i="13"/>
  <c r="H39" i="13"/>
  <c r="C26" i="13"/>
  <c r="G19" i="13"/>
  <c r="H43" i="13"/>
  <c r="E36" i="13"/>
  <c r="C13" i="13"/>
  <c r="E50" i="13"/>
  <c r="B36" i="13"/>
  <c r="B13" i="13"/>
  <c r="H5" i="13"/>
  <c r="G49" i="13"/>
  <c r="H11" i="13"/>
  <c r="D50" i="13"/>
  <c r="E43" i="13"/>
  <c r="G5" i="13"/>
  <c r="D43" i="13"/>
  <c r="D27" i="13"/>
  <c r="H12" i="13"/>
  <c r="C43" i="13"/>
  <c r="E34" i="13"/>
  <c r="B27" i="13"/>
  <c r="B49" i="13"/>
  <c r="D34" i="13"/>
  <c r="B19" i="13"/>
  <c r="E5" i="13"/>
  <c r="B5" i="13"/>
  <c r="C48" i="13"/>
  <c r="G40" i="13"/>
  <c r="B26" i="13"/>
  <c r="G18" i="13"/>
  <c r="C11" i="13"/>
  <c r="E39" i="13"/>
  <c r="D31" i="13"/>
  <c r="G24" i="13"/>
  <c r="B9" i="13"/>
  <c r="E46" i="13"/>
  <c r="C39" i="13"/>
  <c r="C31" i="13"/>
  <c r="E16" i="13"/>
  <c r="B3" i="13"/>
  <c r="B23" i="13"/>
  <c r="C16" i="13"/>
  <c r="B8" i="13"/>
  <c r="H18" i="13"/>
  <c r="D30" i="13"/>
  <c r="D40" i="13"/>
  <c r="B30" i="13"/>
  <c r="C17" i="13"/>
  <c r="H50" i="13"/>
  <c r="B40" i="13"/>
  <c r="B29" i="13"/>
  <c r="D16" i="13"/>
  <c r="D4" i="13"/>
  <c r="G50" i="13"/>
  <c r="G39" i="13"/>
  <c r="B16" i="13"/>
  <c r="C4" i="13"/>
  <c r="E47" i="13"/>
  <c r="B25" i="13"/>
  <c r="D11" i="13"/>
  <c r="C34" i="13"/>
  <c r="B11" i="13"/>
  <c r="B46" i="13"/>
  <c r="B34" i="13"/>
  <c r="E10" i="13"/>
  <c r="C22" i="17"/>
  <c r="O22" i="17" s="1"/>
  <c r="H27" i="10"/>
  <c r="E27" i="10"/>
  <c r="D27" i="10"/>
  <c r="S26" i="17"/>
  <c r="C27" i="10"/>
  <c r="B27" i="10"/>
  <c r="C31" i="7"/>
  <c r="B31" i="7"/>
  <c r="H31" i="7"/>
  <c r="G31" i="7"/>
  <c r="E31" i="7"/>
  <c r="F31" i="7"/>
  <c r="H39" i="7"/>
  <c r="F32" i="7"/>
  <c r="C11" i="7"/>
  <c r="B3" i="7"/>
  <c r="E44" i="7"/>
  <c r="E29" i="7"/>
  <c r="F22" i="7"/>
  <c r="H15" i="7"/>
  <c r="G7" i="7"/>
  <c r="C31" i="14"/>
  <c r="H31" i="14"/>
  <c r="F31" i="14"/>
  <c r="G31" i="14"/>
  <c r="D31" i="14"/>
  <c r="E31" i="14"/>
  <c r="B31" i="14"/>
  <c r="H19" i="7"/>
  <c r="C12" i="8"/>
  <c r="B24" i="7"/>
  <c r="F36" i="8"/>
  <c r="G6" i="14"/>
  <c r="E6" i="14"/>
  <c r="D6" i="14"/>
  <c r="F6" i="14"/>
  <c r="C6" i="14"/>
  <c r="B6" i="14"/>
  <c r="G44" i="14"/>
  <c r="H32" i="14"/>
  <c r="F26" i="14"/>
  <c r="E15" i="14"/>
  <c r="G4" i="14"/>
  <c r="F49" i="14"/>
  <c r="F44" i="14"/>
  <c r="H38" i="14"/>
  <c r="G32" i="14"/>
  <c r="E26" i="14"/>
  <c r="E4" i="14"/>
  <c r="E47" i="14"/>
  <c r="C29" i="14"/>
  <c r="C12" i="14"/>
  <c r="H7" i="14"/>
  <c r="G40" i="14"/>
  <c r="B29" i="14"/>
  <c r="F17" i="14"/>
  <c r="B12" i="14"/>
  <c r="C7" i="14"/>
  <c r="C44" i="14"/>
  <c r="G30" i="14"/>
  <c r="G16" i="14"/>
  <c r="B11" i="14"/>
  <c r="F3" i="14"/>
  <c r="B44" i="14"/>
  <c r="H37" i="14"/>
  <c r="C30" i="14"/>
  <c r="F16" i="14"/>
  <c r="E3" i="14"/>
  <c r="F28" i="14"/>
  <c r="E8" i="14"/>
  <c r="H44" i="14"/>
  <c r="G37" i="14"/>
  <c r="B13" i="14"/>
  <c r="B7" i="14"/>
  <c r="H43" i="14"/>
  <c r="B37" i="14"/>
  <c r="H28" i="14"/>
  <c r="D20" i="14"/>
  <c r="H12" i="14"/>
  <c r="H6" i="14"/>
  <c r="C43" i="14"/>
  <c r="H27" i="14"/>
  <c r="E49" i="14"/>
  <c r="D43" i="14"/>
  <c r="G28" i="14"/>
  <c r="B20" i="14"/>
  <c r="F12" i="14"/>
  <c r="B36" i="14"/>
  <c r="B28" i="14"/>
  <c r="E12" i="14"/>
  <c r="H5" i="14"/>
  <c r="H42" i="14"/>
  <c r="H19" i="14"/>
  <c r="G5" i="14"/>
  <c r="G42" i="14"/>
  <c r="G26" i="14"/>
  <c r="G19" i="14"/>
  <c r="D12" i="14"/>
  <c r="F5" i="14"/>
  <c r="B49" i="14"/>
  <c r="H41" i="14"/>
  <c r="G34" i="14"/>
  <c r="G25" i="14"/>
  <c r="D19" i="14"/>
  <c r="E11" i="14"/>
  <c r="H3" i="14"/>
  <c r="C48" i="14"/>
  <c r="B40" i="14"/>
  <c r="F32" i="14"/>
  <c r="D24" i="14"/>
  <c r="H16" i="14"/>
  <c r="B9" i="14"/>
  <c r="B48" i="14"/>
  <c r="D32" i="14"/>
  <c r="B24" i="14"/>
  <c r="E16" i="14"/>
  <c r="C47" i="14"/>
  <c r="G39" i="14"/>
  <c r="F22" i="14"/>
  <c r="F15" i="14"/>
  <c r="G8" i="14"/>
  <c r="H39" i="14"/>
  <c r="F25" i="14"/>
  <c r="G14" i="14"/>
  <c r="B39" i="14"/>
  <c r="E25" i="14"/>
  <c r="D25" i="14"/>
  <c r="H11" i="14"/>
  <c r="D49" i="14"/>
  <c r="G38" i="14"/>
  <c r="G24" i="14"/>
  <c r="F11" i="14"/>
  <c r="C49" i="14"/>
  <c r="F38" i="14"/>
  <c r="E22" i="14"/>
  <c r="C11" i="14"/>
  <c r="H48" i="14"/>
  <c r="F21" i="14"/>
  <c r="C45" i="14"/>
  <c r="E19" i="14"/>
  <c r="B45" i="14"/>
  <c r="E42" i="14"/>
  <c r="H4" i="14"/>
  <c r="C24" i="7"/>
  <c r="D24" i="8"/>
  <c r="F19" i="9"/>
  <c r="H19" i="9"/>
  <c r="D4" i="14"/>
  <c r="B35" i="13"/>
  <c r="E35" i="13"/>
  <c r="D35" i="13"/>
  <c r="F35" i="13"/>
  <c r="C35" i="13"/>
  <c r="H35" i="13"/>
  <c r="G35" i="13"/>
  <c r="H8" i="9"/>
  <c r="E9" i="13"/>
  <c r="C21" i="14"/>
  <c r="C7" i="7"/>
  <c r="E28" i="8"/>
  <c r="B12" i="9"/>
  <c r="E48" i="9"/>
  <c r="B14" i="13"/>
  <c r="G47" i="13"/>
  <c r="H8" i="14"/>
  <c r="E29" i="14"/>
  <c r="E46" i="14"/>
  <c r="D13" i="15"/>
  <c r="C10" i="17"/>
  <c r="G10" i="17"/>
  <c r="A11" i="12"/>
  <c r="F10" i="17"/>
  <c r="A11" i="16"/>
  <c r="D7" i="28" s="1"/>
  <c r="A11" i="15"/>
  <c r="A11" i="13"/>
  <c r="E4" i="28" s="1"/>
  <c r="A11" i="14"/>
  <c r="A11" i="11"/>
  <c r="A11" i="8"/>
  <c r="G5" i="27" s="1"/>
  <c r="E10" i="17"/>
  <c r="D10" i="17"/>
  <c r="A11" i="9"/>
  <c r="A11" i="6"/>
  <c r="A11" i="10"/>
  <c r="G17" i="14"/>
  <c r="H19" i="11"/>
  <c r="F19" i="12"/>
  <c r="D19" i="12"/>
  <c r="C19" i="12"/>
  <c r="G19" i="11"/>
  <c r="F19" i="11"/>
  <c r="E19" i="11"/>
  <c r="R18" i="17"/>
  <c r="G19" i="12"/>
  <c r="Q18" i="17"/>
  <c r="E19" i="12"/>
  <c r="C19" i="11"/>
  <c r="B19" i="12"/>
  <c r="D19" i="11"/>
  <c r="H19" i="12"/>
  <c r="G46" i="8"/>
  <c r="S48" i="17"/>
  <c r="E49" i="10"/>
  <c r="G49" i="10"/>
  <c r="F49" i="10"/>
  <c r="H49" i="10"/>
  <c r="D49" i="10"/>
  <c r="B49" i="10"/>
  <c r="C31" i="9"/>
  <c r="H25" i="15"/>
  <c r="D24" i="7"/>
  <c r="H36" i="8"/>
  <c r="D31" i="9"/>
  <c r="E44" i="13"/>
  <c r="G15" i="7"/>
  <c r="F45" i="9"/>
  <c r="B30" i="8"/>
  <c r="H14" i="8"/>
  <c r="H33" i="9"/>
  <c r="H27" i="15"/>
  <c r="C46" i="7"/>
  <c r="E46" i="10"/>
  <c r="H6" i="15"/>
  <c r="H6" i="28" s="1"/>
  <c r="D27" i="7"/>
  <c r="F39" i="8"/>
  <c r="D24" i="9"/>
  <c r="B32" i="13"/>
  <c r="D7" i="7"/>
  <c r="H17" i="7"/>
  <c r="E27" i="7"/>
  <c r="E48" i="7"/>
  <c r="F17" i="8"/>
  <c r="A29" i="8"/>
  <c r="C12" i="9"/>
  <c r="E24" i="9"/>
  <c r="E36" i="9"/>
  <c r="F48" i="9"/>
  <c r="C14" i="13"/>
  <c r="D32" i="13"/>
  <c r="H47" i="13"/>
  <c r="H9" i="14"/>
  <c r="F47" i="14"/>
  <c r="G13" i="15"/>
  <c r="B36" i="7"/>
  <c r="C36" i="7"/>
  <c r="H36" i="7"/>
  <c r="G36" i="7"/>
  <c r="C50" i="10"/>
  <c r="F50" i="10"/>
  <c r="E50" i="10"/>
  <c r="D50" i="10"/>
  <c r="H50" i="10"/>
  <c r="G50" i="10"/>
  <c r="B50" i="10"/>
  <c r="C44" i="7"/>
  <c r="B30" i="9"/>
  <c r="B36" i="8"/>
  <c r="B39" i="8"/>
  <c r="B31" i="8"/>
  <c r="B16" i="8"/>
  <c r="B26" i="8"/>
  <c r="B21" i="8"/>
  <c r="B6" i="8"/>
  <c r="B11" i="8"/>
  <c r="B28" i="8"/>
  <c r="B18" i="8"/>
  <c r="B13" i="8"/>
  <c r="B38" i="8"/>
  <c r="B3" i="8"/>
  <c r="B25" i="8"/>
  <c r="B42" i="8"/>
  <c r="B9" i="8"/>
  <c r="B22" i="8"/>
  <c r="B29" i="8"/>
  <c r="B14" i="8"/>
  <c r="B24" i="8"/>
  <c r="G25" i="15"/>
  <c r="F34" i="7"/>
  <c r="G36" i="8"/>
  <c r="C45" i="9"/>
  <c r="D3" i="7"/>
  <c r="F45" i="7"/>
  <c r="B47" i="8"/>
  <c r="D45" i="9"/>
  <c r="H8" i="13"/>
  <c r="C40" i="14"/>
  <c r="D47" i="15"/>
  <c r="B45" i="8"/>
  <c r="F24" i="7"/>
  <c r="E40" i="14"/>
  <c r="Q32" i="17"/>
  <c r="F33" i="11"/>
  <c r="D33" i="12"/>
  <c r="C33" i="12"/>
  <c r="C33" i="11"/>
  <c r="B33" i="11"/>
  <c r="R32" i="17"/>
  <c r="G33" i="12"/>
  <c r="E33" i="11"/>
  <c r="H33" i="11"/>
  <c r="G33" i="11"/>
  <c r="H33" i="12"/>
  <c r="D33" i="11"/>
  <c r="G24" i="7"/>
  <c r="H45" i="13"/>
  <c r="G17" i="7"/>
  <c r="E5" i="8"/>
  <c r="D36" i="9"/>
  <c r="B39" i="7"/>
  <c r="F49" i="7"/>
  <c r="F29" i="8"/>
  <c r="D12" i="9"/>
  <c r="G24" i="9"/>
  <c r="D37" i="9"/>
  <c r="E48" i="13"/>
  <c r="B30" i="14"/>
  <c r="D48" i="14"/>
  <c r="B33" i="15"/>
  <c r="H51" i="16"/>
  <c r="H53" i="16" s="1"/>
  <c r="F5" i="9"/>
  <c r="H47" i="9"/>
  <c r="E41" i="9"/>
  <c r="E22" i="9"/>
  <c r="B16" i="9"/>
  <c r="H12" i="9"/>
  <c r="E3" i="9"/>
  <c r="H50" i="9"/>
  <c r="E44" i="9"/>
  <c r="E25" i="9"/>
  <c r="B19" i="9"/>
  <c r="H15" i="9"/>
  <c r="G12" i="9"/>
  <c r="G50" i="9"/>
  <c r="E47" i="9"/>
  <c r="B41" i="9"/>
  <c r="G15" i="9"/>
  <c r="G44" i="9"/>
  <c r="G33" i="9"/>
  <c r="E26" i="9"/>
  <c r="H11" i="9"/>
  <c r="G4" i="9"/>
  <c r="E40" i="9"/>
  <c r="B37" i="9"/>
  <c r="H29" i="9"/>
  <c r="H22" i="9"/>
  <c r="G18" i="9"/>
  <c r="G11" i="9"/>
  <c r="B8" i="9"/>
  <c r="H43" i="9"/>
  <c r="H36" i="9"/>
  <c r="B26" i="9"/>
  <c r="E18" i="9"/>
  <c r="E11" i="9"/>
  <c r="B4" i="9"/>
  <c r="E33" i="9"/>
  <c r="G29" i="9"/>
  <c r="B15" i="9"/>
  <c r="G39" i="9"/>
  <c r="F35" i="9"/>
  <c r="H21" i="9"/>
  <c r="D5" i="9"/>
  <c r="F43" i="9"/>
  <c r="F39" i="9"/>
  <c r="E35" i="9"/>
  <c r="H26" i="9"/>
  <c r="F21" i="9"/>
  <c r="H17" i="9"/>
  <c r="B46" i="9"/>
  <c r="B42" i="9"/>
  <c r="E37" i="9"/>
  <c r="B20" i="9"/>
  <c r="F15" i="9"/>
  <c r="F46" i="9"/>
  <c r="G36" i="9"/>
  <c r="E21" i="9"/>
  <c r="E17" i="9"/>
  <c r="B3" i="9"/>
  <c r="E46" i="9"/>
  <c r="F36" i="9"/>
  <c r="B27" i="9"/>
  <c r="E12" i="9"/>
  <c r="B50" i="9"/>
  <c r="E45" i="9"/>
  <c r="B25" i="9"/>
  <c r="E20" i="9"/>
  <c r="H10" i="9"/>
  <c r="C50" i="9"/>
  <c r="B45" i="9"/>
  <c r="H27" i="9"/>
  <c r="C21" i="9"/>
  <c r="H16" i="9"/>
  <c r="B49" i="9"/>
  <c r="B5" i="9"/>
  <c r="H38" i="9"/>
  <c r="G27" i="9"/>
  <c r="B21" i="9"/>
  <c r="E16" i="9"/>
  <c r="G10" i="9"/>
  <c r="H5" i="9"/>
  <c r="D10" i="9"/>
  <c r="C49" i="9"/>
  <c r="D32" i="9"/>
  <c r="C5" i="9"/>
  <c r="B43" i="9"/>
  <c r="F20" i="9"/>
  <c r="E43" i="9"/>
  <c r="G38" i="9"/>
  <c r="D27" i="9"/>
  <c r="D16" i="9"/>
  <c r="E10" i="9"/>
  <c r="G5" i="9"/>
  <c r="D43" i="9"/>
  <c r="E38" i="9"/>
  <c r="E32" i="9"/>
  <c r="H20" i="9"/>
  <c r="E15" i="9"/>
  <c r="E5" i="9"/>
  <c r="C43" i="9"/>
  <c r="G26" i="9"/>
  <c r="G20" i="9"/>
  <c r="B10" i="9"/>
  <c r="C32" i="9"/>
  <c r="D38" i="9"/>
  <c r="F26" i="9"/>
  <c r="H14" i="9"/>
  <c r="F41" i="9"/>
  <c r="G35" i="9"/>
  <c r="C24" i="9"/>
  <c r="D18" i="9"/>
  <c r="E13" i="9"/>
  <c r="E8" i="9"/>
  <c r="D46" i="9"/>
  <c r="D35" i="9"/>
  <c r="E29" i="9"/>
  <c r="C18" i="9"/>
  <c r="D13" i="9"/>
  <c r="B40" i="9"/>
  <c r="E34" i="9"/>
  <c r="C29" i="9"/>
  <c r="G23" i="9"/>
  <c r="D47" i="9"/>
  <c r="H39" i="9"/>
  <c r="F23" i="9"/>
  <c r="F14" i="9"/>
  <c r="E7" i="9"/>
  <c r="C23" i="9"/>
  <c r="C47" i="9"/>
  <c r="E39" i="9"/>
  <c r="H30" i="9"/>
  <c r="E23" i="9"/>
  <c r="E14" i="9"/>
  <c r="B7" i="9"/>
  <c r="B47" i="9"/>
  <c r="D39" i="9"/>
  <c r="G30" i="9"/>
  <c r="D23" i="9"/>
  <c r="D14" i="9"/>
  <c r="C39" i="9"/>
  <c r="F30" i="9"/>
  <c r="C14" i="9"/>
  <c r="H6" i="9"/>
  <c r="G13" i="9"/>
  <c r="B6" i="9"/>
  <c r="B6" i="27" s="1"/>
  <c r="H45" i="9"/>
  <c r="H37" i="9"/>
  <c r="D29" i="9"/>
  <c r="D20" i="9"/>
  <c r="C13" i="9"/>
  <c r="H42" i="9"/>
  <c r="F34" i="9"/>
  <c r="B18" i="9"/>
  <c r="G42" i="9"/>
  <c r="D34" i="9"/>
  <c r="H25" i="9"/>
  <c r="H9" i="9"/>
  <c r="F42" i="9"/>
  <c r="C34" i="9"/>
  <c r="C25" i="9"/>
  <c r="G17" i="9"/>
  <c r="C9" i="9"/>
  <c r="C41" i="15"/>
  <c r="B41" i="15"/>
  <c r="F41" i="15"/>
  <c r="E41" i="15"/>
  <c r="G41" i="15"/>
  <c r="D41" i="15"/>
  <c r="C46" i="12"/>
  <c r="F46" i="12"/>
  <c r="E46" i="12"/>
  <c r="H46" i="12"/>
  <c r="G46" i="12"/>
  <c r="G46" i="11"/>
  <c r="F46" i="11"/>
  <c r="E46" i="11"/>
  <c r="Q45" i="17"/>
  <c r="H46" i="11"/>
  <c r="R45" i="17"/>
  <c r="C46" i="11"/>
  <c r="D46" i="11"/>
  <c r="D46" i="12"/>
  <c r="B46" i="11"/>
  <c r="O45" i="17"/>
  <c r="B46" i="12"/>
  <c r="B3" i="15"/>
  <c r="C17" i="15"/>
  <c r="D44" i="15"/>
  <c r="E51" i="16"/>
  <c r="E53" i="16" s="1"/>
  <c r="G21" i="7"/>
  <c r="B21" i="7"/>
  <c r="F21" i="7"/>
  <c r="H21" i="7"/>
  <c r="E41" i="8"/>
  <c r="D41" i="8"/>
  <c r="H41" i="8"/>
  <c r="F35" i="8"/>
  <c r="H5" i="8"/>
  <c r="G41" i="8"/>
  <c r="G20" i="8"/>
  <c r="E15" i="8"/>
  <c r="F41" i="8"/>
  <c r="C41" i="8"/>
  <c r="H29" i="8"/>
  <c r="C25" i="8"/>
  <c r="C50" i="8"/>
  <c r="K47" i="19"/>
  <c r="H47" i="19"/>
  <c r="G47" i="5" s="1"/>
  <c r="D47" i="19"/>
  <c r="F47" i="5" s="1"/>
  <c r="C47" i="19"/>
  <c r="B47" i="5" s="1"/>
  <c r="F47" i="19"/>
  <c r="E47" i="19"/>
  <c r="C47" i="5" s="1"/>
  <c r="J47" i="19"/>
  <c r="H7" i="7"/>
  <c r="B16" i="7"/>
  <c r="G22" i="7"/>
  <c r="H29" i="7"/>
  <c r="E14" i="8"/>
  <c r="H21" i="8"/>
  <c r="D29" i="8"/>
  <c r="E19" i="10"/>
  <c r="D3" i="15"/>
  <c r="D17" i="15"/>
  <c r="F51" i="16"/>
  <c r="F53" i="16" s="1"/>
  <c r="H17" i="15"/>
  <c r="B17" i="15"/>
  <c r="G17" i="15"/>
  <c r="F17" i="15"/>
  <c r="B33" i="8"/>
  <c r="C23" i="7"/>
  <c r="C45" i="7"/>
  <c r="C7" i="8"/>
  <c r="G14" i="8"/>
  <c r="E29" i="8"/>
  <c r="E38" i="8"/>
  <c r="F19" i="10"/>
  <c r="C38" i="10"/>
  <c r="G4" i="15"/>
  <c r="E17" i="15"/>
  <c r="D45" i="15"/>
  <c r="H50" i="15"/>
  <c r="D36" i="11"/>
  <c r="H36" i="12"/>
  <c r="H36" i="11"/>
  <c r="F36" i="12"/>
  <c r="E36" i="12"/>
  <c r="F36" i="11"/>
  <c r="E36" i="11"/>
  <c r="C36" i="11"/>
  <c r="C36" i="12"/>
  <c r="B36" i="12"/>
  <c r="G36" i="12"/>
  <c r="B36" i="11"/>
  <c r="Q35" i="17"/>
  <c r="R35" i="17"/>
  <c r="D36" i="12"/>
  <c r="G36" i="11"/>
  <c r="I47" i="19"/>
  <c r="H47" i="5" s="1"/>
  <c r="B3" i="10"/>
  <c r="G21" i="10"/>
  <c r="B20" i="15"/>
  <c r="C35" i="15"/>
  <c r="H48" i="15"/>
  <c r="C21" i="17"/>
  <c r="A22" i="16"/>
  <c r="A22" i="14"/>
  <c r="G21" i="17"/>
  <c r="F21" i="17"/>
  <c r="A22" i="8"/>
  <c r="A22" i="13"/>
  <c r="A22" i="6"/>
  <c r="A22" i="10"/>
  <c r="A22" i="7"/>
  <c r="A22" i="9"/>
  <c r="A22" i="11"/>
  <c r="A22" i="5"/>
  <c r="A22" i="12"/>
  <c r="E21" i="17"/>
  <c r="I34" i="19"/>
  <c r="H34" i="5" s="1"/>
  <c r="F34" i="19"/>
  <c r="E34" i="19"/>
  <c r="C34" i="5" s="1"/>
  <c r="D34" i="19"/>
  <c r="F34" i="5" s="1"/>
  <c r="C34" i="19"/>
  <c r="B34" i="5" s="1"/>
  <c r="K34" i="19"/>
  <c r="G34" i="19" s="1"/>
  <c r="E34" i="5" s="1"/>
  <c r="C3" i="7"/>
  <c r="F11" i="7"/>
  <c r="G25" i="7"/>
  <c r="C9" i="8"/>
  <c r="E17" i="8"/>
  <c r="G24" i="8"/>
  <c r="H48" i="8"/>
  <c r="F3" i="10"/>
  <c r="B10" i="15"/>
  <c r="F20" i="15"/>
  <c r="D35" i="15"/>
  <c r="H14" i="15"/>
  <c r="G14" i="15"/>
  <c r="E14" i="15"/>
  <c r="D14" i="15"/>
  <c r="F14" i="15"/>
  <c r="B14" i="15"/>
  <c r="C14" i="15"/>
  <c r="E9" i="15"/>
  <c r="E22" i="15"/>
  <c r="H31" i="15"/>
  <c r="G40" i="15"/>
  <c r="H40" i="15"/>
  <c r="G22" i="15"/>
  <c r="B49" i="15"/>
  <c r="F22" i="15"/>
  <c r="H15" i="15"/>
  <c r="D7" i="15"/>
  <c r="E31" i="15"/>
  <c r="C7" i="15"/>
  <c r="G31" i="15"/>
  <c r="G15" i="15"/>
  <c r="F40" i="15"/>
  <c r="F48" i="15"/>
  <c r="G20" i="15"/>
  <c r="H13" i="15"/>
  <c r="F6" i="15"/>
  <c r="E37" i="15"/>
  <c r="G27" i="15"/>
  <c r="F19" i="15"/>
  <c r="G12" i="15"/>
  <c r="F3" i="15"/>
  <c r="F45" i="15"/>
  <c r="B36" i="15"/>
  <c r="E27" i="15"/>
  <c r="D11" i="15"/>
  <c r="E3" i="15"/>
  <c r="C45" i="15"/>
  <c r="E35" i="15"/>
  <c r="H26" i="15"/>
  <c r="E18" i="15"/>
  <c r="G10" i="15"/>
  <c r="C3" i="15"/>
  <c r="D21" i="17"/>
  <c r="C24" i="12"/>
  <c r="B24" i="11"/>
  <c r="R23" i="17"/>
  <c r="Q23" i="17"/>
  <c r="B24" i="12"/>
  <c r="F24" i="12"/>
  <c r="E24" i="12"/>
  <c r="G24" i="11"/>
  <c r="F24" i="11"/>
  <c r="E24" i="11"/>
  <c r="H24" i="12"/>
  <c r="C24" i="11"/>
  <c r="S25" i="17"/>
  <c r="E26" i="10"/>
  <c r="C26" i="10"/>
  <c r="G26" i="10"/>
  <c r="F26" i="10"/>
  <c r="B26" i="10"/>
  <c r="D26" i="10"/>
  <c r="H26" i="10"/>
  <c r="H34" i="19"/>
  <c r="G34" i="5" s="1"/>
  <c r="C39" i="19"/>
  <c r="B39" i="5" s="1"/>
  <c r="K39" i="19"/>
  <c r="J39" i="19"/>
  <c r="I39" i="19"/>
  <c r="H39" i="5" s="1"/>
  <c r="E39" i="19"/>
  <c r="C39" i="5" s="1"/>
  <c r="D39" i="19"/>
  <c r="F39" i="5" s="1"/>
  <c r="D16" i="15"/>
  <c r="E16" i="15"/>
  <c r="H16" i="15"/>
  <c r="G16" i="15"/>
  <c r="F16" i="15"/>
  <c r="C16" i="15"/>
  <c r="B16" i="15"/>
  <c r="D38" i="15"/>
  <c r="H38" i="15"/>
  <c r="G38" i="15"/>
  <c r="B38" i="15"/>
  <c r="F38" i="15"/>
  <c r="E38" i="15"/>
  <c r="D35" i="7"/>
  <c r="D18" i="7"/>
  <c r="D52" i="7"/>
  <c r="D25" i="7"/>
  <c r="D22" i="7"/>
  <c r="D19" i="7"/>
  <c r="D13" i="7"/>
  <c r="D10" i="7"/>
  <c r="D15" i="7"/>
  <c r="D26" i="7"/>
  <c r="D47" i="7"/>
  <c r="D16" i="7"/>
  <c r="D39" i="7"/>
  <c r="D46" i="7"/>
  <c r="D42" i="7"/>
  <c r="D48" i="7"/>
  <c r="D43" i="7"/>
  <c r="D23" i="7"/>
  <c r="D14" i="7"/>
  <c r="D9" i="7"/>
  <c r="D8" i="7"/>
  <c r="D4" i="7"/>
  <c r="D11" i="7"/>
  <c r="D6" i="7"/>
  <c r="E3" i="10"/>
  <c r="D19" i="10"/>
  <c r="C19" i="10"/>
  <c r="G18" i="10"/>
  <c r="D24" i="10"/>
  <c r="D17" i="10"/>
  <c r="E34" i="10"/>
  <c r="F45" i="10"/>
  <c r="B18" i="10"/>
  <c r="E45" i="10"/>
  <c r="B45" i="10"/>
  <c r="H17" i="10"/>
  <c r="G17" i="10"/>
  <c r="C21" i="10"/>
  <c r="G30" i="10"/>
  <c r="G24" i="10"/>
  <c r="F18" i="10"/>
  <c r="H41" i="10"/>
  <c r="F30" i="10"/>
  <c r="F24" i="10"/>
  <c r="E18" i="10"/>
  <c r="F17" i="10"/>
  <c r="G41" i="10"/>
  <c r="E17" i="10"/>
  <c r="F47" i="10"/>
  <c r="E30" i="10"/>
  <c r="E24" i="10"/>
  <c r="D18" i="10"/>
  <c r="C24" i="10"/>
  <c r="B24" i="10"/>
  <c r="D45" i="10"/>
  <c r="B21" i="10"/>
  <c r="C45" i="10"/>
  <c r="H38" i="10"/>
  <c r="F38" i="10"/>
  <c r="F52" i="13"/>
  <c r="F42" i="13"/>
  <c r="F39" i="13"/>
  <c r="F11" i="13"/>
  <c r="F21" i="13"/>
  <c r="F49" i="13"/>
  <c r="F37" i="13"/>
  <c r="F29" i="13"/>
  <c r="F19" i="13"/>
  <c r="F15" i="13"/>
  <c r="F10" i="13"/>
  <c r="F28" i="13"/>
  <c r="F8" i="13"/>
  <c r="F32" i="13"/>
  <c r="F40" i="13"/>
  <c r="F50" i="13"/>
  <c r="F43" i="13"/>
  <c r="F27" i="13"/>
  <c r="F34" i="13"/>
  <c r="F5" i="13"/>
  <c r="F12" i="13"/>
  <c r="F4" i="13"/>
  <c r="F16" i="13"/>
  <c r="F3" i="13"/>
  <c r="F24" i="13"/>
  <c r="D21" i="19"/>
  <c r="F21" i="5" s="1"/>
  <c r="I21" i="19"/>
  <c r="H21" i="5" s="1"/>
  <c r="H21" i="19"/>
  <c r="G21" i="5" s="1"/>
  <c r="F21" i="19"/>
  <c r="J21" i="19"/>
  <c r="E21" i="19"/>
  <c r="C21" i="5" s="1"/>
  <c r="K21" i="19"/>
  <c r="E3" i="7"/>
  <c r="E12" i="7"/>
  <c r="B26" i="7"/>
  <c r="G40" i="7"/>
  <c r="F48" i="7"/>
  <c r="H9" i="8"/>
  <c r="E33" i="8"/>
  <c r="F49" i="8"/>
  <c r="H3" i="10"/>
  <c r="F41" i="10"/>
  <c r="D10" i="15"/>
  <c r="F37" i="15"/>
  <c r="B10" i="8"/>
  <c r="C20" i="7"/>
  <c r="H20" i="7"/>
  <c r="F20" i="7"/>
  <c r="R36" i="17"/>
  <c r="Q36" i="17"/>
  <c r="E37" i="12"/>
  <c r="D37" i="12"/>
  <c r="E37" i="11"/>
  <c r="D37" i="11"/>
  <c r="C37" i="12"/>
  <c r="B37" i="12"/>
  <c r="F37" i="11"/>
  <c r="C37" i="11"/>
  <c r="C21" i="19"/>
  <c r="B21" i="5" s="1"/>
  <c r="H12" i="7"/>
  <c r="B20" i="7"/>
  <c r="C26" i="7"/>
  <c r="H40" i="7"/>
  <c r="G48" i="7"/>
  <c r="G18" i="8"/>
  <c r="G26" i="8"/>
  <c r="D34" i="8"/>
  <c r="G49" i="8"/>
  <c r="C33" i="10"/>
  <c r="E10" i="15"/>
  <c r="G37" i="15"/>
  <c r="E10" i="14"/>
  <c r="D10" i="14"/>
  <c r="H10" i="14"/>
  <c r="G10" i="14"/>
  <c r="B10" i="14"/>
  <c r="F10" i="14"/>
  <c r="C10" i="14"/>
  <c r="G20" i="13"/>
  <c r="F20" i="13"/>
  <c r="E20" i="13"/>
  <c r="H20" i="13"/>
  <c r="D20" i="13"/>
  <c r="C20" i="13"/>
  <c r="B20" i="13"/>
  <c r="H32" i="9"/>
  <c r="D5" i="7"/>
  <c r="D20" i="7"/>
  <c r="E26" i="7"/>
  <c r="D34" i="7"/>
  <c r="H48" i="7"/>
  <c r="H10" i="8"/>
  <c r="H18" i="8"/>
  <c r="H26" i="8"/>
  <c r="E34" i="8"/>
  <c r="C42" i="8"/>
  <c r="H49" i="8"/>
  <c r="H24" i="10"/>
  <c r="F18" i="13"/>
  <c r="F30" i="13"/>
  <c r="C11" i="15"/>
  <c r="C49" i="7"/>
  <c r="C5" i="7"/>
  <c r="E32" i="7"/>
  <c r="E15" i="7"/>
  <c r="B4" i="7"/>
  <c r="B49" i="7"/>
  <c r="B46" i="7"/>
  <c r="C40" i="7"/>
  <c r="C37" i="7"/>
  <c r="C34" i="7"/>
  <c r="E22" i="7"/>
  <c r="E19" i="7"/>
  <c r="F16" i="7"/>
  <c r="F13" i="7"/>
  <c r="E10" i="7"/>
  <c r="F7" i="7"/>
  <c r="F4" i="7"/>
  <c r="B40" i="7"/>
  <c r="B37" i="7"/>
  <c r="B34" i="7"/>
  <c r="C25" i="7"/>
  <c r="E16" i="7"/>
  <c r="E7" i="7"/>
  <c r="E4" i="7"/>
  <c r="B48" i="7"/>
  <c r="F38" i="7"/>
  <c r="B35" i="7"/>
  <c r="E25" i="7"/>
  <c r="B22" i="7"/>
  <c r="H18" i="7"/>
  <c r="F15" i="7"/>
  <c r="H5" i="7"/>
  <c r="B25" i="7"/>
  <c r="G18" i="7"/>
  <c r="H8" i="7"/>
  <c r="G5" i="7"/>
  <c r="G47" i="7"/>
  <c r="G34" i="7"/>
  <c r="H24" i="7"/>
  <c r="E18" i="7"/>
  <c r="B15" i="7"/>
  <c r="H11" i="7"/>
  <c r="F8" i="7"/>
  <c r="E5" i="7"/>
  <c r="H47" i="7"/>
  <c r="H34" i="7"/>
  <c r="F18" i="7"/>
  <c r="C15" i="7"/>
  <c r="G8" i="7"/>
  <c r="F5" i="7"/>
  <c r="H49" i="7"/>
  <c r="C42" i="7"/>
  <c r="C30" i="7"/>
  <c r="H22" i="7"/>
  <c r="C18" i="7"/>
  <c r="E14" i="7"/>
  <c r="F10" i="7"/>
  <c r="F6" i="7"/>
  <c r="H50" i="17"/>
  <c r="F43" i="7"/>
  <c r="G39" i="7"/>
  <c r="B32" i="7"/>
  <c r="B8" i="7"/>
  <c r="H43" i="7"/>
  <c r="E39" i="7"/>
  <c r="G35" i="7"/>
  <c r="H30" i="7"/>
  <c r="G26" i="7"/>
  <c r="B23" i="7"/>
  <c r="B18" i="7"/>
  <c r="B14" i="7"/>
  <c r="F9" i="7"/>
  <c r="B5" i="7"/>
  <c r="F26" i="7"/>
  <c r="F47" i="7"/>
  <c r="E43" i="7"/>
  <c r="F35" i="7"/>
  <c r="G30" i="7"/>
  <c r="E9" i="7"/>
  <c r="H37" i="7"/>
  <c r="F29" i="7"/>
  <c r="F25" i="7"/>
  <c r="B17" i="7"/>
  <c r="F3" i="7"/>
  <c r="H38" i="7"/>
  <c r="B29" i="7"/>
  <c r="G19" i="7"/>
  <c r="F14" i="7"/>
  <c r="H9" i="7"/>
  <c r="H4" i="7"/>
  <c r="C48" i="7"/>
  <c r="C43" i="7"/>
  <c r="G38" i="7"/>
  <c r="H23" i="7"/>
  <c r="F19" i="7"/>
  <c r="G4" i="7"/>
  <c r="E8" i="7"/>
  <c r="B47" i="7"/>
  <c r="H42" i="7"/>
  <c r="H28" i="7"/>
  <c r="G23" i="7"/>
  <c r="C19" i="7"/>
  <c r="C14" i="7"/>
  <c r="C9" i="7"/>
  <c r="E47" i="7"/>
  <c r="G42" i="7"/>
  <c r="G37" i="7"/>
  <c r="F23" i="7"/>
  <c r="B19" i="7"/>
  <c r="B9" i="7"/>
  <c r="C4" i="7"/>
  <c r="C47" i="7"/>
  <c r="F37" i="7"/>
  <c r="E23" i="7"/>
  <c r="H13" i="7"/>
  <c r="H3" i="7"/>
  <c r="E42" i="7"/>
  <c r="F27" i="7"/>
  <c r="G3" i="7"/>
  <c r="F42" i="7"/>
  <c r="E37" i="7"/>
  <c r="G13" i="7"/>
  <c r="F40" i="7"/>
  <c r="F30" i="7"/>
  <c r="H16" i="7"/>
  <c r="E11" i="7"/>
  <c r="H6" i="7"/>
  <c r="E40" i="7"/>
  <c r="E30" i="7"/>
  <c r="H25" i="7"/>
  <c r="G16" i="7"/>
  <c r="G6" i="7"/>
  <c r="E49" i="7"/>
  <c r="C35" i="7"/>
  <c r="B30" i="7"/>
  <c r="B11" i="7"/>
  <c r="E7" i="6"/>
  <c r="D7" i="6"/>
  <c r="B7" i="6"/>
  <c r="C7" i="6"/>
  <c r="P6" i="17"/>
  <c r="G7" i="6"/>
  <c r="P16" i="17"/>
  <c r="D17" i="6"/>
  <c r="C17" i="6"/>
  <c r="B17" i="6"/>
  <c r="F17" i="6"/>
  <c r="E17" i="6"/>
  <c r="H17" i="6"/>
  <c r="G18" i="14"/>
  <c r="H18" i="14"/>
  <c r="C18" i="14"/>
  <c r="B18" i="14"/>
  <c r="F18" i="14"/>
  <c r="E18" i="14"/>
  <c r="D18" i="14"/>
  <c r="H32" i="15"/>
  <c r="D32" i="15"/>
  <c r="C32" i="15"/>
  <c r="F32" i="15"/>
  <c r="E32" i="15"/>
  <c r="G32" i="15"/>
  <c r="B32" i="15"/>
  <c r="G46" i="15"/>
  <c r="F46" i="15"/>
  <c r="E46" i="15"/>
  <c r="H46" i="15"/>
  <c r="D46" i="15"/>
  <c r="C50" i="19"/>
  <c r="B50" i="5" s="1"/>
  <c r="E50" i="19"/>
  <c r="C50" i="5" s="1"/>
  <c r="D50" i="19"/>
  <c r="F50" i="5" s="1"/>
  <c r="J50" i="19"/>
  <c r="F50" i="19"/>
  <c r="I50" i="19"/>
  <c r="H50" i="5" s="1"/>
  <c r="H50" i="19"/>
  <c r="G50" i="5" s="1"/>
  <c r="E37" i="6"/>
  <c r="B37" i="6"/>
  <c r="G37" i="6"/>
  <c r="C37" i="6"/>
  <c r="H37" i="6"/>
  <c r="F37" i="6"/>
  <c r="H44" i="19"/>
  <c r="G44" i="5" s="1"/>
  <c r="D44" i="19"/>
  <c r="F44" i="5" s="1"/>
  <c r="C44" i="19"/>
  <c r="B44" i="5" s="1"/>
  <c r="J44" i="19"/>
  <c r="I44" i="19"/>
  <c r="H44" i="5" s="1"/>
  <c r="F44" i="19"/>
  <c r="E44" i="19"/>
  <c r="C44" i="5" s="1"/>
  <c r="B13" i="7"/>
  <c r="E20" i="7"/>
  <c r="E34" i="7"/>
  <c r="C41" i="7"/>
  <c r="D49" i="7"/>
  <c r="H11" i="8"/>
  <c r="H34" i="8"/>
  <c r="D42" i="8"/>
  <c r="B34" i="10"/>
  <c r="F7" i="13"/>
  <c r="H12" i="15"/>
  <c r="C38" i="15"/>
  <c r="G7" i="12"/>
  <c r="B7" i="12"/>
  <c r="C7" i="12"/>
  <c r="R6" i="17"/>
  <c r="H7" i="12"/>
  <c r="E7" i="12"/>
  <c r="F7" i="12"/>
  <c r="Q6" i="17"/>
  <c r="F7" i="11"/>
  <c r="D7" i="12"/>
  <c r="H7" i="11"/>
  <c r="O6" i="17"/>
  <c r="O12" i="17"/>
  <c r="E15" i="11"/>
  <c r="F15" i="12"/>
  <c r="E15" i="12"/>
  <c r="H15" i="11"/>
  <c r="C15" i="12"/>
  <c r="F15" i="11"/>
  <c r="D15" i="12"/>
  <c r="G15" i="11"/>
  <c r="R14" i="17"/>
  <c r="Q14" i="17"/>
  <c r="B15" i="11"/>
  <c r="G15" i="12"/>
  <c r="B15" i="12"/>
  <c r="D15" i="11"/>
  <c r="C15" i="11"/>
  <c r="E30" i="8"/>
  <c r="F34" i="17"/>
  <c r="G34" i="17"/>
  <c r="E34" i="17"/>
  <c r="D34" i="17"/>
  <c r="A35" i="8"/>
  <c r="A35" i="5"/>
  <c r="C34" i="17"/>
  <c r="A35" i="15"/>
  <c r="A35" i="12"/>
  <c r="A35" i="10"/>
  <c r="A35" i="9"/>
  <c r="A35" i="7"/>
  <c r="A35" i="13"/>
  <c r="A35" i="6"/>
  <c r="A35" i="16"/>
  <c r="H45" i="7"/>
  <c r="E45" i="7"/>
  <c r="D45" i="7"/>
  <c r="B45" i="7"/>
  <c r="K50" i="19"/>
  <c r="E4" i="9"/>
  <c r="F6" i="9"/>
  <c r="F51" i="9" s="1"/>
  <c r="F53" i="9" s="1"/>
  <c r="E6" i="9"/>
  <c r="D6" i="9"/>
  <c r="C6" i="9"/>
  <c r="C6" i="27" s="1"/>
  <c r="B10" i="10"/>
  <c r="D10" i="10"/>
  <c r="D14" i="13"/>
  <c r="H14" i="13"/>
  <c r="G14" i="13"/>
  <c r="F14" i="13"/>
  <c r="E14" i="13"/>
  <c r="C27" i="7"/>
  <c r="G27" i="7"/>
  <c r="S32" i="17"/>
  <c r="G33" i="10"/>
  <c r="F33" i="10"/>
  <c r="D33" i="10"/>
  <c r="E33" i="10"/>
  <c r="H33" i="10"/>
  <c r="C35" i="8"/>
  <c r="C8" i="8"/>
  <c r="H12" i="8"/>
  <c r="G17" i="8"/>
  <c r="H27" i="8"/>
  <c r="H32" i="8"/>
  <c r="G42" i="8"/>
  <c r="D48" i="8"/>
  <c r="C5" i="15"/>
  <c r="F12" i="7"/>
  <c r="C12" i="7"/>
  <c r="B12" i="7"/>
  <c r="D12" i="7"/>
  <c r="G12" i="7"/>
  <c r="F14" i="8"/>
  <c r="E49" i="8"/>
  <c r="E40" i="8"/>
  <c r="F31" i="8"/>
  <c r="E27" i="8"/>
  <c r="H22" i="8"/>
  <c r="E18" i="8"/>
  <c r="D14" i="8"/>
  <c r="G9" i="8"/>
  <c r="G5" i="8"/>
  <c r="D31" i="8"/>
  <c r="C49" i="8"/>
  <c r="C40" i="8"/>
  <c r="G22" i="8"/>
  <c r="C18" i="8"/>
  <c r="C14" i="8"/>
  <c r="E9" i="8"/>
  <c r="F5" i="8"/>
  <c r="D43" i="8"/>
  <c r="G29" i="8"/>
  <c r="E25" i="8"/>
  <c r="D21" i="8"/>
  <c r="F12" i="8"/>
  <c r="F8" i="8"/>
  <c r="C4" i="8"/>
  <c r="P40" i="17"/>
  <c r="E41" i="6"/>
  <c r="D41" i="6"/>
  <c r="G3" i="27"/>
  <c r="C3" i="8"/>
  <c r="G8" i="8"/>
  <c r="D23" i="8"/>
  <c r="F38" i="8"/>
  <c r="C43" i="8"/>
  <c r="F48" i="8"/>
  <c r="B14" i="14"/>
  <c r="E14" i="14"/>
  <c r="D14" i="14"/>
  <c r="C14" i="14"/>
  <c r="F14" i="14"/>
  <c r="H14" i="14"/>
  <c r="B19" i="8"/>
  <c r="F33" i="13"/>
  <c r="E33" i="13"/>
  <c r="C33" i="13"/>
  <c r="H33" i="13"/>
  <c r="G33" i="13"/>
  <c r="D33" i="13"/>
  <c r="B33" i="13"/>
  <c r="D41" i="10"/>
  <c r="C41" i="10"/>
  <c r="S40" i="17"/>
  <c r="B41" i="10"/>
  <c r="E41" i="10"/>
  <c r="O42" i="17"/>
  <c r="D48" i="9"/>
  <c r="C48" i="9"/>
  <c r="B48" i="9"/>
  <c r="H48" i="9"/>
  <c r="G48" i="9"/>
  <c r="H3" i="8"/>
  <c r="H8" i="8"/>
  <c r="F18" i="8"/>
  <c r="C28" i="8"/>
  <c r="C33" i="8"/>
  <c r="G38" i="8"/>
  <c r="E43" i="8"/>
  <c r="G48" i="8"/>
  <c r="B33" i="10"/>
  <c r="B51" i="16"/>
  <c r="B53" i="16" s="1"/>
  <c r="B12" i="8"/>
  <c r="B14" i="9"/>
  <c r="Q17" i="17"/>
  <c r="G18" i="12"/>
  <c r="D18" i="11"/>
  <c r="H18" i="12"/>
  <c r="F18" i="12"/>
  <c r="C18" i="11"/>
  <c r="B18" i="11"/>
  <c r="O17" i="17"/>
  <c r="H23" i="14"/>
  <c r="G23" i="14"/>
  <c r="B23" i="14"/>
  <c r="E23" i="14"/>
  <c r="D23" i="14"/>
  <c r="F23" i="14"/>
  <c r="C23" i="14"/>
  <c r="C25" i="14"/>
  <c r="H25" i="14"/>
  <c r="B25" i="14"/>
  <c r="H15" i="6"/>
  <c r="G15" i="6"/>
  <c r="F15" i="6"/>
  <c r="H24" i="6"/>
  <c r="D24" i="6"/>
  <c r="E39" i="15"/>
  <c r="H39" i="15"/>
  <c r="F39" i="15"/>
  <c r="D39" i="15"/>
  <c r="C39" i="15"/>
  <c r="B39" i="15"/>
  <c r="G39" i="15"/>
  <c r="I45" i="19"/>
  <c r="H45" i="5" s="1"/>
  <c r="F45" i="19"/>
  <c r="K45" i="19"/>
  <c r="J45" i="19"/>
  <c r="H45" i="19"/>
  <c r="G45" i="5" s="1"/>
  <c r="F10" i="10"/>
  <c r="H36" i="15"/>
  <c r="N50" i="17"/>
  <c r="D7" i="9"/>
  <c r="F7" i="9"/>
  <c r="H7" i="9"/>
  <c r="G7" i="9"/>
  <c r="H27" i="7"/>
  <c r="F15" i="8"/>
  <c r="H20" i="8"/>
  <c r="D25" i="8"/>
  <c r="G35" i="8"/>
  <c r="D50" i="8"/>
  <c r="C34" i="8"/>
  <c r="G34" i="8"/>
  <c r="F34" i="8"/>
  <c r="G40" i="12"/>
  <c r="R39" i="17"/>
  <c r="Q39" i="17"/>
  <c r="E40" i="12"/>
  <c r="D40" i="12"/>
  <c r="H40" i="12"/>
  <c r="F40" i="12"/>
  <c r="B40" i="12"/>
  <c r="C40" i="12"/>
  <c r="F40" i="11"/>
  <c r="E40" i="11"/>
  <c r="D40" i="11"/>
  <c r="F49" i="9"/>
  <c r="H49" i="9"/>
  <c r="E49" i="9"/>
  <c r="D11" i="8"/>
  <c r="G15" i="8"/>
  <c r="H25" i="8"/>
  <c r="G30" i="8"/>
  <c r="H35" i="8"/>
  <c r="E50" i="8"/>
  <c r="D49" i="9"/>
  <c r="H10" i="10"/>
  <c r="C40" i="11"/>
  <c r="D38" i="8"/>
  <c r="C38" i="8"/>
  <c r="H44" i="6"/>
  <c r="P43" i="17"/>
  <c r="E15" i="6"/>
  <c r="C6" i="8"/>
  <c r="E11" i="8"/>
  <c r="H30" i="8"/>
  <c r="C46" i="8"/>
  <c r="F50" i="8"/>
  <c r="F32" i="9"/>
  <c r="G49" i="9"/>
  <c r="G40" i="11"/>
  <c r="C9" i="15"/>
  <c r="H22" i="15"/>
  <c r="G50" i="15"/>
  <c r="G6" i="10"/>
  <c r="R17" i="17"/>
  <c r="D42" i="13"/>
  <c r="C15" i="18"/>
  <c r="B52" i="6"/>
  <c r="F8" i="6"/>
  <c r="F10" i="6"/>
  <c r="H39" i="6"/>
  <c r="F39" i="6"/>
  <c r="G39" i="6"/>
  <c r="D10" i="6"/>
  <c r="B10" i="6"/>
  <c r="H38" i="6"/>
  <c r="E27" i="6"/>
  <c r="E19" i="6"/>
  <c r="B8" i="6"/>
  <c r="E38" i="6"/>
  <c r="G8" i="6"/>
  <c r="E8" i="6"/>
  <c r="D38" i="6"/>
  <c r="G19" i="6"/>
  <c r="C36" i="9"/>
  <c r="C19" i="9"/>
  <c r="C41" i="9"/>
  <c r="C22" i="9"/>
  <c r="C3" i="9"/>
  <c r="C37" i="9"/>
  <c r="C8" i="9"/>
  <c r="C44" i="9"/>
  <c r="C15" i="9"/>
  <c r="C40" i="9"/>
  <c r="C33" i="9"/>
  <c r="C26" i="9"/>
  <c r="C4" i="9"/>
  <c r="C11" i="9"/>
  <c r="C27" i="9"/>
  <c r="C52" i="9"/>
  <c r="C42" i="9"/>
  <c r="C35" i="9"/>
  <c r="C30" i="9"/>
  <c r="C16" i="9"/>
  <c r="C50" i="12"/>
  <c r="B50" i="12"/>
  <c r="H3" i="12"/>
  <c r="F38" i="12"/>
  <c r="B17" i="12"/>
  <c r="D6" i="12"/>
  <c r="D3" i="28" s="1"/>
  <c r="F45" i="12"/>
  <c r="C6" i="12"/>
  <c r="C3" i="28" s="1"/>
  <c r="D45" i="12"/>
  <c r="D38" i="12"/>
  <c r="B6" i="12"/>
  <c r="F3" i="12"/>
  <c r="D27" i="12"/>
  <c r="D3" i="12"/>
  <c r="H50" i="12"/>
  <c r="B38" i="12"/>
  <c r="F17" i="12"/>
  <c r="B45" i="12"/>
  <c r="G50" i="12"/>
  <c r="D47" i="12"/>
  <c r="G47" i="12"/>
  <c r="F41" i="12"/>
  <c r="C17" i="12"/>
  <c r="G10" i="12"/>
  <c r="F47" i="12"/>
  <c r="F10" i="12"/>
  <c r="C45" i="12"/>
  <c r="E52" i="15"/>
  <c r="E48" i="15"/>
  <c r="E42" i="15"/>
  <c r="E43" i="15"/>
  <c r="E33" i="15"/>
  <c r="E15" i="15"/>
  <c r="E11" i="15"/>
  <c r="E20" i="15"/>
  <c r="E12" i="15"/>
  <c r="E8" i="15"/>
  <c r="E4" i="15"/>
  <c r="E19" i="15"/>
  <c r="E50" i="15"/>
  <c r="E5" i="15"/>
  <c r="E28" i="15"/>
  <c r="E23" i="15"/>
  <c r="E6" i="15"/>
  <c r="E36" i="15"/>
  <c r="E44" i="15"/>
  <c r="E26" i="15"/>
  <c r="J24" i="19"/>
  <c r="I24" i="19"/>
  <c r="H24" i="5" s="1"/>
  <c r="D24" i="19"/>
  <c r="F24" i="5" s="1"/>
  <c r="K24" i="19"/>
  <c r="E24" i="19"/>
  <c r="C24" i="5" s="1"/>
  <c r="C24" i="19"/>
  <c r="B24" i="5" s="1"/>
  <c r="P39" i="17"/>
  <c r="D40" i="6"/>
  <c r="B40" i="6"/>
  <c r="C40" i="6"/>
  <c r="G10" i="10"/>
  <c r="C38" i="13"/>
  <c r="B38" i="13"/>
  <c r="H38" i="13"/>
  <c r="D38" i="13"/>
  <c r="G38" i="13"/>
  <c r="D47" i="13"/>
  <c r="E40" i="6"/>
  <c r="P5" i="17"/>
  <c r="D6" i="6"/>
  <c r="H6" i="6"/>
  <c r="C6" i="6"/>
  <c r="G47" i="8"/>
  <c r="F47" i="8"/>
  <c r="E47" i="8"/>
  <c r="H47" i="8"/>
  <c r="D47" i="8"/>
  <c r="G40" i="6"/>
  <c r="D6" i="8"/>
  <c r="D5" i="27" s="1"/>
  <c r="F11" i="8"/>
  <c r="C21" i="8"/>
  <c r="C26" i="8"/>
  <c r="D36" i="8"/>
  <c r="D46" i="8"/>
  <c r="H40" i="11"/>
  <c r="D9" i="15"/>
  <c r="G9" i="9"/>
  <c r="F9" i="9"/>
  <c r="E9" i="9"/>
  <c r="D9" i="9"/>
  <c r="F13" i="15"/>
  <c r="E13" i="15"/>
  <c r="B13" i="15"/>
  <c r="H17" i="8"/>
  <c r="C17" i="8"/>
  <c r="G34" i="9"/>
  <c r="H34" i="9"/>
  <c r="E42" i="8"/>
  <c r="H42" i="8"/>
  <c r="H44" i="7"/>
  <c r="F44" i="7"/>
  <c r="G44" i="7"/>
  <c r="D15" i="18"/>
  <c r="C10" i="6"/>
  <c r="C18" i="6"/>
  <c r="D41" i="9"/>
  <c r="D30" i="9"/>
  <c r="D19" i="9"/>
  <c r="D8" i="9"/>
  <c r="D33" i="9"/>
  <c r="D22" i="9"/>
  <c r="D3" i="9"/>
  <c r="D44" i="9"/>
  <c r="D25" i="9"/>
  <c r="D15" i="9"/>
  <c r="D26" i="9"/>
  <c r="D4" i="9"/>
  <c r="D40" i="9"/>
  <c r="D50" i="9"/>
  <c r="D28" i="9"/>
  <c r="D52" i="9"/>
  <c r="D42" i="9"/>
  <c r="D21" i="9"/>
  <c r="D17" i="9"/>
  <c r="E38" i="12"/>
  <c r="E3" i="12"/>
  <c r="E47" i="12"/>
  <c r="E6" i="12"/>
  <c r="F43" i="15"/>
  <c r="F33" i="15"/>
  <c r="F52" i="15"/>
  <c r="F15" i="15"/>
  <c r="F11" i="15"/>
  <c r="F26" i="15"/>
  <c r="F42" i="15"/>
  <c r="F12" i="15"/>
  <c r="F8" i="15"/>
  <c r="F4" i="15"/>
  <c r="F50" i="15"/>
  <c r="F28" i="15"/>
  <c r="F23" i="15"/>
  <c r="F31" i="15"/>
  <c r="F49" i="15"/>
  <c r="F44" i="15"/>
  <c r="F24" i="19"/>
  <c r="C11" i="8"/>
  <c r="H40" i="6"/>
  <c r="G11" i="8"/>
  <c r="D16" i="8"/>
  <c r="E21" i="8"/>
  <c r="F26" i="8"/>
  <c r="C31" i="8"/>
  <c r="E36" i="8"/>
  <c r="F46" i="8"/>
  <c r="H9" i="15"/>
  <c r="F9" i="15"/>
  <c r="G9" i="15"/>
  <c r="C47" i="15"/>
  <c r="D36" i="15"/>
  <c r="C26" i="15"/>
  <c r="D21" i="15"/>
  <c r="B12" i="15"/>
  <c r="B7" i="15"/>
  <c r="G43" i="15"/>
  <c r="C30" i="15"/>
  <c r="D23" i="15"/>
  <c r="C12" i="15"/>
  <c r="G42" i="15"/>
  <c r="C23" i="15"/>
  <c r="H11" i="15"/>
  <c r="D6" i="15"/>
  <c r="H45" i="15"/>
  <c r="D26" i="15"/>
  <c r="B9" i="15"/>
  <c r="G45" i="15"/>
  <c r="B26" i="15"/>
  <c r="H19" i="15"/>
  <c r="H8" i="15"/>
  <c r="G21" i="15"/>
  <c r="D15" i="15"/>
  <c r="C8" i="15"/>
  <c r="C36" i="15"/>
  <c r="D28" i="15"/>
  <c r="B21" i="15"/>
  <c r="C15" i="15"/>
  <c r="C49" i="15"/>
  <c r="G34" i="15"/>
  <c r="B6" i="15"/>
  <c r="B6" i="28" s="1"/>
  <c r="H24" i="9"/>
  <c r="F24" i="9"/>
  <c r="B24" i="9"/>
  <c r="G32" i="9"/>
  <c r="B32" i="9"/>
  <c r="F44" i="13"/>
  <c r="H44" i="13"/>
  <c r="G44" i="13"/>
  <c r="C44" i="13"/>
  <c r="D44" i="13"/>
  <c r="B44" i="13"/>
  <c r="B46" i="6"/>
  <c r="C46" i="6"/>
  <c r="G46" i="6"/>
  <c r="F46" i="6"/>
  <c r="D46" i="6"/>
  <c r="E46" i="6"/>
  <c r="P49" i="17"/>
  <c r="D50" i="6"/>
  <c r="C50" i="6"/>
  <c r="F7" i="8"/>
  <c r="E7" i="8"/>
  <c r="D7" i="8"/>
  <c r="C10" i="9"/>
  <c r="F10" i="9"/>
  <c r="H33" i="8"/>
  <c r="F33" i="8"/>
  <c r="G33" i="8"/>
  <c r="C37" i="15"/>
  <c r="B37" i="15"/>
  <c r="H37" i="15"/>
  <c r="Q40" i="17"/>
  <c r="H41" i="11"/>
  <c r="D41" i="11"/>
  <c r="R40" i="17"/>
  <c r="H41" i="12"/>
  <c r="G41" i="12"/>
  <c r="G41" i="11"/>
  <c r="F42" i="17"/>
  <c r="A43" i="10"/>
  <c r="A43" i="15"/>
  <c r="A43" i="14"/>
  <c r="A43" i="7"/>
  <c r="D4" i="27" s="1"/>
  <c r="A43" i="6"/>
  <c r="B3" i="27" s="1"/>
  <c r="A43" i="13"/>
  <c r="G4" i="28" s="1"/>
  <c r="E42" i="17"/>
  <c r="D42" i="17"/>
  <c r="F48" i="14"/>
  <c r="E48" i="14"/>
  <c r="G3" i="17"/>
  <c r="C3" i="17"/>
  <c r="A4" i="15"/>
  <c r="E6" i="28" s="1"/>
  <c r="A4" i="14"/>
  <c r="D5" i="28" s="1"/>
  <c r="A4" i="11"/>
  <c r="A4" i="12"/>
  <c r="A4" i="6"/>
  <c r="F3" i="27" s="1"/>
  <c r="A4" i="16"/>
  <c r="C7" i="28" s="1"/>
  <c r="E3" i="17"/>
  <c r="A4" i="7"/>
  <c r="B4" i="27" s="1"/>
  <c r="F3" i="17"/>
  <c r="D38" i="10"/>
  <c r="S37" i="17"/>
  <c r="B38" i="10"/>
  <c r="K14" i="19"/>
  <c r="G31" i="19" s="1"/>
  <c r="E31" i="5" s="1"/>
  <c r="H14" i="19"/>
  <c r="G14" i="5" s="1"/>
  <c r="D14" i="19"/>
  <c r="F14" i="5" s="1"/>
  <c r="C14" i="19"/>
  <c r="B14" i="5" s="1"/>
  <c r="F14" i="19"/>
  <c r="E41" i="12"/>
  <c r="D3" i="17"/>
  <c r="B20" i="8"/>
  <c r="E26" i="13"/>
  <c r="D26" i="13"/>
  <c r="H26" i="13"/>
  <c r="D28" i="7"/>
  <c r="C28" i="7"/>
  <c r="G28" i="7"/>
  <c r="F28" i="7"/>
  <c r="B28" i="7"/>
  <c r="E28" i="7"/>
  <c r="P29" i="17"/>
  <c r="H30" i="6"/>
  <c r="B30" i="6"/>
  <c r="A32" i="10"/>
  <c r="G31" i="17"/>
  <c r="A32" i="14"/>
  <c r="A32" i="9"/>
  <c r="A32" i="8"/>
  <c r="F31" i="17"/>
  <c r="D31" i="17"/>
  <c r="E31" i="17"/>
  <c r="A32" i="12"/>
  <c r="C31" i="17"/>
  <c r="O31" i="17" s="1"/>
  <c r="B41" i="14"/>
  <c r="F41" i="14"/>
  <c r="E41" i="14"/>
  <c r="C41" i="14"/>
  <c r="D41" i="14"/>
  <c r="E14" i="19"/>
  <c r="C14" i="5" s="1"/>
  <c r="K48" i="19"/>
  <c r="J48" i="19"/>
  <c r="I48" i="19"/>
  <c r="H48" i="5" s="1"/>
  <c r="H48" i="19"/>
  <c r="G48" i="5" s="1"/>
  <c r="F48" i="19"/>
  <c r="E48" i="19"/>
  <c r="C48" i="5" s="1"/>
  <c r="F6" i="10"/>
  <c r="F7" i="27" s="1"/>
  <c r="S5" i="17"/>
  <c r="E6" i="10"/>
  <c r="D6" i="10"/>
  <c r="C6" i="10"/>
  <c r="C7" i="27" s="1"/>
  <c r="F20" i="8"/>
  <c r="E20" i="8"/>
  <c r="D20" i="8"/>
  <c r="C20" i="8"/>
  <c r="D10" i="19"/>
  <c r="F10" i="5" s="1"/>
  <c r="K10" i="19"/>
  <c r="J10" i="19"/>
  <c r="C10" i="19"/>
  <c r="B10" i="5" s="1"/>
  <c r="H6" i="10"/>
  <c r="H7" i="27" s="1"/>
  <c r="D37" i="15"/>
  <c r="A43" i="16"/>
  <c r="O7" i="17"/>
  <c r="G9" i="14"/>
  <c r="F9" i="14"/>
  <c r="E9" i="14"/>
  <c r="C9" i="14"/>
  <c r="D9" i="14"/>
  <c r="B17" i="13"/>
  <c r="H17" i="13"/>
  <c r="G17" i="13"/>
  <c r="F17" i="13"/>
  <c r="E17" i="13"/>
  <c r="D17" i="13"/>
  <c r="F20" i="14"/>
  <c r="E20" i="14"/>
  <c r="H20" i="14"/>
  <c r="C20" i="14"/>
  <c r="G20" i="14"/>
  <c r="H30" i="11"/>
  <c r="R29" i="17"/>
  <c r="Q29" i="17"/>
  <c r="B30" i="12"/>
  <c r="O29" i="17"/>
  <c r="H30" i="12"/>
  <c r="E30" i="11"/>
  <c r="D30" i="11"/>
  <c r="G30" i="12"/>
  <c r="A40" i="16"/>
  <c r="G7" i="28" s="1"/>
  <c r="A40" i="15"/>
  <c r="A40" i="12"/>
  <c r="A40" i="11"/>
  <c r="A40" i="5"/>
  <c r="A40" i="6"/>
  <c r="G39" i="17"/>
  <c r="A40" i="13"/>
  <c r="F39" i="17"/>
  <c r="B32" i="8"/>
  <c r="B4" i="8"/>
  <c r="B49" i="8"/>
  <c r="B46" i="8"/>
  <c r="B43" i="8"/>
  <c r="B40" i="8"/>
  <c r="B37" i="8"/>
  <c r="B35" i="8"/>
  <c r="B41" i="8"/>
  <c r="B34" i="8"/>
  <c r="B7" i="8"/>
  <c r="B17" i="8"/>
  <c r="B27" i="8"/>
  <c r="B52" i="8"/>
  <c r="C45" i="11"/>
  <c r="C50" i="11"/>
  <c r="C3" i="11"/>
  <c r="E6" i="11"/>
  <c r="B3" i="11"/>
  <c r="D6" i="11"/>
  <c r="G50" i="11"/>
  <c r="G38" i="11"/>
  <c r="G27" i="11"/>
  <c r="D50" i="11"/>
  <c r="C38" i="11"/>
  <c r="D27" i="11"/>
  <c r="E50" i="11"/>
  <c r="D38" i="11"/>
  <c r="H17" i="11"/>
  <c r="C10" i="11"/>
  <c r="C6" i="11"/>
  <c r="E45" i="11"/>
  <c r="G49" i="11"/>
  <c r="B45" i="11"/>
  <c r="H10" i="11"/>
  <c r="G6" i="11"/>
  <c r="G47" i="11"/>
  <c r="G3" i="11"/>
  <c r="F47" i="11"/>
  <c r="H27" i="11"/>
  <c r="F3" i="11"/>
  <c r="D40" i="14"/>
  <c r="D44" i="14"/>
  <c r="D37" i="14"/>
  <c r="D7" i="14"/>
  <c r="D28" i="14"/>
  <c r="D46" i="14"/>
  <c r="D38" i="14"/>
  <c r="D50" i="14"/>
  <c r="D5" i="14"/>
  <c r="D36" i="14"/>
  <c r="D27" i="14"/>
  <c r="D29" i="14"/>
  <c r="D15" i="14"/>
  <c r="D47" i="14"/>
  <c r="K4" i="19"/>
  <c r="G21" i="19" s="1"/>
  <c r="E21" i="5" s="1"/>
  <c r="H4" i="19"/>
  <c r="G4" i="5" s="1"/>
  <c r="D4" i="19"/>
  <c r="F4" i="5" s="1"/>
  <c r="F51" i="5" s="1"/>
  <c r="F53" i="5" s="1"/>
  <c r="F10" i="19"/>
  <c r="I14" i="19"/>
  <c r="H14" i="5" s="1"/>
  <c r="F42" i="19"/>
  <c r="E42" i="19"/>
  <c r="C42" i="5" s="1"/>
  <c r="J42" i="19"/>
  <c r="I42" i="19"/>
  <c r="H42" i="5" s="1"/>
  <c r="H42" i="19"/>
  <c r="G42" i="5" s="1"/>
  <c r="E27" i="13"/>
  <c r="C27" i="13"/>
  <c r="H27" i="13"/>
  <c r="F30" i="17"/>
  <c r="E30" i="17"/>
  <c r="G30" i="17"/>
  <c r="C30" i="17"/>
  <c r="O30" i="17" s="1"/>
  <c r="A31" i="16"/>
  <c r="A31" i="14"/>
  <c r="A31" i="8"/>
  <c r="A31" i="15"/>
  <c r="A31" i="12"/>
  <c r="A31" i="6"/>
  <c r="A31" i="11"/>
  <c r="G36" i="17"/>
  <c r="A37" i="8"/>
  <c r="A37" i="16"/>
  <c r="A37" i="6"/>
  <c r="A37" i="5"/>
  <c r="F36" i="17"/>
  <c r="A37" i="10"/>
  <c r="A37" i="9"/>
  <c r="G6" i="27" s="1"/>
  <c r="A37" i="11"/>
  <c r="G45" i="14"/>
  <c r="K3" i="19"/>
  <c r="H3" i="19"/>
  <c r="I3" i="19"/>
  <c r="F3" i="19"/>
  <c r="E3" i="19"/>
  <c r="H4" i="8"/>
  <c r="E8" i="8"/>
  <c r="H15" i="8"/>
  <c r="H19" i="8"/>
  <c r="C24" i="8"/>
  <c r="D32" i="8"/>
  <c r="C36" i="8"/>
  <c r="A37" i="12"/>
  <c r="A13" i="15"/>
  <c r="F6" i="28" s="1"/>
  <c r="A13" i="14"/>
  <c r="A13" i="5"/>
  <c r="G12" i="17"/>
  <c r="A13" i="16"/>
  <c r="F12" i="17"/>
  <c r="E12" i="17"/>
  <c r="A13" i="12"/>
  <c r="A13" i="6"/>
  <c r="D3" i="27" s="1"/>
  <c r="D12" i="17"/>
  <c r="A13" i="11"/>
  <c r="H23" i="8"/>
  <c r="D27" i="8"/>
  <c r="C27" i="8"/>
  <c r="D30" i="17"/>
  <c r="C36" i="17"/>
  <c r="O36" i="17" s="1"/>
  <c r="F38" i="9"/>
  <c r="C38" i="9"/>
  <c r="B38" i="9"/>
  <c r="S46" i="17"/>
  <c r="C47" i="10"/>
  <c r="E47" i="10"/>
  <c r="D47" i="10"/>
  <c r="B47" i="10"/>
  <c r="G47" i="10"/>
  <c r="H47" i="10"/>
  <c r="C3" i="19"/>
  <c r="D13" i="8"/>
  <c r="G4" i="8"/>
  <c r="G25" i="8"/>
  <c r="F22" i="8"/>
  <c r="F19" i="8"/>
  <c r="F16" i="8"/>
  <c r="F13" i="8"/>
  <c r="F10" i="8"/>
  <c r="H31" i="8"/>
  <c r="F25" i="8"/>
  <c r="D10" i="8"/>
  <c r="D4" i="8"/>
  <c r="F37" i="8"/>
  <c r="F30" i="8"/>
  <c r="G10" i="8"/>
  <c r="G3" i="8"/>
  <c r="H13" i="8"/>
  <c r="C10" i="8"/>
  <c r="F3" i="8"/>
  <c r="F40" i="8"/>
  <c r="C37" i="8"/>
  <c r="C30" i="8"/>
  <c r="F23" i="8"/>
  <c r="H16" i="8"/>
  <c r="C13" i="8"/>
  <c r="F6" i="8"/>
  <c r="D3" i="8"/>
  <c r="H40" i="8"/>
  <c r="D37" i="8"/>
  <c r="G13" i="8"/>
  <c r="G6" i="8"/>
  <c r="G8" i="15"/>
  <c r="D17" i="14"/>
  <c r="C17" i="14"/>
  <c r="E17" i="14"/>
  <c r="B17" i="14"/>
  <c r="O18" i="17"/>
  <c r="C22" i="14"/>
  <c r="G28" i="8"/>
  <c r="H28" i="8"/>
  <c r="F28" i="8"/>
  <c r="S29" i="17"/>
  <c r="C30" i="10"/>
  <c r="B30" i="10"/>
  <c r="G34" i="10"/>
  <c r="D34" i="10"/>
  <c r="H34" i="10"/>
  <c r="F34" i="10"/>
  <c r="D36" i="13"/>
  <c r="F36" i="13"/>
  <c r="C36" i="13"/>
  <c r="E39" i="14"/>
  <c r="F39" i="14"/>
  <c r="D39" i="14"/>
  <c r="C39" i="14"/>
  <c r="C48" i="8"/>
  <c r="G50" i="8"/>
  <c r="H50" i="8"/>
  <c r="D43" i="19"/>
  <c r="F43" i="5" s="1"/>
  <c r="I43" i="19"/>
  <c r="H43" i="5" s="1"/>
  <c r="H43" i="19"/>
  <c r="G43" i="5" s="1"/>
  <c r="F43" i="19"/>
  <c r="E43" i="19"/>
  <c r="C43" i="5" s="1"/>
  <c r="C43" i="19"/>
  <c r="B43" i="5" s="1"/>
  <c r="E6" i="8"/>
  <c r="E5" i="27" s="1"/>
  <c r="D18" i="8"/>
  <c r="C22" i="8"/>
  <c r="E26" i="8"/>
  <c r="D30" i="10"/>
  <c r="A37" i="15"/>
  <c r="L50" i="17"/>
  <c r="E32" i="14"/>
  <c r="E36" i="14"/>
  <c r="F40" i="14"/>
  <c r="G3" i="14"/>
  <c r="E44" i="14"/>
  <c r="F37" i="14"/>
  <c r="H33" i="14"/>
  <c r="F7" i="14"/>
  <c r="H47" i="14"/>
  <c r="H40" i="14"/>
  <c r="H50" i="14"/>
  <c r="E28" i="14"/>
  <c r="F24" i="14"/>
  <c r="E24" i="14"/>
  <c r="E38" i="14"/>
  <c r="E34" i="14"/>
  <c r="F50" i="14"/>
  <c r="C46" i="14"/>
  <c r="C34" i="14"/>
  <c r="H29" i="14"/>
  <c r="B46" i="14"/>
  <c r="B38" i="14"/>
  <c r="F33" i="14"/>
  <c r="F29" i="14"/>
  <c r="H36" i="14"/>
  <c r="C32" i="14"/>
  <c r="F27" i="14"/>
  <c r="E5" i="14"/>
  <c r="F36" i="14"/>
  <c r="B32" i="14"/>
  <c r="E27" i="14"/>
  <c r="C50" i="14"/>
  <c r="E45" i="14"/>
  <c r="C36" i="14"/>
  <c r="E13" i="14"/>
  <c r="B5" i="14"/>
  <c r="H22" i="14"/>
  <c r="F13" i="14"/>
  <c r="C5" i="14"/>
  <c r="F43" i="14"/>
  <c r="F34" i="14"/>
  <c r="H15" i="14"/>
  <c r="G11" i="14"/>
  <c r="B3" i="14"/>
  <c r="H19" i="6"/>
  <c r="B26" i="14"/>
  <c r="H26" i="14"/>
  <c r="B39" i="9"/>
  <c r="B41" i="7"/>
  <c r="G41" i="7"/>
  <c r="F41" i="7"/>
  <c r="D41" i="7"/>
  <c r="E41" i="7"/>
  <c r="B48" i="8"/>
  <c r="F15" i="18"/>
  <c r="E52" i="6"/>
  <c r="E10" i="6"/>
  <c r="F52" i="9"/>
  <c r="F16" i="9"/>
  <c r="F50" i="9"/>
  <c r="F4" i="9"/>
  <c r="F44" i="9"/>
  <c r="F25" i="9"/>
  <c r="F47" i="9"/>
  <c r="F12" i="9"/>
  <c r="F40" i="9"/>
  <c r="F33" i="9"/>
  <c r="F29" i="9"/>
  <c r="F22" i="9"/>
  <c r="F18" i="9"/>
  <c r="F11" i="9"/>
  <c r="G45" i="12"/>
  <c r="G3" i="12"/>
  <c r="G52" i="12"/>
  <c r="H4" i="15"/>
  <c r="H42" i="15"/>
  <c r="H52" i="15"/>
  <c r="H33" i="15"/>
  <c r="H23" i="15"/>
  <c r="H44" i="15"/>
  <c r="H18" i="15"/>
  <c r="I23" i="19"/>
  <c r="H23" i="5" s="1"/>
  <c r="F23" i="19"/>
  <c r="J23" i="19"/>
  <c r="H23" i="19"/>
  <c r="G23" i="5" s="1"/>
  <c r="E23" i="19"/>
  <c r="C23" i="5" s="1"/>
  <c r="K23" i="19"/>
  <c r="G23" i="19" s="1"/>
  <c r="E23" i="5" s="1"/>
  <c r="D23" i="19"/>
  <c r="F23" i="5" s="1"/>
  <c r="F31" i="19"/>
  <c r="E31" i="19"/>
  <c r="C31" i="5" s="1"/>
  <c r="J31" i="19"/>
  <c r="I31" i="19"/>
  <c r="H31" i="5" s="1"/>
  <c r="H31" i="19"/>
  <c r="G31" i="5" s="1"/>
  <c r="K31" i="19"/>
  <c r="D31" i="19"/>
  <c r="F31" i="5" s="1"/>
  <c r="J43" i="19"/>
  <c r="G7" i="15"/>
  <c r="F7" i="15"/>
  <c r="E7" i="15"/>
  <c r="H7" i="15"/>
  <c r="H10" i="15"/>
  <c r="F10" i="15"/>
  <c r="C34" i="15"/>
  <c r="H34" i="15"/>
  <c r="C38" i="7"/>
  <c r="D38" i="7"/>
  <c r="G43" i="7"/>
  <c r="B43" i="7"/>
  <c r="B47" i="15"/>
  <c r="H47" i="15"/>
  <c r="G47" i="15"/>
  <c r="F47" i="15"/>
  <c r="E47" i="15"/>
  <c r="E15" i="18"/>
  <c r="E52" i="8"/>
  <c r="E46" i="8"/>
  <c r="E10" i="8"/>
  <c r="E4" i="8"/>
  <c r="E22" i="8"/>
  <c r="E16" i="8"/>
  <c r="E13" i="8"/>
  <c r="F17" i="11"/>
  <c r="F6" i="11"/>
  <c r="G47" i="14"/>
  <c r="G49" i="14"/>
  <c r="G27" i="14"/>
  <c r="G43" i="14"/>
  <c r="G15" i="14"/>
  <c r="G12" i="14"/>
  <c r="G33" i="14"/>
  <c r="G50" i="14"/>
  <c r="G46" i="14"/>
  <c r="C28" i="19"/>
  <c r="B28" i="5" s="1"/>
  <c r="K28" i="19"/>
  <c r="J28" i="19"/>
  <c r="I28" i="19"/>
  <c r="H28" i="5" s="1"/>
  <c r="F28" i="19"/>
  <c r="E28" i="19"/>
  <c r="C28" i="5" s="1"/>
  <c r="B38" i="7"/>
  <c r="E3" i="8"/>
  <c r="G23" i="8"/>
  <c r="D30" i="8"/>
  <c r="A44" i="9"/>
  <c r="F6" i="27" s="1"/>
  <c r="A44" i="10"/>
  <c r="E27" i="11"/>
  <c r="H27" i="12"/>
  <c r="D34" i="15"/>
  <c r="A5" i="14"/>
  <c r="A5" i="12"/>
  <c r="A5" i="16"/>
  <c r="G4" i="17"/>
  <c r="F4" i="17"/>
  <c r="E4" i="17"/>
  <c r="D37" i="13"/>
  <c r="E15" i="13"/>
  <c r="C15" i="13"/>
  <c r="P18" i="17"/>
  <c r="E21" i="14"/>
  <c r="H21" i="14"/>
  <c r="G21" i="14"/>
  <c r="D24" i="17"/>
  <c r="C24" i="17"/>
  <c r="G24" i="17"/>
  <c r="A25" i="14"/>
  <c r="F24" i="17"/>
  <c r="A25" i="13"/>
  <c r="A25" i="15"/>
  <c r="A25" i="8"/>
  <c r="A25" i="16"/>
  <c r="A25" i="6"/>
  <c r="C28" i="15"/>
  <c r="H28" i="15"/>
  <c r="G28" i="15"/>
  <c r="P38" i="17"/>
  <c r="D39" i="6"/>
  <c r="G40" i="9"/>
  <c r="D48" i="17"/>
  <c r="A49" i="12"/>
  <c r="G48" i="17"/>
  <c r="A49" i="6"/>
  <c r="A49" i="7"/>
  <c r="B50" i="15"/>
  <c r="H18" i="6"/>
  <c r="C17" i="10"/>
  <c r="B19" i="10"/>
  <c r="D3" i="10"/>
  <c r="H18" i="10"/>
  <c r="C3" i="10"/>
  <c r="C32" i="13"/>
  <c r="C21" i="13"/>
  <c r="C18" i="13"/>
  <c r="C28" i="13"/>
  <c r="C5" i="13"/>
  <c r="C46" i="13"/>
  <c r="C6" i="13"/>
  <c r="C4" i="28" s="1"/>
  <c r="C10" i="13"/>
  <c r="C49" i="13"/>
  <c r="K26" i="19"/>
  <c r="H26" i="19"/>
  <c r="G26" i="5" s="1"/>
  <c r="F26" i="19"/>
  <c r="E26" i="19"/>
  <c r="C26" i="5" s="1"/>
  <c r="J26" i="19"/>
  <c r="I26" i="19"/>
  <c r="H26" i="5" s="1"/>
  <c r="D26" i="19"/>
  <c r="F26" i="5" s="1"/>
  <c r="C26" i="19"/>
  <c r="B26" i="5" s="1"/>
  <c r="G22" i="14"/>
  <c r="B5" i="15"/>
  <c r="G18" i="15"/>
  <c r="B34" i="15"/>
  <c r="G44" i="15"/>
  <c r="G49" i="15"/>
  <c r="G51" i="16"/>
  <c r="G53" i="16" s="1"/>
  <c r="C48" i="15"/>
  <c r="D42" i="15"/>
  <c r="D33" i="15"/>
  <c r="D20" i="15"/>
  <c r="G28" i="9"/>
  <c r="H28" i="9"/>
  <c r="F28" i="9"/>
  <c r="E28" i="9"/>
  <c r="H35" i="9"/>
  <c r="B35" i="9"/>
  <c r="C42" i="14"/>
  <c r="F42" i="14"/>
  <c r="D42" i="14"/>
  <c r="B42" i="14"/>
  <c r="A44" i="15"/>
  <c r="C43" i="17"/>
  <c r="A44" i="14"/>
  <c r="A44" i="7"/>
  <c r="F45" i="14"/>
  <c r="E38" i="7"/>
  <c r="E37" i="8"/>
  <c r="F38" i="11"/>
  <c r="F50" i="11"/>
  <c r="H45" i="14"/>
  <c r="G23" i="15"/>
  <c r="E34" i="15"/>
  <c r="C4" i="17"/>
  <c r="C13" i="14"/>
  <c r="D13" i="14"/>
  <c r="H13" i="14"/>
  <c r="G13" i="14"/>
  <c r="G21" i="9"/>
  <c r="F23" i="13"/>
  <c r="E24" i="17"/>
  <c r="P26" i="17"/>
  <c r="H27" i="6"/>
  <c r="H30" i="13"/>
  <c r="E30" i="13"/>
  <c r="C30" i="13"/>
  <c r="E43" i="17"/>
  <c r="E45" i="15"/>
  <c r="D46" i="17"/>
  <c r="C46" i="17"/>
  <c r="O46" i="17" s="1"/>
  <c r="A47" i="16"/>
  <c r="A47" i="14"/>
  <c r="A47" i="15"/>
  <c r="C48" i="17"/>
  <c r="O48" i="17" s="1"/>
  <c r="G5" i="15"/>
  <c r="F34" i="15"/>
  <c r="B45" i="15"/>
  <c r="K50" i="17"/>
  <c r="P4" i="17"/>
  <c r="G5" i="6"/>
  <c r="E10" i="12"/>
  <c r="B10" i="12"/>
  <c r="Q9" i="17"/>
  <c r="D10" i="12"/>
  <c r="C10" i="12"/>
  <c r="H13" i="9"/>
  <c r="B13" i="9"/>
  <c r="F13" i="9"/>
  <c r="B15" i="8"/>
  <c r="C23" i="8"/>
  <c r="E23" i="8"/>
  <c r="G27" i="12"/>
  <c r="F27" i="12"/>
  <c r="E27" i="12"/>
  <c r="F43" i="17"/>
  <c r="D47" i="11"/>
  <c r="R46" i="17"/>
  <c r="Q46" i="17"/>
  <c r="B47" i="11"/>
  <c r="G49" i="12"/>
  <c r="F49" i="12"/>
  <c r="E49" i="12"/>
  <c r="R48" i="17"/>
  <c r="D49" i="12"/>
  <c r="Q48" i="17"/>
  <c r="C49" i="12"/>
  <c r="H49" i="11"/>
  <c r="E24" i="7"/>
  <c r="G25" i="17"/>
  <c r="A26" i="8"/>
  <c r="A26" i="6"/>
  <c r="C3" i="27" s="1"/>
  <c r="F27" i="9"/>
  <c r="E27" i="9"/>
  <c r="F30" i="14"/>
  <c r="E30" i="14"/>
  <c r="D30" i="14"/>
  <c r="A34" i="14"/>
  <c r="G33" i="17"/>
  <c r="A34" i="15"/>
  <c r="A34" i="12"/>
  <c r="A34" i="8"/>
  <c r="F35" i="15"/>
  <c r="H35" i="15"/>
  <c r="G47" i="17"/>
  <c r="A48" i="8"/>
  <c r="F47" i="17"/>
  <c r="A48" i="15"/>
  <c r="A48" i="14"/>
  <c r="E47" i="17"/>
  <c r="A48" i="13"/>
  <c r="A48" i="16"/>
  <c r="E49" i="15"/>
  <c r="D49" i="15"/>
  <c r="H49" i="15"/>
  <c r="K37" i="19"/>
  <c r="G37" i="19" s="1"/>
  <c r="E37" i="5" s="1"/>
  <c r="F37" i="19"/>
  <c r="E37" i="19"/>
  <c r="C37" i="5" s="1"/>
  <c r="D37" i="19"/>
  <c r="F37" i="5" s="1"/>
  <c r="C37" i="19"/>
  <c r="B37" i="5" s="1"/>
  <c r="A34" i="6"/>
  <c r="H21" i="13"/>
  <c r="G25" i="13"/>
  <c r="E29" i="13"/>
  <c r="D4" i="15"/>
  <c r="D8" i="15"/>
  <c r="D12" i="15"/>
  <c r="C20" i="15"/>
  <c r="C33" i="15"/>
  <c r="C42" i="15"/>
  <c r="A34" i="16"/>
  <c r="M50" i="17"/>
  <c r="H44" i="9"/>
  <c r="E30" i="9"/>
  <c r="G46" i="9"/>
  <c r="G43" i="9"/>
  <c r="G37" i="9"/>
  <c r="G25" i="9"/>
  <c r="G22" i="9"/>
  <c r="G19" i="9"/>
  <c r="G16" i="9"/>
  <c r="E24" i="13"/>
  <c r="C24" i="13"/>
  <c r="H24" i="13"/>
  <c r="D24" i="13"/>
  <c r="B24" i="13"/>
  <c r="C25" i="17"/>
  <c r="D27" i="15"/>
  <c r="F27" i="15"/>
  <c r="C27" i="15"/>
  <c r="B27" i="15"/>
  <c r="C33" i="17"/>
  <c r="O33" i="17" s="1"/>
  <c r="C47" i="17"/>
  <c r="B22" i="14"/>
  <c r="A26" i="14"/>
  <c r="G33" i="15"/>
  <c r="D50" i="15"/>
  <c r="D40" i="15"/>
  <c r="B15" i="15"/>
  <c r="C50" i="15"/>
  <c r="B40" i="15"/>
  <c r="G11" i="15"/>
  <c r="B43" i="15"/>
  <c r="G36" i="15"/>
  <c r="C44" i="15"/>
  <c r="B11" i="15"/>
  <c r="C4" i="15"/>
  <c r="B44" i="15"/>
  <c r="B4" i="15"/>
  <c r="B48" i="15"/>
  <c r="B31" i="15"/>
  <c r="G26" i="15"/>
  <c r="B23" i="15"/>
  <c r="C19" i="15"/>
  <c r="H3" i="15"/>
  <c r="G3" i="15"/>
  <c r="E8" i="13"/>
  <c r="D8" i="13"/>
  <c r="H42" i="13"/>
  <c r="H31" i="13"/>
  <c r="B10" i="13"/>
  <c r="E6" i="13"/>
  <c r="H49" i="13"/>
  <c r="G42" i="13"/>
  <c r="G31" i="13"/>
  <c r="H16" i="13"/>
  <c r="C16" i="8"/>
  <c r="H19" i="13"/>
  <c r="D25" i="17"/>
  <c r="B30" i="15"/>
  <c r="H30" i="15"/>
  <c r="G30" i="15"/>
  <c r="E30" i="15"/>
  <c r="D30" i="15"/>
  <c r="D33" i="17"/>
  <c r="E43" i="14"/>
  <c r="D47" i="17"/>
  <c r="G32" i="7"/>
  <c r="G52" i="7"/>
  <c r="G49" i="7"/>
  <c r="G9" i="7"/>
  <c r="B50" i="14"/>
  <c r="B16" i="14"/>
  <c r="B27" i="14"/>
  <c r="B4" i="14"/>
  <c r="B47" i="14"/>
  <c r="B43" i="14"/>
  <c r="H37" i="19"/>
  <c r="G37" i="5" s="1"/>
  <c r="A26" i="13"/>
  <c r="D22" i="14"/>
  <c r="A7" i="16"/>
  <c r="A7" i="15"/>
  <c r="A7" i="14"/>
  <c r="G6" i="17"/>
  <c r="F6" i="17"/>
  <c r="A7" i="7"/>
  <c r="A7" i="12"/>
  <c r="E3" i="28" s="1"/>
  <c r="O14" i="17"/>
  <c r="E25" i="17"/>
  <c r="G29" i="7"/>
  <c r="E33" i="17"/>
  <c r="H37" i="8"/>
  <c r="H46" i="7"/>
  <c r="H26" i="7"/>
  <c r="B50" i="11"/>
  <c r="H45" i="11"/>
  <c r="D45" i="11"/>
  <c r="G17" i="11"/>
  <c r="H38" i="11"/>
  <c r="C38" i="14"/>
  <c r="C24" i="14"/>
  <c r="C16" i="14"/>
  <c r="C28" i="14"/>
  <c r="C19" i="14"/>
  <c r="C27" i="14"/>
  <c r="C4" i="14"/>
  <c r="J13" i="19"/>
  <c r="I13" i="19"/>
  <c r="H13" i="5" s="1"/>
  <c r="I37" i="19"/>
  <c r="H37" i="5" s="1"/>
  <c r="J35" i="19"/>
  <c r="I35" i="19"/>
  <c r="H35" i="5" s="1"/>
  <c r="K35" i="19"/>
  <c r="H35" i="19"/>
  <c r="G35" i="5" s="1"/>
  <c r="D29" i="13"/>
  <c r="H3" i="13"/>
  <c r="E21" i="13"/>
  <c r="E18" i="13"/>
  <c r="G3" i="13"/>
  <c r="D39" i="13"/>
  <c r="E3" i="13"/>
  <c r="D28" i="13"/>
  <c r="D18" i="13"/>
  <c r="D5" i="13"/>
  <c r="B18" i="13"/>
  <c r="E11" i="13"/>
  <c r="F6" i="13"/>
  <c r="F4" i="28" s="1"/>
  <c r="G6" i="13"/>
  <c r="D6" i="13"/>
  <c r="B12" i="13"/>
  <c r="E12" i="13"/>
  <c r="C12" i="13"/>
  <c r="B17" i="10"/>
  <c r="S16" i="17"/>
  <c r="H18" i="9"/>
  <c r="F19" i="17"/>
  <c r="E19" i="17"/>
  <c r="D19" i="17"/>
  <c r="A20" i="10"/>
  <c r="H21" i="15"/>
  <c r="C21" i="15"/>
  <c r="F21" i="15"/>
  <c r="E21" i="15"/>
  <c r="D26" i="8"/>
  <c r="F31" i="13"/>
  <c r="E31" i="13"/>
  <c r="E46" i="7"/>
  <c r="G43" i="13"/>
  <c r="G21" i="13"/>
  <c r="C35" i="19"/>
  <c r="B35" i="5" s="1"/>
  <c r="D46" i="13"/>
  <c r="F5" i="28"/>
  <c r="H5" i="28"/>
  <c r="G5" i="28"/>
  <c r="J50" i="17"/>
  <c r="D49" i="8"/>
  <c r="C29" i="8"/>
  <c r="H6" i="8"/>
  <c r="D9" i="13"/>
  <c r="F9" i="13"/>
  <c r="C9" i="13"/>
  <c r="D12" i="8"/>
  <c r="C18" i="15"/>
  <c r="B18" i="15"/>
  <c r="C19" i="17"/>
  <c r="O19" i="17" s="1"/>
  <c r="E31" i="8"/>
  <c r="H34" i="13"/>
  <c r="G34" i="13"/>
  <c r="D35" i="17"/>
  <c r="C35" i="17"/>
  <c r="O35" i="17" s="1"/>
  <c r="G35" i="17"/>
  <c r="A36" i="15"/>
  <c r="F35" i="17"/>
  <c r="F48" i="13"/>
  <c r="D48" i="13"/>
  <c r="B48" i="13"/>
  <c r="H40" i="13"/>
  <c r="D35" i="19"/>
  <c r="F35" i="5" s="1"/>
  <c r="D5" i="15"/>
  <c r="H5" i="15"/>
  <c r="F5" i="15"/>
  <c r="C16" i="7"/>
  <c r="H20" i="15"/>
  <c r="C31" i="15"/>
  <c r="O32" i="17"/>
  <c r="E37" i="14"/>
  <c r="C37" i="14"/>
  <c r="E38" i="17"/>
  <c r="F38" i="17"/>
  <c r="A39" i="16"/>
  <c r="G40" i="8"/>
  <c r="F41" i="17"/>
  <c r="E41" i="17"/>
  <c r="C41" i="17"/>
  <c r="O41" i="17" s="1"/>
  <c r="G41" i="17"/>
  <c r="A42" i="16"/>
  <c r="A42" i="9"/>
  <c r="D41" i="17"/>
  <c r="E45" i="12"/>
  <c r="F46" i="14"/>
  <c r="G47" i="9"/>
  <c r="Q5" i="17"/>
  <c r="B6" i="11"/>
  <c r="B2" i="28" s="1"/>
  <c r="H6" i="11"/>
  <c r="G7" i="14"/>
  <c r="E7" i="14"/>
  <c r="G10" i="7"/>
  <c r="E13" i="7"/>
  <c r="G14" i="17"/>
  <c r="G50" i="17" s="1"/>
  <c r="A15" i="16"/>
  <c r="A15" i="13"/>
  <c r="G26" i="17"/>
  <c r="A27" i="14"/>
  <c r="C26" i="17"/>
  <c r="O26" i="17" s="1"/>
  <c r="A27" i="12"/>
  <c r="A27" i="11"/>
  <c r="D32" i="17"/>
  <c r="D34" i="14"/>
  <c r="B34" i="14"/>
  <c r="C38" i="17"/>
  <c r="C43" i="15"/>
  <c r="G45" i="10"/>
  <c r="H46" i="9"/>
  <c r="C17" i="19"/>
  <c r="B17" i="5" s="1"/>
  <c r="F17" i="19"/>
  <c r="K17" i="19"/>
  <c r="G17" i="19" s="1"/>
  <c r="E17" i="5" s="1"/>
  <c r="J17" i="19"/>
  <c r="I17" i="19"/>
  <c r="H17" i="5" s="1"/>
  <c r="D13" i="17"/>
  <c r="C13" i="17"/>
  <c r="S17" i="17"/>
  <c r="C18" i="10"/>
  <c r="B19" i="14"/>
  <c r="E27" i="17"/>
  <c r="A28" i="15"/>
  <c r="E33" i="14"/>
  <c r="C40" i="15"/>
  <c r="F46" i="13"/>
  <c r="E50" i="14"/>
  <c r="H52" i="14"/>
  <c r="H24" i="14"/>
  <c r="C6" i="19"/>
  <c r="B6" i="5" s="1"/>
  <c r="B2" i="27" s="1"/>
  <c r="K6" i="19"/>
  <c r="A24" i="5"/>
  <c r="G2" i="27" s="1"/>
  <c r="F9" i="8"/>
  <c r="A28" i="14"/>
  <c r="H49" i="14"/>
  <c r="A21" i="15"/>
  <c r="A28" i="16"/>
  <c r="D2" i="17"/>
  <c r="C2" i="17"/>
  <c r="E13" i="17"/>
  <c r="C20" i="17"/>
  <c r="F22" i="13"/>
  <c r="C27" i="17"/>
  <c r="O27" i="17" s="1"/>
  <c r="C37" i="17"/>
  <c r="O37" i="17" s="1"/>
  <c r="A38" i="13"/>
  <c r="A38" i="12"/>
  <c r="A45" i="14"/>
  <c r="G44" i="17"/>
  <c r="D44" i="17"/>
  <c r="G15" i="18"/>
  <c r="B22" i="15"/>
  <c r="D6" i="19"/>
  <c r="F6" i="5" s="1"/>
  <c r="F2" i="27" s="1"/>
  <c r="I12" i="19"/>
  <c r="H12" i="5" s="1"/>
  <c r="F12" i="19"/>
  <c r="E12" i="19"/>
  <c r="C12" i="5" s="1"/>
  <c r="D12" i="19"/>
  <c r="F12" i="5" s="1"/>
  <c r="D3" i="11"/>
  <c r="F4" i="14"/>
  <c r="F13" i="17"/>
  <c r="B19" i="15"/>
  <c r="D19" i="15"/>
  <c r="D20" i="17"/>
  <c r="D27" i="17"/>
  <c r="G39" i="8"/>
  <c r="H43" i="15"/>
  <c r="D43" i="15"/>
  <c r="E49" i="13"/>
  <c r="H15" i="18"/>
  <c r="C22" i="15"/>
  <c r="E6" i="19"/>
  <c r="C6" i="5" s="1"/>
  <c r="C2" i="27" s="1"/>
  <c r="F7" i="28"/>
  <c r="E7" i="28"/>
  <c r="B8" i="15"/>
  <c r="O9" i="17"/>
  <c r="G13" i="17"/>
  <c r="B17" i="11"/>
  <c r="E20" i="17"/>
  <c r="D25" i="13"/>
  <c r="F27" i="17"/>
  <c r="G29" i="14"/>
  <c r="F36" i="15"/>
  <c r="R44" i="17"/>
  <c r="Q44" i="17"/>
  <c r="H46" i="14"/>
  <c r="I15" i="18"/>
  <c r="B44" i="9"/>
  <c r="B33" i="9"/>
  <c r="B22" i="9"/>
  <c r="B11" i="9"/>
  <c r="F6" i="19"/>
  <c r="F9" i="19"/>
  <c r="E9" i="19"/>
  <c r="C9" i="5" s="1"/>
  <c r="I9" i="19"/>
  <c r="H9" i="5" s="1"/>
  <c r="H9" i="19"/>
  <c r="G9" i="5" s="1"/>
  <c r="D18" i="19"/>
  <c r="F18" i="5" s="1"/>
  <c r="C18" i="19"/>
  <c r="B18" i="5" s="1"/>
  <c r="D29" i="19"/>
  <c r="F29" i="5" s="1"/>
  <c r="C29" i="19"/>
  <c r="B29" i="5" s="1"/>
  <c r="D40" i="19"/>
  <c r="F40" i="5" s="1"/>
  <c r="C40" i="19"/>
  <c r="B40" i="5" s="1"/>
  <c r="K40" i="19"/>
  <c r="J46" i="19"/>
  <c r="I46" i="19"/>
  <c r="H46" i="5" s="1"/>
  <c r="E46" i="19"/>
  <c r="C46" i="5" s="1"/>
  <c r="D46" i="19"/>
  <c r="F46" i="5" s="1"/>
  <c r="B28" i="13"/>
  <c r="B39" i="13"/>
  <c r="B50" i="13"/>
  <c r="H22" i="19"/>
  <c r="G22" i="5" s="1"/>
  <c r="J22" i="19"/>
  <c r="I22" i="19"/>
  <c r="H22" i="5" s="1"/>
  <c r="K25" i="19"/>
  <c r="H25" i="19"/>
  <c r="G25" i="5" s="1"/>
  <c r="F25" i="19"/>
  <c r="E25" i="19"/>
  <c r="C25" i="5" s="1"/>
  <c r="K36" i="19"/>
  <c r="H36" i="19"/>
  <c r="G36" i="5" s="1"/>
  <c r="G36" i="14"/>
  <c r="D7" i="19"/>
  <c r="F7" i="5" s="1"/>
  <c r="C7" i="19"/>
  <c r="B7" i="5" s="1"/>
  <c r="F20" i="19"/>
  <c r="E20" i="19"/>
  <c r="C20" i="5" s="1"/>
  <c r="D17" i="5" l="1"/>
  <c r="D42" i="5"/>
  <c r="H7" i="28"/>
  <c r="Q43" i="17"/>
  <c r="F44" i="11"/>
  <c r="C44" i="11"/>
  <c r="R43" i="17"/>
  <c r="F44" i="12"/>
  <c r="E44" i="12"/>
  <c r="C44" i="12"/>
  <c r="D44" i="12"/>
  <c r="E44" i="11"/>
  <c r="D44" i="11"/>
  <c r="B44" i="11"/>
  <c r="H44" i="11"/>
  <c r="G44" i="11"/>
  <c r="H44" i="12"/>
  <c r="G44" i="12"/>
  <c r="B44" i="12"/>
  <c r="H36" i="10"/>
  <c r="E36" i="10"/>
  <c r="D36" i="10"/>
  <c r="G36" i="10"/>
  <c r="S35" i="17"/>
  <c r="F36" i="10"/>
  <c r="C36" i="10"/>
  <c r="B36" i="10"/>
  <c r="H22" i="10"/>
  <c r="C22" i="10"/>
  <c r="B22" i="10"/>
  <c r="G22" i="10"/>
  <c r="E22" i="10"/>
  <c r="F22" i="10"/>
  <c r="D22" i="10"/>
  <c r="S21" i="17"/>
  <c r="G14" i="19"/>
  <c r="E14" i="5" s="1"/>
  <c r="H5" i="27"/>
  <c r="S15" i="17"/>
  <c r="F16" i="10"/>
  <c r="F51" i="10" s="1"/>
  <c r="F53" i="10" s="1"/>
  <c r="E16" i="10"/>
  <c r="C16" i="10"/>
  <c r="H16" i="10"/>
  <c r="G16" i="10"/>
  <c r="D16" i="10"/>
  <c r="B16" i="10"/>
  <c r="D42" i="10"/>
  <c r="F42" i="10"/>
  <c r="E42" i="10"/>
  <c r="C42" i="10"/>
  <c r="B42" i="10"/>
  <c r="S41" i="17"/>
  <c r="H42" i="10"/>
  <c r="G42" i="10"/>
  <c r="G51" i="15"/>
  <c r="G53" i="15" s="1"/>
  <c r="D51" i="19"/>
  <c r="G46" i="19"/>
  <c r="E46" i="5" s="1"/>
  <c r="B5" i="27"/>
  <c r="C35" i="12"/>
  <c r="F35" i="11"/>
  <c r="H35" i="11"/>
  <c r="G35" i="11"/>
  <c r="Q34" i="17"/>
  <c r="R34" i="17"/>
  <c r="H35" i="12"/>
  <c r="C35" i="11"/>
  <c r="B35" i="11"/>
  <c r="E35" i="12"/>
  <c r="D35" i="12"/>
  <c r="G35" i="12"/>
  <c r="F35" i="12"/>
  <c r="E35" i="11"/>
  <c r="D35" i="11"/>
  <c r="B35" i="12"/>
  <c r="D23" i="5"/>
  <c r="C51" i="13"/>
  <c r="C53" i="13" s="1"/>
  <c r="G6" i="28"/>
  <c r="G26" i="19"/>
  <c r="E26" i="5" s="1"/>
  <c r="G20" i="19"/>
  <c r="E20" i="5" s="1"/>
  <c r="S6" i="17"/>
  <c r="C7" i="10"/>
  <c r="D7" i="10"/>
  <c r="D51" i="10" s="1"/>
  <c r="D53" i="10" s="1"/>
  <c r="B7" i="10"/>
  <c r="G7" i="10"/>
  <c r="E7" i="10"/>
  <c r="H7" i="10"/>
  <c r="F7" i="10"/>
  <c r="P47" i="17"/>
  <c r="H48" i="6"/>
  <c r="G48" i="6"/>
  <c r="E48" i="6"/>
  <c r="D48" i="6"/>
  <c r="F48" i="6"/>
  <c r="C48" i="6"/>
  <c r="B48" i="6"/>
  <c r="H51" i="15"/>
  <c r="H53" i="15" s="1"/>
  <c r="O47" i="17"/>
  <c r="D48" i="5" s="1"/>
  <c r="C5" i="27"/>
  <c r="E51" i="15"/>
  <c r="E53" i="15" s="1"/>
  <c r="D51" i="15"/>
  <c r="D53" i="15" s="1"/>
  <c r="R28" i="17"/>
  <c r="G29" i="12"/>
  <c r="H29" i="11"/>
  <c r="G29" i="11"/>
  <c r="F29" i="11"/>
  <c r="E29" i="11"/>
  <c r="D29" i="11"/>
  <c r="F29" i="12"/>
  <c r="D29" i="12"/>
  <c r="C29" i="12"/>
  <c r="H29" i="12"/>
  <c r="E29" i="12"/>
  <c r="B29" i="12"/>
  <c r="Q28" i="17"/>
  <c r="C29" i="11"/>
  <c r="B29" i="11"/>
  <c r="O8" i="17"/>
  <c r="D9" i="5" s="1"/>
  <c r="C51" i="14"/>
  <c r="C53" i="14" s="1"/>
  <c r="P11" i="17"/>
  <c r="H12" i="6"/>
  <c r="G12" i="6"/>
  <c r="F12" i="6"/>
  <c r="D12" i="6"/>
  <c r="E12" i="6"/>
  <c r="C12" i="6"/>
  <c r="B12" i="6"/>
  <c r="G6" i="19"/>
  <c r="E6" i="5" s="1"/>
  <c r="E2" i="27" s="1"/>
  <c r="B28" i="11"/>
  <c r="C28" i="12"/>
  <c r="E28" i="12"/>
  <c r="D28" i="12"/>
  <c r="R27" i="17"/>
  <c r="B28" i="12"/>
  <c r="Q27" i="17"/>
  <c r="H28" i="12"/>
  <c r="F28" i="11"/>
  <c r="E28" i="11"/>
  <c r="D28" i="11"/>
  <c r="C28" i="11"/>
  <c r="G28" i="12"/>
  <c r="F28" i="12"/>
  <c r="G28" i="11"/>
  <c r="H28" i="11"/>
  <c r="F36" i="6"/>
  <c r="G36" i="6"/>
  <c r="E36" i="6"/>
  <c r="C36" i="6"/>
  <c r="D36" i="6"/>
  <c r="P35" i="17"/>
  <c r="H36" i="6"/>
  <c r="B36" i="6"/>
  <c r="D34" i="5"/>
  <c r="O43" i="17"/>
  <c r="O24" i="17"/>
  <c r="D25" i="5" s="1"/>
  <c r="E51" i="8"/>
  <c r="E53" i="8" s="1"/>
  <c r="D8" i="5"/>
  <c r="G48" i="19"/>
  <c r="E48" i="5" s="1"/>
  <c r="G24" i="19"/>
  <c r="E24" i="5" s="1"/>
  <c r="D24" i="5" s="1"/>
  <c r="C51" i="9"/>
  <c r="C53" i="9" s="1"/>
  <c r="D35" i="10"/>
  <c r="S34" i="17"/>
  <c r="F35" i="10"/>
  <c r="B35" i="10"/>
  <c r="H35" i="10"/>
  <c r="G35" i="10"/>
  <c r="C35" i="10"/>
  <c r="E35" i="10"/>
  <c r="O21" i="17"/>
  <c r="D22" i="5" s="1"/>
  <c r="G4" i="27"/>
  <c r="S28" i="17"/>
  <c r="C29" i="10"/>
  <c r="D29" i="10"/>
  <c r="H29" i="10"/>
  <c r="G29" i="10"/>
  <c r="F29" i="10"/>
  <c r="E29" i="10"/>
  <c r="B29" i="10"/>
  <c r="E51" i="14"/>
  <c r="E53" i="14" s="1"/>
  <c r="B9" i="6"/>
  <c r="P8" i="17"/>
  <c r="H9" i="6"/>
  <c r="G9" i="6"/>
  <c r="E9" i="6"/>
  <c r="F9" i="6"/>
  <c r="C9" i="6"/>
  <c r="D9" i="6"/>
  <c r="F47" i="6"/>
  <c r="P46" i="17"/>
  <c r="C47" i="6"/>
  <c r="E47" i="6"/>
  <c r="D47" i="6"/>
  <c r="H47" i="6"/>
  <c r="B47" i="6"/>
  <c r="G47" i="6"/>
  <c r="P34" i="17"/>
  <c r="B35" i="6"/>
  <c r="E35" i="6"/>
  <c r="D35" i="6"/>
  <c r="C35" i="6"/>
  <c r="H35" i="6"/>
  <c r="G35" i="6"/>
  <c r="F35" i="6"/>
  <c r="G3" i="19"/>
  <c r="S38" i="17"/>
  <c r="C39" i="10"/>
  <c r="B39" i="10"/>
  <c r="E39" i="10"/>
  <c r="D39" i="10"/>
  <c r="H39" i="10"/>
  <c r="G39" i="10"/>
  <c r="F39" i="10"/>
  <c r="F25" i="6"/>
  <c r="H25" i="6"/>
  <c r="G25" i="6"/>
  <c r="E25" i="6"/>
  <c r="D25" i="6"/>
  <c r="B25" i="6"/>
  <c r="C25" i="6"/>
  <c r="P24" i="17"/>
  <c r="C51" i="7"/>
  <c r="C53" i="7" s="1"/>
  <c r="S24" i="17"/>
  <c r="G25" i="10"/>
  <c r="D25" i="10"/>
  <c r="C25" i="10"/>
  <c r="B25" i="10"/>
  <c r="E25" i="10"/>
  <c r="F25" i="10"/>
  <c r="H25" i="10"/>
  <c r="F34" i="6"/>
  <c r="B34" i="6"/>
  <c r="P33" i="17"/>
  <c r="D34" i="6"/>
  <c r="C34" i="6"/>
  <c r="G34" i="6"/>
  <c r="H34" i="6"/>
  <c r="E34" i="6"/>
  <c r="F5" i="27"/>
  <c r="G51" i="7"/>
  <c r="G53" i="7" s="1"/>
  <c r="B39" i="11"/>
  <c r="G39" i="12"/>
  <c r="H39" i="11"/>
  <c r="H39" i="12"/>
  <c r="G39" i="11"/>
  <c r="F39" i="11"/>
  <c r="E39" i="12"/>
  <c r="D39" i="12"/>
  <c r="R38" i="17"/>
  <c r="Q38" i="17"/>
  <c r="B39" i="12"/>
  <c r="E39" i="11"/>
  <c r="F39" i="12"/>
  <c r="C39" i="12"/>
  <c r="D39" i="11"/>
  <c r="C39" i="11"/>
  <c r="H51" i="14"/>
  <c r="H53" i="14" s="1"/>
  <c r="B51" i="13"/>
  <c r="B53" i="13" s="1"/>
  <c r="B31" i="6"/>
  <c r="G31" i="6"/>
  <c r="D31" i="6"/>
  <c r="P30" i="17"/>
  <c r="H31" i="6"/>
  <c r="F31" i="6"/>
  <c r="E31" i="6"/>
  <c r="C31" i="6"/>
  <c r="F4" i="27"/>
  <c r="S8" i="17"/>
  <c r="G9" i="10"/>
  <c r="F9" i="10"/>
  <c r="E9" i="10"/>
  <c r="B9" i="10"/>
  <c r="D9" i="10"/>
  <c r="C9" i="10"/>
  <c r="H9" i="10"/>
  <c r="O13" i="17"/>
  <c r="D14" i="5" s="1"/>
  <c r="D20" i="5"/>
  <c r="D25" i="11"/>
  <c r="D25" i="12"/>
  <c r="E25" i="12"/>
  <c r="C25" i="12"/>
  <c r="R24" i="17"/>
  <c r="G25" i="12"/>
  <c r="C25" i="11"/>
  <c r="F25" i="11"/>
  <c r="E25" i="11"/>
  <c r="F25" i="12"/>
  <c r="B25" i="12"/>
  <c r="H25" i="11"/>
  <c r="G25" i="11"/>
  <c r="B25" i="11"/>
  <c r="H25" i="12"/>
  <c r="Q24" i="17"/>
  <c r="G51" i="14"/>
  <c r="G53" i="14" s="1"/>
  <c r="H4" i="27"/>
  <c r="B51" i="7"/>
  <c r="B53" i="7" s="1"/>
  <c r="D51" i="13"/>
  <c r="D53" i="13" s="1"/>
  <c r="F51" i="19"/>
  <c r="I51" i="19"/>
  <c r="H3" i="5"/>
  <c r="H51" i="5" s="1"/>
  <c r="H53" i="5" s="1"/>
  <c r="G45" i="19"/>
  <c r="E45" i="5" s="1"/>
  <c r="D45" i="5" s="1"/>
  <c r="H51" i="8"/>
  <c r="H53" i="8" s="1"/>
  <c r="C4" i="27"/>
  <c r="D7" i="27"/>
  <c r="R15" i="17"/>
  <c r="G16" i="12"/>
  <c r="Q15" i="17"/>
  <c r="D16" i="12"/>
  <c r="C16" i="12"/>
  <c r="H16" i="12"/>
  <c r="E16" i="11"/>
  <c r="D16" i="11"/>
  <c r="F16" i="12"/>
  <c r="C16" i="11"/>
  <c r="F16" i="11"/>
  <c r="B16" i="11"/>
  <c r="E16" i="12"/>
  <c r="B16" i="12"/>
  <c r="G16" i="11"/>
  <c r="H16" i="11"/>
  <c r="D37" i="5"/>
  <c r="D11" i="10"/>
  <c r="B11" i="10"/>
  <c r="H11" i="10"/>
  <c r="F11" i="10"/>
  <c r="G11" i="10"/>
  <c r="E11" i="10"/>
  <c r="C11" i="10"/>
  <c r="S10" i="17"/>
  <c r="D51" i="14"/>
  <c r="D53" i="14" s="1"/>
  <c r="Q8" i="17"/>
  <c r="G9" i="11"/>
  <c r="R8" i="17"/>
  <c r="G9" i="12"/>
  <c r="F9" i="12"/>
  <c r="H9" i="11"/>
  <c r="E9" i="12"/>
  <c r="E51" i="12" s="1"/>
  <c r="E53" i="12" s="1"/>
  <c r="F9" i="11"/>
  <c r="C9" i="12"/>
  <c r="B9" i="12"/>
  <c r="E9" i="11"/>
  <c r="D9" i="11"/>
  <c r="C9" i="11"/>
  <c r="B9" i="11"/>
  <c r="H9" i="12"/>
  <c r="D9" i="12"/>
  <c r="B7" i="27"/>
  <c r="G50" i="19"/>
  <c r="E50" i="5" s="1"/>
  <c r="D50" i="5" s="1"/>
  <c r="E7" i="27"/>
  <c r="S47" i="17"/>
  <c r="E48" i="10"/>
  <c r="H48" i="10"/>
  <c r="B48" i="10"/>
  <c r="C48" i="10"/>
  <c r="D48" i="10"/>
  <c r="F48" i="10"/>
  <c r="G48" i="10"/>
  <c r="D31" i="5"/>
  <c r="E50" i="17"/>
  <c r="B4" i="12"/>
  <c r="Q3" i="17"/>
  <c r="G4" i="11"/>
  <c r="G51" i="11" s="1"/>
  <c r="G53" i="11" s="1"/>
  <c r="F4" i="11"/>
  <c r="F51" i="11" s="1"/>
  <c r="F53" i="11" s="1"/>
  <c r="R3" i="17"/>
  <c r="D4" i="11"/>
  <c r="D51" i="11" s="1"/>
  <c r="D53" i="11" s="1"/>
  <c r="E4" i="11"/>
  <c r="F4" i="12"/>
  <c r="E4" i="12"/>
  <c r="H4" i="12"/>
  <c r="C4" i="11"/>
  <c r="G4" i="12"/>
  <c r="G51" i="12" s="1"/>
  <c r="G53" i="12" s="1"/>
  <c r="B4" i="11"/>
  <c r="B51" i="11" s="1"/>
  <c r="B53" i="11" s="1"/>
  <c r="C4" i="12"/>
  <c r="D4" i="12"/>
  <c r="H4" i="11"/>
  <c r="F51" i="15"/>
  <c r="F53" i="15" s="1"/>
  <c r="P22" i="17"/>
  <c r="B23" i="6"/>
  <c r="G23" i="6"/>
  <c r="F23" i="6"/>
  <c r="D23" i="6"/>
  <c r="E23" i="6"/>
  <c r="H23" i="6"/>
  <c r="C23" i="6"/>
  <c r="R11" i="17"/>
  <c r="Q11" i="17"/>
  <c r="F12" i="11"/>
  <c r="H12" i="12"/>
  <c r="C12" i="11"/>
  <c r="B12" i="11"/>
  <c r="C12" i="12"/>
  <c r="D12" i="11"/>
  <c r="B12" i="12"/>
  <c r="D12" i="12"/>
  <c r="G12" i="11"/>
  <c r="E12" i="11"/>
  <c r="E12" i="12"/>
  <c r="F12" i="12"/>
  <c r="G12" i="12"/>
  <c r="H12" i="11"/>
  <c r="G40" i="19"/>
  <c r="E40" i="5" s="1"/>
  <c r="D40" i="5" s="1"/>
  <c r="F14" i="6"/>
  <c r="D14" i="6"/>
  <c r="E14" i="6"/>
  <c r="P13" i="17"/>
  <c r="C14" i="6"/>
  <c r="B14" i="6"/>
  <c r="H14" i="6"/>
  <c r="G14" i="6"/>
  <c r="O10" i="17"/>
  <c r="D11" i="5" s="1"/>
  <c r="B5" i="28"/>
  <c r="G12" i="10"/>
  <c r="H12" i="10"/>
  <c r="F12" i="10"/>
  <c r="E12" i="10"/>
  <c r="S11" i="17"/>
  <c r="D12" i="10"/>
  <c r="C12" i="10"/>
  <c r="B12" i="10"/>
  <c r="D38" i="5"/>
  <c r="G4" i="19"/>
  <c r="E4" i="5" s="1"/>
  <c r="H3" i="28"/>
  <c r="G28" i="19"/>
  <c r="E28" i="5" s="1"/>
  <c r="D28" i="5" s="1"/>
  <c r="Q30" i="17"/>
  <c r="B31" i="12"/>
  <c r="E31" i="12"/>
  <c r="D31" i="12"/>
  <c r="C31" i="12"/>
  <c r="D31" i="11"/>
  <c r="C31" i="11"/>
  <c r="H31" i="12"/>
  <c r="B31" i="11"/>
  <c r="F31" i="12"/>
  <c r="H31" i="11"/>
  <c r="G31" i="12"/>
  <c r="G31" i="11"/>
  <c r="R30" i="17"/>
  <c r="F31" i="11"/>
  <c r="E31" i="11"/>
  <c r="F28" i="10"/>
  <c r="E28" i="10"/>
  <c r="D28" i="10"/>
  <c r="C28" i="10"/>
  <c r="H28" i="10"/>
  <c r="G28" i="10"/>
  <c r="B28" i="10"/>
  <c r="S27" i="17"/>
  <c r="P25" i="17"/>
  <c r="H26" i="6"/>
  <c r="F26" i="6"/>
  <c r="G26" i="6"/>
  <c r="C26" i="6"/>
  <c r="B26" i="6"/>
  <c r="D26" i="6"/>
  <c r="E26" i="6"/>
  <c r="P48" i="17"/>
  <c r="C49" i="6"/>
  <c r="B49" i="6"/>
  <c r="H49" i="6"/>
  <c r="F49" i="6"/>
  <c r="G49" i="6"/>
  <c r="D49" i="6"/>
  <c r="E49" i="6"/>
  <c r="H51" i="19"/>
  <c r="G3" i="5"/>
  <c r="G51" i="5" s="1"/>
  <c r="G53" i="5" s="1"/>
  <c r="E31" i="10"/>
  <c r="G31" i="10"/>
  <c r="F31" i="10"/>
  <c r="D31" i="10"/>
  <c r="H31" i="10"/>
  <c r="S30" i="17"/>
  <c r="C31" i="10"/>
  <c r="B31" i="10"/>
  <c r="G3" i="28"/>
  <c r="F3" i="28"/>
  <c r="B3" i="28"/>
  <c r="D51" i="9"/>
  <c r="D53" i="9" s="1"/>
  <c r="R25" i="17"/>
  <c r="G26" i="12"/>
  <c r="G26" i="11"/>
  <c r="F26" i="12"/>
  <c r="F26" i="11"/>
  <c r="D26" i="11"/>
  <c r="C26" i="11"/>
  <c r="B26" i="11"/>
  <c r="Q25" i="17"/>
  <c r="C26" i="12"/>
  <c r="B26" i="12"/>
  <c r="H26" i="11"/>
  <c r="E26" i="11"/>
  <c r="E26" i="12"/>
  <c r="H26" i="12"/>
  <c r="D26" i="12"/>
  <c r="D51" i="7"/>
  <c r="D53" i="7" s="1"/>
  <c r="H51" i="9"/>
  <c r="H53" i="9" s="1"/>
  <c r="Q41" i="17"/>
  <c r="F42" i="12"/>
  <c r="H42" i="11"/>
  <c r="C42" i="11"/>
  <c r="B42" i="11"/>
  <c r="B42" i="12"/>
  <c r="G42" i="11"/>
  <c r="F42" i="11"/>
  <c r="D42" i="11"/>
  <c r="E42" i="11"/>
  <c r="C42" i="12"/>
  <c r="G42" i="12"/>
  <c r="H42" i="12"/>
  <c r="R41" i="17"/>
  <c r="E42" i="12"/>
  <c r="D42" i="12"/>
  <c r="G51" i="8"/>
  <c r="G53" i="8" s="1"/>
  <c r="G41" i="19"/>
  <c r="E41" i="5" s="1"/>
  <c r="D41" i="5" s="1"/>
  <c r="B43" i="10"/>
  <c r="H43" i="10"/>
  <c r="E43" i="10"/>
  <c r="D43" i="10"/>
  <c r="S42" i="17"/>
  <c r="C43" i="10"/>
  <c r="G43" i="10"/>
  <c r="F43" i="10"/>
  <c r="F51" i="13"/>
  <c r="F53" i="13" s="1"/>
  <c r="F51" i="14"/>
  <c r="F53" i="14" s="1"/>
  <c r="S3" i="17"/>
  <c r="E4" i="10"/>
  <c r="F50" i="17"/>
  <c r="H4" i="10"/>
  <c r="H51" i="10" s="1"/>
  <c r="H53" i="10" s="1"/>
  <c r="G4" i="10"/>
  <c r="D4" i="10"/>
  <c r="F4" i="10"/>
  <c r="C4" i="10"/>
  <c r="C51" i="10" s="1"/>
  <c r="C53" i="10" s="1"/>
  <c r="B4" i="10"/>
  <c r="B51" i="10" s="1"/>
  <c r="B53" i="10" s="1"/>
  <c r="G38" i="19"/>
  <c r="E38" i="5" s="1"/>
  <c r="E51" i="19"/>
  <c r="C3" i="5"/>
  <c r="C51" i="5" s="1"/>
  <c r="C53" i="5" s="1"/>
  <c r="H51" i="7"/>
  <c r="H53" i="7" s="1"/>
  <c r="G19" i="19"/>
  <c r="E19" i="5" s="1"/>
  <c r="D19" i="5" s="1"/>
  <c r="O25" i="17"/>
  <c r="P27" i="17"/>
  <c r="D28" i="6"/>
  <c r="H28" i="6"/>
  <c r="E28" i="6"/>
  <c r="F28" i="6"/>
  <c r="C28" i="6"/>
  <c r="G28" i="6"/>
  <c r="B28" i="6"/>
  <c r="G30" i="19"/>
  <c r="E30" i="5" s="1"/>
  <c r="D30" i="5" s="1"/>
  <c r="E51" i="13"/>
  <c r="E53" i="13" s="1"/>
  <c r="B51" i="14"/>
  <c r="B53" i="14" s="1"/>
  <c r="D51" i="8"/>
  <c r="D53" i="8" s="1"/>
  <c r="H13" i="6"/>
  <c r="G13" i="6"/>
  <c r="E13" i="6"/>
  <c r="F13" i="6"/>
  <c r="C13" i="6"/>
  <c r="B13" i="6"/>
  <c r="P12" i="17"/>
  <c r="D13" i="6"/>
  <c r="K51" i="19"/>
  <c r="G49" i="19"/>
  <c r="E49" i="5" s="1"/>
  <c r="G15" i="19"/>
  <c r="E15" i="5" s="1"/>
  <c r="G8" i="19"/>
  <c r="E8" i="5" s="1"/>
  <c r="G5" i="19"/>
  <c r="E5" i="5" s="1"/>
  <c r="G18" i="19"/>
  <c r="E18" i="5" s="1"/>
  <c r="D18" i="5" s="1"/>
  <c r="G29" i="19"/>
  <c r="E29" i="5" s="1"/>
  <c r="G13" i="19"/>
  <c r="E13" i="5" s="1"/>
  <c r="G27" i="19"/>
  <c r="E27" i="5" s="1"/>
  <c r="D27" i="5" s="1"/>
  <c r="G9" i="19"/>
  <c r="E9" i="5" s="1"/>
  <c r="G16" i="19"/>
  <c r="E16" i="5" s="1"/>
  <c r="G7" i="19"/>
  <c r="E7" i="5" s="1"/>
  <c r="D7" i="5" s="1"/>
  <c r="G2" i="28"/>
  <c r="F2" i="28"/>
  <c r="D2" i="28"/>
  <c r="C2" i="28"/>
  <c r="H3" i="27"/>
  <c r="Q21" i="17"/>
  <c r="F22" i="11"/>
  <c r="E22" i="12"/>
  <c r="D22" i="12"/>
  <c r="D51" i="12" s="1"/>
  <c r="D53" i="12" s="1"/>
  <c r="C22" i="12"/>
  <c r="H22" i="11"/>
  <c r="E22" i="11"/>
  <c r="D22" i="11"/>
  <c r="G22" i="12"/>
  <c r="F22" i="12"/>
  <c r="H22" i="12"/>
  <c r="B22" i="12"/>
  <c r="R21" i="17"/>
  <c r="G22" i="11"/>
  <c r="C22" i="11"/>
  <c r="B22" i="11"/>
  <c r="R22" i="17"/>
  <c r="Q22" i="17"/>
  <c r="E23" i="12"/>
  <c r="G23" i="11"/>
  <c r="D23" i="12"/>
  <c r="F23" i="11"/>
  <c r="B23" i="11"/>
  <c r="H23" i="12"/>
  <c r="G23" i="12"/>
  <c r="H23" i="11"/>
  <c r="C23" i="12"/>
  <c r="D23" i="11"/>
  <c r="F23" i="12"/>
  <c r="E23" i="11"/>
  <c r="B23" i="12"/>
  <c r="C23" i="11"/>
  <c r="G16" i="6"/>
  <c r="P15" i="17"/>
  <c r="H16" i="6"/>
  <c r="C16" i="6"/>
  <c r="B16" i="6"/>
  <c r="F16" i="6"/>
  <c r="E16" i="6"/>
  <c r="D16" i="6"/>
  <c r="C51" i="19"/>
  <c r="B3" i="5"/>
  <c r="B51" i="5" s="1"/>
  <c r="B53" i="5" s="1"/>
  <c r="S36" i="17"/>
  <c r="E37" i="10"/>
  <c r="C37" i="10"/>
  <c r="H37" i="10"/>
  <c r="D37" i="10"/>
  <c r="B37" i="10"/>
  <c r="G37" i="10"/>
  <c r="F37" i="10"/>
  <c r="D32" i="10"/>
  <c r="S31" i="17"/>
  <c r="C32" i="10"/>
  <c r="B32" i="10"/>
  <c r="E32" i="10"/>
  <c r="G32" i="10"/>
  <c r="F32" i="10"/>
  <c r="H32" i="10"/>
  <c r="G39" i="19"/>
  <c r="E39" i="5" s="1"/>
  <c r="B51" i="15"/>
  <c r="B53" i="15" s="1"/>
  <c r="G29" i="6"/>
  <c r="H29" i="6"/>
  <c r="E29" i="6"/>
  <c r="F29" i="6"/>
  <c r="D29" i="6"/>
  <c r="C29" i="6"/>
  <c r="B29" i="6"/>
  <c r="P28" i="17"/>
  <c r="O28" i="17"/>
  <c r="D29" i="5" s="1"/>
  <c r="D15" i="5"/>
  <c r="G42" i="19"/>
  <c r="E42" i="5" s="1"/>
  <c r="D45" i="6"/>
  <c r="F45" i="6"/>
  <c r="E45" i="6"/>
  <c r="C45" i="6"/>
  <c r="B45" i="6"/>
  <c r="P44" i="17"/>
  <c r="H45" i="6"/>
  <c r="G45" i="6"/>
  <c r="F48" i="12"/>
  <c r="D48" i="12"/>
  <c r="H48" i="11"/>
  <c r="E48" i="11"/>
  <c r="D48" i="11"/>
  <c r="G48" i="12"/>
  <c r="Q47" i="17"/>
  <c r="E48" i="12"/>
  <c r="R47" i="17"/>
  <c r="B48" i="12"/>
  <c r="C48" i="12"/>
  <c r="F48" i="11"/>
  <c r="C48" i="11"/>
  <c r="H48" i="12"/>
  <c r="G48" i="11"/>
  <c r="B48" i="11"/>
  <c r="R20" i="17"/>
  <c r="E21" i="12"/>
  <c r="C21" i="11"/>
  <c r="F21" i="12"/>
  <c r="F21" i="11"/>
  <c r="B21" i="11"/>
  <c r="D21" i="12"/>
  <c r="C21" i="12"/>
  <c r="D21" i="11"/>
  <c r="Q20" i="17"/>
  <c r="H21" i="11"/>
  <c r="G21" i="12"/>
  <c r="G21" i="11"/>
  <c r="H21" i="12"/>
  <c r="E21" i="11"/>
  <c r="B21" i="12"/>
  <c r="H21" i="6"/>
  <c r="G21" i="6"/>
  <c r="D21" i="6"/>
  <c r="C21" i="6"/>
  <c r="F21" i="6"/>
  <c r="B21" i="6"/>
  <c r="E21" i="6"/>
  <c r="P20" i="17"/>
  <c r="O20" i="17"/>
  <c r="D21" i="5" s="1"/>
  <c r="G10" i="19"/>
  <c r="E10" i="5" s="1"/>
  <c r="D10" i="5" s="1"/>
  <c r="B51" i="9"/>
  <c r="B53" i="9" s="1"/>
  <c r="G32" i="19"/>
  <c r="E32" i="5" s="1"/>
  <c r="D32" i="5" s="1"/>
  <c r="O4" i="17"/>
  <c r="D5" i="5" s="1"/>
  <c r="G36" i="19"/>
  <c r="E36" i="5" s="1"/>
  <c r="D36" i="5" s="1"/>
  <c r="C14" i="10"/>
  <c r="S13" i="17"/>
  <c r="B14" i="10"/>
  <c r="G14" i="10"/>
  <c r="F14" i="10"/>
  <c r="D14" i="10"/>
  <c r="H14" i="10"/>
  <c r="E14" i="10"/>
  <c r="E51" i="10" s="1"/>
  <c r="E53" i="10" s="1"/>
  <c r="G43" i="19"/>
  <c r="E43" i="5" s="1"/>
  <c r="D43" i="5" s="1"/>
  <c r="G12" i="19"/>
  <c r="E12" i="5" s="1"/>
  <c r="H51" i="13"/>
  <c r="H53" i="13" s="1"/>
  <c r="D49" i="5"/>
  <c r="B7" i="28"/>
  <c r="G22" i="19"/>
  <c r="E22" i="5" s="1"/>
  <c r="O38" i="17"/>
  <c r="B42" i="6"/>
  <c r="H42" i="6"/>
  <c r="G42" i="6"/>
  <c r="F42" i="6"/>
  <c r="E42" i="6"/>
  <c r="D42" i="6"/>
  <c r="C42" i="6"/>
  <c r="P41" i="17"/>
  <c r="Q19" i="17"/>
  <c r="C20" i="12"/>
  <c r="G20" i="11"/>
  <c r="B20" i="12"/>
  <c r="F20" i="11"/>
  <c r="F20" i="12"/>
  <c r="E20" i="12"/>
  <c r="D20" i="12"/>
  <c r="B20" i="11"/>
  <c r="R19" i="17"/>
  <c r="H20" i="12"/>
  <c r="H20" i="11"/>
  <c r="G20" i="12"/>
  <c r="E20" i="11"/>
  <c r="D20" i="11"/>
  <c r="C20" i="11"/>
  <c r="F51" i="7"/>
  <c r="F53" i="7" s="1"/>
  <c r="E51" i="7"/>
  <c r="E53" i="7" s="1"/>
  <c r="H22" i="6"/>
  <c r="P21" i="17"/>
  <c r="G22" i="6"/>
  <c r="F22" i="6"/>
  <c r="D22" i="6"/>
  <c r="E22" i="6"/>
  <c r="B22" i="6"/>
  <c r="C22" i="6"/>
  <c r="G47" i="19"/>
  <c r="E47" i="5" s="1"/>
  <c r="D47" i="5" s="1"/>
  <c r="C6" i="28"/>
  <c r="O15" i="17"/>
  <c r="R13" i="17"/>
  <c r="D14" i="11"/>
  <c r="G14" i="11"/>
  <c r="F14" i="11"/>
  <c r="Q13" i="17"/>
  <c r="E14" i="12"/>
  <c r="D14" i="12"/>
  <c r="F14" i="12"/>
  <c r="G14" i="12"/>
  <c r="C14" i="12"/>
  <c r="E14" i="11"/>
  <c r="H14" i="12"/>
  <c r="H14" i="11"/>
  <c r="B14" i="12"/>
  <c r="C14" i="11"/>
  <c r="B14" i="11"/>
  <c r="G51" i="13"/>
  <c r="G53" i="13" s="1"/>
  <c r="E2" i="28"/>
  <c r="S4" i="17"/>
  <c r="G5" i="10"/>
  <c r="C5" i="10"/>
  <c r="B5" i="10"/>
  <c r="H5" i="10"/>
  <c r="F5" i="10"/>
  <c r="E5" i="10"/>
  <c r="D5" i="10"/>
  <c r="S39" i="17"/>
  <c r="C40" i="10"/>
  <c r="B40" i="10"/>
  <c r="H40" i="10"/>
  <c r="G40" i="10"/>
  <c r="E40" i="10"/>
  <c r="F40" i="10"/>
  <c r="D40" i="10"/>
  <c r="P3" i="17"/>
  <c r="D4" i="6"/>
  <c r="C4" i="6"/>
  <c r="B4" i="6"/>
  <c r="E4" i="6"/>
  <c r="G4" i="6"/>
  <c r="F4" i="6"/>
  <c r="H4" i="6"/>
  <c r="G23" i="10"/>
  <c r="S22" i="17"/>
  <c r="C23" i="10"/>
  <c r="B23" i="10"/>
  <c r="F23" i="10"/>
  <c r="E23" i="10"/>
  <c r="H23" i="10"/>
  <c r="D23" i="10"/>
  <c r="D12" i="5"/>
  <c r="O2" i="17"/>
  <c r="C50" i="17"/>
  <c r="R12" i="17"/>
  <c r="C13" i="12"/>
  <c r="H13" i="12"/>
  <c r="B13" i="12"/>
  <c r="F13" i="12"/>
  <c r="E13" i="12"/>
  <c r="D13" i="12"/>
  <c r="C13" i="11"/>
  <c r="B13" i="11"/>
  <c r="H13" i="11"/>
  <c r="E13" i="11"/>
  <c r="D13" i="11"/>
  <c r="F13" i="11"/>
  <c r="Q12" i="17"/>
  <c r="G13" i="12"/>
  <c r="G13" i="11"/>
  <c r="E32" i="12"/>
  <c r="G32" i="11"/>
  <c r="Q31" i="17"/>
  <c r="H32" i="11"/>
  <c r="F32" i="11"/>
  <c r="C32" i="12"/>
  <c r="B32" i="12"/>
  <c r="E32" i="11"/>
  <c r="C32" i="11"/>
  <c r="R31" i="17"/>
  <c r="B32" i="11"/>
  <c r="D32" i="11"/>
  <c r="H32" i="12"/>
  <c r="G32" i="12"/>
  <c r="D32" i="12"/>
  <c r="F32" i="12"/>
  <c r="O3" i="17"/>
  <c r="D4" i="5" s="1"/>
  <c r="F3" i="6"/>
  <c r="P2" i="17"/>
  <c r="H3" i="6"/>
  <c r="G3" i="6"/>
  <c r="D50" i="17"/>
  <c r="B3" i="6"/>
  <c r="E3" i="6"/>
  <c r="D3" i="6"/>
  <c r="C3" i="6"/>
  <c r="E5" i="28"/>
  <c r="S12" i="17"/>
  <c r="F13" i="10"/>
  <c r="G13" i="10"/>
  <c r="E13" i="10"/>
  <c r="D13" i="10"/>
  <c r="C13" i="10"/>
  <c r="B13" i="10"/>
  <c r="H13" i="10"/>
  <c r="P31" i="17"/>
  <c r="E32" i="6"/>
  <c r="D32" i="6"/>
  <c r="C32" i="6"/>
  <c r="F32" i="6"/>
  <c r="B32" i="6"/>
  <c r="H32" i="6"/>
  <c r="G32" i="6"/>
  <c r="B20" i="6"/>
  <c r="C20" i="6"/>
  <c r="E20" i="6"/>
  <c r="D20" i="6"/>
  <c r="P19" i="17"/>
  <c r="H20" i="6"/>
  <c r="F20" i="6"/>
  <c r="G20" i="6"/>
  <c r="S43" i="17"/>
  <c r="D44" i="10"/>
  <c r="E44" i="10"/>
  <c r="C44" i="10"/>
  <c r="B44" i="10"/>
  <c r="G44" i="10"/>
  <c r="F44" i="10"/>
  <c r="H44" i="10"/>
  <c r="G33" i="19"/>
  <c r="E33" i="5" s="1"/>
  <c r="D33" i="5" s="1"/>
  <c r="C5" i="28"/>
  <c r="C20" i="10"/>
  <c r="S19" i="17"/>
  <c r="G20" i="10"/>
  <c r="H20" i="10"/>
  <c r="F20" i="10"/>
  <c r="E20" i="10"/>
  <c r="B20" i="10"/>
  <c r="D20" i="10"/>
  <c r="R33" i="17"/>
  <c r="Q33" i="17"/>
  <c r="E34" i="12"/>
  <c r="D34" i="12"/>
  <c r="H34" i="12"/>
  <c r="G34" i="12"/>
  <c r="H34" i="11"/>
  <c r="G34" i="11"/>
  <c r="E34" i="11"/>
  <c r="F34" i="11"/>
  <c r="F34" i="12"/>
  <c r="C34" i="12"/>
  <c r="C34" i="11"/>
  <c r="B34" i="11"/>
  <c r="D34" i="11"/>
  <c r="B34" i="12"/>
  <c r="C43" i="6"/>
  <c r="B43" i="6"/>
  <c r="F43" i="6"/>
  <c r="E43" i="6"/>
  <c r="D43" i="6"/>
  <c r="P42" i="17"/>
  <c r="H43" i="6"/>
  <c r="G43" i="6"/>
  <c r="C51" i="8"/>
  <c r="C53" i="8" s="1"/>
  <c r="C51" i="15"/>
  <c r="C53" i="15" s="1"/>
  <c r="D46" i="5"/>
  <c r="B51" i="8"/>
  <c r="B53" i="8" s="1"/>
  <c r="D6" i="28"/>
  <c r="P32" i="17"/>
  <c r="H33" i="6"/>
  <c r="D33" i="6"/>
  <c r="C33" i="6"/>
  <c r="B33" i="6"/>
  <c r="E33" i="6"/>
  <c r="G33" i="6"/>
  <c r="F33" i="6"/>
  <c r="D13" i="5"/>
  <c r="F11" i="11"/>
  <c r="G11" i="11"/>
  <c r="E11" i="11"/>
  <c r="Q10" i="17"/>
  <c r="H11" i="12"/>
  <c r="G11" i="12"/>
  <c r="E11" i="12"/>
  <c r="H11" i="11"/>
  <c r="F11" i="12"/>
  <c r="D11" i="12"/>
  <c r="C11" i="12"/>
  <c r="D11" i="11"/>
  <c r="B11" i="12"/>
  <c r="B11" i="11"/>
  <c r="C11" i="11"/>
  <c r="R10" i="17"/>
  <c r="G51" i="9"/>
  <c r="G53" i="9" s="1"/>
  <c r="D6" i="5"/>
  <c r="D2" i="27" s="1"/>
  <c r="R4" i="17"/>
  <c r="Q4" i="17"/>
  <c r="C5" i="12"/>
  <c r="F5" i="11"/>
  <c r="E5" i="11"/>
  <c r="E5" i="12"/>
  <c r="D5" i="12"/>
  <c r="H5" i="11"/>
  <c r="B5" i="12"/>
  <c r="G5" i="11"/>
  <c r="C5" i="11"/>
  <c r="C51" i="11" s="1"/>
  <c r="C53" i="11" s="1"/>
  <c r="H5" i="12"/>
  <c r="H51" i="12" s="1"/>
  <c r="H53" i="12" s="1"/>
  <c r="F5" i="12"/>
  <c r="F51" i="12" s="1"/>
  <c r="F53" i="12" s="1"/>
  <c r="G5" i="12"/>
  <c r="D5" i="11"/>
  <c r="B5" i="11"/>
  <c r="G25" i="19"/>
  <c r="E25" i="5" s="1"/>
  <c r="G44" i="19"/>
  <c r="E44" i="5" s="1"/>
  <c r="G35" i="19"/>
  <c r="E35" i="5" s="1"/>
  <c r="F51" i="8"/>
  <c r="F53" i="8" s="1"/>
  <c r="R42" i="17"/>
  <c r="E43" i="12"/>
  <c r="F43" i="12"/>
  <c r="D43" i="12"/>
  <c r="C43" i="12"/>
  <c r="B43" i="12"/>
  <c r="D43" i="11"/>
  <c r="C43" i="11"/>
  <c r="B43" i="11"/>
  <c r="H43" i="12"/>
  <c r="G43" i="12"/>
  <c r="Q42" i="17"/>
  <c r="G43" i="11"/>
  <c r="F43" i="11"/>
  <c r="H43" i="11"/>
  <c r="E43" i="11"/>
  <c r="O34" i="17"/>
  <c r="D35" i="5" s="1"/>
  <c r="E51" i="9"/>
  <c r="E53" i="9" s="1"/>
  <c r="H11" i="6"/>
  <c r="P10" i="17"/>
  <c r="E11" i="6"/>
  <c r="D11" i="6"/>
  <c r="B11" i="6"/>
  <c r="G11" i="6"/>
  <c r="F11" i="6"/>
  <c r="C11" i="6"/>
  <c r="E51" i="11" l="1"/>
  <c r="E53" i="11" s="1"/>
  <c r="R50" i="17"/>
  <c r="Q50" i="17"/>
  <c r="B51" i="12"/>
  <c r="B53" i="12" s="1"/>
  <c r="H51" i="11"/>
  <c r="H53" i="11" s="1"/>
  <c r="G51" i="19"/>
  <c r="E3" i="5"/>
  <c r="E51" i="5" s="1"/>
  <c r="E53" i="5" s="1"/>
  <c r="E51" i="6"/>
  <c r="E53" i="6" s="1"/>
  <c r="D39" i="5"/>
  <c r="S50" i="17"/>
  <c r="G51" i="10"/>
  <c r="G53" i="10" s="1"/>
  <c r="B51" i="6"/>
  <c r="B53" i="6" s="1"/>
  <c r="O50" i="17"/>
  <c r="D3" i="5"/>
  <c r="D44" i="5"/>
  <c r="H51" i="6"/>
  <c r="H53" i="6" s="1"/>
  <c r="C51" i="6"/>
  <c r="C53" i="6" s="1"/>
  <c r="D51" i="6"/>
  <c r="D53" i="6" s="1"/>
  <c r="C51" i="12"/>
  <c r="C53" i="12" s="1"/>
  <c r="P50" i="17"/>
  <c r="F51" i="6"/>
  <c r="F53" i="6" s="1"/>
  <c r="G51" i="6"/>
  <c r="G53" i="6" s="1"/>
  <c r="D16" i="5"/>
  <c r="D26" i="5"/>
  <c r="D51" i="5" l="1"/>
  <c r="D53" i="5" s="1"/>
</calcChain>
</file>

<file path=xl/sharedStrings.xml><?xml version="1.0" encoding="utf-8"?>
<sst xmlns="http://schemas.openxmlformats.org/spreadsheetml/2006/main" count="1920" uniqueCount="537">
  <si>
    <t>State Vehicles 2024 — SSYVbT Baseline Workbook</t>
  </si>
  <si>
    <t>Built: 2026-07-15 16:07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</si>
  <si>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</si>
  <si>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</si>
  <si>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</si>
  <si>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outputs/transport/_build_state_vehicles_workbook.py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</si>
  <si>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</si>
  <si>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</si>
  <si>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</si>
  <si>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</si>
  <si>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</si>
  <si>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</si>
  <si>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</si>
  <si>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</si>
  <si>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</si>
  <si>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</si>
  <si>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</si>
  <si>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</si>
  <si>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</si>
  <si>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</si>
  <si>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</si>
  <si>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</si>
  <si>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</si>
  <si>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</si>
  <si>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</si>
  <si>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</si>
  <si>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</si>
  <si>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</si>
  <si>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</si>
  <si>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</si>
  <si>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</si>
  <si>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</si>
  <si>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</si>
  <si>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</si>
  <si>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</si>
  <si>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</si>
  <si>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</si>
  <si>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</si>
  <si>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</si>
  <si>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</si>
  <si>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</si>
  <si>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</si>
  <si>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</si>
  <si>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</si>
  <si>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</si>
  <si>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</si>
  <si>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</si>
  <si>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</si>
  <si>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</si>
  <si>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</si>
  <si>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outputs/transport/_build_state_vehicles_workbook_v2.py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</si>
  <si>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</si>
  <si>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</si>
  <si>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</si>
  <si>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</si>
  <si>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</si>
  <si>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</si>
  <si>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</si>
  <si>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</si>
  <si>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</si>
  <si>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</si>
  <si>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</si>
  <si>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</si>
  <si>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</si>
  <si>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</si>
  <si>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</si>
  <si>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</si>
  <si>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</si>
  <si>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</si>
  <si>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</si>
  <si>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</si>
  <si>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</si>
  <si>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</si>
  <si>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</si>
  <si>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</si>
  <si>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</si>
  <si>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</si>
  <si>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</si>
  <si>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</si>
  <si>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</si>
  <si>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</si>
  <si>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</si>
  <si>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</si>
  <si>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</si>
  <si>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</si>
  <si>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</si>
  <si>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</si>
  <si>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</si>
  <si>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</si>
  <si>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</si>
  <si>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</si>
  <si>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</si>
  <si>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</si>
  <si>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</si>
  <si>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</si>
  <si>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</si>
  <si>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</si>
  <si>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</si>
  <si>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</si>
  <si>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</si>
  <si>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</si>
  <si>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</si>
  <si>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</si>
  <si>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</si>
  <si>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</si>
  <si>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</si>
  <si>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</si>
  <si>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</si>
  <si>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</si>
  <si>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</si>
  <si>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</si>
  <si>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</si>
  <si>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</si>
  <si>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</si>
  <si>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</si>
  <si>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</si>
  <si>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</si>
  <si>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</si>
  <si>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</si>
  <si>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</si>
  <si>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</si>
  <si>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</si>
  <si>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</si>
  <si>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</si>
  <si>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</si>
  <si>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</si>
  <si>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</si>
  <si>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</si>
  <si>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</si>
  <si>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</si>
  <si>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</si>
  <si>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</si>
  <si>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</si>
  <si>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</si>
  <si>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</si>
  <si>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</si>
  <si>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</si>
  <si>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</si>
  <si>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</si>
  <si>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</si>
  <si>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</si>
  <si>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</si>
  <si>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</si>
  <si>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</si>
  <si>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</si>
  <si>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</si>
  <si>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</si>
  <si>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</si>
  <si>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</si>
  <si>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</si>
  <si>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</si>
  <si>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</si>
  <si>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2026-07-15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</si>
  <si>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</si>
  <si>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</si>
  <si>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</si>
  <si>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</si>
  <si>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</si>
  <si>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</si>
  <si>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</si>
  <si>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</si>
  <si>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</si>
  <si>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</si>
  <si>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</si>
  <si>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</si>
  <si>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</si>
  <si>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outputs/transport/_build_state_vehicles_workbook_v2.py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</si>
  <si>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</si>
  <si>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</si>
  <si>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</si>
  <si>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</si>
  <si>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</si>
  <si>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</si>
  <si>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</si>
  <si>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</si>
  <si>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</si>
  <si>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</si>
  <si>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</si>
  <si>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</si>
  <si>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</si>
  <si>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</si>
  <si>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</si>
  <si>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</si>
  <si>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</si>
  <si>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</si>
  <si>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</si>
  <si>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</si>
  <si>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</si>
  <si>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</si>
  <si>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</si>
  <si>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</si>
  <si>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</si>
  <si>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</si>
  <si>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</si>
  <si>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</si>
  <si>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</si>
  <si>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</si>
  <si>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</si>
  <si>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</si>
  <si>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</si>
  <si>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</si>
  <si>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</si>
  <si>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</si>
  <si>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</si>
  <si>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</si>
  <si>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</si>
  <si>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</si>
  <si>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</si>
  <si>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</si>
  <si>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</si>
  <si>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</si>
  <si>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</si>
  <si>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</si>
  <si>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</si>
  <si>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</si>
  <si>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</si>
  <si>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</si>
  <si>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</si>
  <si>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</si>
  <si>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</si>
  <si>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</si>
  <si>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</si>
  <si>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</si>
  <si>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</si>
  <si>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</si>
  <si>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</si>
  <si>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</si>
  <si>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</si>
  <si>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</si>
  <si>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</si>
  <si>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</si>
  <si>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</si>
  <si>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</si>
  <si>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</si>
  <si>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</si>
  <si>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</si>
  <si>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</si>
  <si>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</si>
  <si>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</si>
  <si>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</si>
  <si>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</si>
  <si>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</si>
  <si>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</si>
  <si>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</si>
  <si>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</si>
  <si>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</si>
  <si>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</si>
  <si>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</si>
  <si>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</si>
  <si>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</si>
  <si>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</si>
  <si>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</si>
  <si>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</si>
  <si>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</si>
  <si>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</si>
  <si>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</si>
  <si>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</si>
  <si>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</si>
  <si>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</si>
  <si>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</si>
  <si>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</si>
  <si>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</si>
  <si>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</si>
  <si>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</si>
  <si>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</si>
  <si>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</si>
  <si>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</si>
  <si>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</si>
  <si>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</si>
  <si>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</si>
  <si>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</si>
  <si>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</si>
  <si>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</si>
  <si>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</si>
  <si>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</si>
  <si>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</si>
  <si>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</si>
  <si>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</si>
  <si>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</si>
  <si>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</si>
  <si>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</si>
  <si>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</si>
  <si>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</si>
  <si>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</si>
  <si>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</si>
  <si>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</si>
  <si>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</si>
  <si>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</si>
  <si>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</si>
  <si>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</si>
  <si>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</si>
  <si>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</si>
  <si>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</si>
  <si>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</si>
  <si>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</si>
  <si>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</si>
  <si>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</si>
  <si>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</si>
  <si>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</si>
  <si>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</si>
  <si>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</si>
  <si>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</si>
  <si>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</si>
  <si>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</si>
  <si>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</si>
  <si>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</si>
  <si>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</si>
  <si>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</si>
  <si>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</si>
  <si>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</si>
  <si>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</si>
  <si>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</si>
  <si>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</si>
  <si>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</si>
  <si>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</si>
  <si>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</si>
  <si>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</si>
  <si>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</si>
  <si>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</si>
  <si>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</si>
  <si>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</si>
  <si>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</si>
  <si>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</si>
  <si>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</si>
  <si>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</si>
  <si>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</si>
  <si>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</si>
  <si>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</si>
  <si>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</si>
  <si>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</si>
  <si>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</si>
  <si>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</si>
  <si>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</si>
  <si>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</si>
  <si>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</si>
  <si>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</si>
  <si>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</si>
  <si>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</si>
  <si>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</si>
  <si>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</si>
  <si>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</si>
  <si>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</si>
  <si>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</si>
  <si>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</si>
  <si>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</si>
  <si>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</si>
  <si>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</si>
  <si>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</si>
  <si>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</si>
  <si>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</si>
  <si>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</si>
  <si>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</si>
  <si>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</si>
  <si>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</si>
  <si>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</si>
  <si>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</si>
  <si>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</si>
  <si>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</si>
  <si>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</si>
  <si>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definition. See methodology §9.2.</t>
  </si>
  <si>
    <t>unknown_total</t>
  </si>
  <si>
    <t>dsl_raw_AFDC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</si>
  <si>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</si>
  <si>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</si>
  <si>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</si>
  <si>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</si>
  <si>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</si>
  <si>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</si>
  <si>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</si>
  <si>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</si>
  <si>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</si>
  <si>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</si>
  <si>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</si>
  <si>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</si>
  <si>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</si>
  <si>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</si>
  <si>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</si>
  <si>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</si>
  <si>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</si>
  <si>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</si>
  <si>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</si>
  <si>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</si>
  <si>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</si>
  <si>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</si>
  <si>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</si>
  <si>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</si>
  <si>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</si>
  <si>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</si>
  <si>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</si>
  <si>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</si>
  <si>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</si>
  <si>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</si>
  <si>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</si>
  <si>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</si>
  <si>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</si>
  <si>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</si>
  <si>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</si>
  <si>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</si>
  <si>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</si>
  <si>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</si>
  <si>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</si>
  <si>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</si>
  <si>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</si>
  <si>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</si>
  <si>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</si>
  <si>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</si>
  <si>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</si>
  <si>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</si>
  <si>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</si>
  <si>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</si>
  <si>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</si>
  <si>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</si>
  <si>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</si>
  <si>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</si>
  <si>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</si>
  <si>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</si>
  <si>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</si>
  <si>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</si>
  <si>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</si>
  <si>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</si>
  <si>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</si>
  <si>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</si>
  <si>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</si>
  <si>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</si>
  <si>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</si>
  <si>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</si>
  <si>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</si>
  <si>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</si>
  <si>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</si>
  <si>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</si>
  <si>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</si>
  <si>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</si>
  <si>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</si>
  <si>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</si>
  <si>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</si>
  <si>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</si>
  <si>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</si>
  <si>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</si>
  <si>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</si>
  <si>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</si>
  <si>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</si>
  <si>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</si>
  <si>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</si>
  <si>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</si>
  <si>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</si>
  <si>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</si>
  <si>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</si>
  <si>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</si>
  <si>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</si>
  <si>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</si>
  <si>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</si>
  <si>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</si>
  <si>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</si>
  <si>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</si>
  <si>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</si>
  <si>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</si>
  <si>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</si>
  <si>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</si>
  <si>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</si>
  <si>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</si>
  <si>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</si>
  <si>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</si>
  <si>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</si>
  <si>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</si>
  <si>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</si>
  <si>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</si>
  <si>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</si>
  <si>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</si>
  <si>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</si>
  <si>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</si>
  <si>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</si>
  <si>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</si>
  <si>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</si>
  <si>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</si>
  <si>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</si>
  <si>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</si>
  <si>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</si>
  <si>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</si>
  <si>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</si>
  <si>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</si>
  <si>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</si>
  <si>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</si>
  <si>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</si>
  <si>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</si>
  <si>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</si>
  <si>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</si>
  <si>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</si>
  <si>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</si>
  <si>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</si>
  <si>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</si>
  <si>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</si>
  <si>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</si>
  <si>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</si>
  <si>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</si>
  <si>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</si>
  <si>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</si>
  <si>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</si>
  <si>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</si>
  <si>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</si>
  <si>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</si>
  <si>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</si>
  <si>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</si>
  <si>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</si>
  <si>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</si>
  <si>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United States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</si>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</sst>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58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117</v>
      </c>
      <c r="C1" s="8">
        <v>46218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ND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322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378525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1873929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18602405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3273573</v>
      </c>
      <c r="E36">
        <f>ROUND(AFDC_state_fuels_lookup!G36, 0)</f>
        <v>32652</v>
      </c>
      <c r="F36">
        <f>ROUND(AFDC_state_fuels_lookup!D36, 0)</f>
        <v>34300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323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262291987</v>
      </c>
      <c r="E51" s="4">
        <f t="shared" si="0"/>
        <v>1553090</v>
      </c>
      <c r="F51" s="4">
        <f t="shared" si="0"/>
        <v>1506700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324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325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1.8017338207137058E-2</v>
      </c>
      <c r="E53" s="7">
        <f t="shared" si="1"/>
        <v>-1.9316293357834979E-6</v>
      </c>
      <c r="F53" s="7">
        <f t="shared" si="1"/>
        <v>6.2684040696136686E-2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326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323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324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325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327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323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324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325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328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323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324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325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329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323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324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325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323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324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325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68</v>
      </c>
      <c r="C9">
        <f>ROUND(State_lookup!E8*Keys!$C$32*Keys!$C$29*(National_totals!$D$8/SUM(National_totals!$C$8:$I$8)), 0)</f>
        <v>12</v>
      </c>
      <c r="D9">
        <f>ROUND(State_lookup!E8*Keys!$C$32*Keys!$C$29*(National_totals!$E$8/SUM(National_totals!$C$8:$I$8)), 0)</f>
        <v>6275</v>
      </c>
      <c r="E9">
        <f>ROUND(State_lookup!E8*Keys!$C$32*Keys!$C$29*(National_totals!$F$8/SUM(National_totals!$C$8:$I$8)), 0)</f>
        <v>5363</v>
      </c>
      <c r="F9">
        <f>ROUND(State_lookup!E8*Keys!$C$32*Keys!$C$29*(National_totals!$G$8/SUM(National_totals!$C$8:$I$8)), 0)</f>
        <v>0</v>
      </c>
      <c r="G9">
        <f>ROUND(State_lookup!E8*Keys!$C$32*Keys!$C$29*(National_totals!$H$8/SUM(National_totals!$C$8:$I$8)), 0)</f>
        <v>1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374</v>
      </c>
      <c r="C26">
        <f>ROUND(State_lookup!E25*Keys!$C$32*Keys!$C$29*(National_totals!$D$8/SUM(National_totals!$C$8:$I$8)), 0)</f>
        <v>68</v>
      </c>
      <c r="D26">
        <f>ROUND(State_lookup!E25*Keys!$C$32*Keys!$C$29*(National_totals!$E$8/SUM(National_totals!$C$8:$I$8)), 0)</f>
        <v>34677</v>
      </c>
      <c r="E26">
        <f>ROUND(State_lookup!E25*Keys!$C$32*Keys!$C$29*(National_totals!$F$8/SUM(National_totals!$C$8:$I$8)), 0)</f>
        <v>29637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6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3382</v>
      </c>
      <c r="C32">
        <f>ROUND(State_lookup!E31*Keys!$C$32*Keys!$C$29*(National_totals!$D$8/SUM(National_totals!$C$8:$I$8)), 0)</f>
        <v>618</v>
      </c>
      <c r="D32">
        <f>ROUND(State_lookup!E31*Keys!$C$32*Keys!$C$29*(National_totals!$E$8/SUM(National_totals!$C$8:$I$8)), 0)</f>
        <v>313859</v>
      </c>
      <c r="E32">
        <f>ROUND(State_lookup!E31*Keys!$C$32*Keys!$C$29*(National_totals!$F$8/SUM(National_totals!$C$8:$I$8)), 0)</f>
        <v>268247</v>
      </c>
      <c r="F32">
        <f>ROUND(State_lookup!E31*Keys!$C$32*Keys!$C$29*(National_totals!$G$8/SUM(National_totals!$C$8:$I$8)), 0)</f>
        <v>12</v>
      </c>
      <c r="G32">
        <f>ROUND(State_lookup!E31*Keys!$C$32*Keys!$C$29*(National_totals!$H$8/SUM(National_totals!$C$8:$I$8)), 0)</f>
        <v>55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323</v>
      </c>
      <c r="B51" s="4">
        <f t="shared" ref="B51:H51" si="0">SUM(B3:B50)</f>
        <v>47072</v>
      </c>
      <c r="C51" s="4">
        <f t="shared" si="0"/>
        <v>8600</v>
      </c>
      <c r="D51" s="4">
        <f t="shared" si="0"/>
        <v>4368346</v>
      </c>
      <c r="E51" s="4">
        <f t="shared" si="0"/>
        <v>3733503</v>
      </c>
      <c r="F51" s="4">
        <f t="shared" si="0"/>
        <v>165</v>
      </c>
      <c r="G51" s="4">
        <f t="shared" si="0"/>
        <v>763</v>
      </c>
      <c r="H51" s="4">
        <f t="shared" si="0"/>
        <v>0</v>
      </c>
    </row>
    <row r="52" spans="1:8" x14ac:dyDescent="0.45">
      <c r="A52" s="4" t="s">
        <v>324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325</v>
      </c>
      <c r="B53" s="7">
        <f t="shared" ref="B53:H53" si="1">IFERROR((B51-B52)/B52, 0)</f>
        <v>-0.65961877765886678</v>
      </c>
      <c r="C53" s="7">
        <f t="shared" si="1"/>
        <v>-0.65963509716230662</v>
      </c>
      <c r="D53" s="7">
        <f t="shared" si="1"/>
        <v>-0.65961952560112169</v>
      </c>
      <c r="E53" s="7">
        <f t="shared" si="1"/>
        <v>-0.65961959294966854</v>
      </c>
      <c r="F53" s="7">
        <f t="shared" si="1"/>
        <v>-0.66531440162271804</v>
      </c>
      <c r="G53" s="7">
        <f t="shared" si="1"/>
        <v>-0.65907059874888296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4</v>
      </c>
      <c r="C9">
        <f>ROUND(State_lookup!E8*Keys!$C$31*(National_totals!$D$9/SUM(National_totals!$C$9:$I$9)), 0)</f>
        <v>103</v>
      </c>
      <c r="D9">
        <f>ROUND(State_lookup!E8*Keys!$C$31*(National_totals!$E$9/SUM(National_totals!$C$9:$I$9)), 0)</f>
        <v>69</v>
      </c>
      <c r="E9">
        <f>ROUND(State_lookup!E8*Keys!$C$31*(National_totals!$F$9/SUM(National_totals!$C$9:$I$9)), 0)</f>
        <v>9824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6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21</v>
      </c>
      <c r="C26">
        <f>ROUND(State_lookup!E25*Keys!$C$31*(National_totals!$D$9/SUM(National_totals!$C$9:$I$9)), 0)</f>
        <v>571</v>
      </c>
      <c r="D26">
        <f>ROUND(State_lookup!E25*Keys!$C$31*(National_totals!$E$9/SUM(National_totals!$C$9:$I$9)), 0)</f>
        <v>380</v>
      </c>
      <c r="E26">
        <f>ROUND(State_lookup!E25*Keys!$C$31*(National_totals!$F$9/SUM(National_totals!$C$9:$I$9)), 0)</f>
        <v>54293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30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190</v>
      </c>
      <c r="C32">
        <f>ROUND(State_lookup!E31*Keys!$C$31*(National_totals!$D$9/SUM(National_totals!$C$9:$I$9)), 0)</f>
        <v>5172</v>
      </c>
      <c r="D32">
        <f>ROUND(State_lookup!E31*Keys!$C$31*(National_totals!$E$9/SUM(National_totals!$C$9:$I$9)), 0)</f>
        <v>3437</v>
      </c>
      <c r="E32">
        <f>ROUND(State_lookup!E31*Keys!$C$31*(National_totals!$F$9/SUM(National_totals!$C$9:$I$9)), 0)</f>
        <v>491408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275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323</v>
      </c>
      <c r="B51" s="4">
        <f t="shared" ref="B51:H51" si="0">SUM(B3:B50)</f>
        <v>2650</v>
      </c>
      <c r="C51" s="4">
        <f t="shared" si="0"/>
        <v>71979</v>
      </c>
      <c r="D51" s="4">
        <f t="shared" si="0"/>
        <v>47830</v>
      </c>
      <c r="E51" s="4">
        <f t="shared" si="0"/>
        <v>6839492</v>
      </c>
      <c r="F51" s="4">
        <f t="shared" si="0"/>
        <v>0</v>
      </c>
      <c r="G51" s="4">
        <f t="shared" si="0"/>
        <v>3836</v>
      </c>
      <c r="H51" s="4">
        <f t="shared" si="0"/>
        <v>0</v>
      </c>
    </row>
    <row r="52" spans="1:8" x14ac:dyDescent="0.45">
      <c r="A52" s="4" t="s">
        <v>324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325</v>
      </c>
      <c r="B53" s="7">
        <f t="shared" ref="B53:H53" si="1">IFERROR((B51-B52)/B52, 0)</f>
        <v>0.25354777672658468</v>
      </c>
      <c r="C53" s="7">
        <f t="shared" si="1"/>
        <v>0.25416434346250349</v>
      </c>
      <c r="D53" s="7">
        <f t="shared" si="1"/>
        <v>0.25419551080344033</v>
      </c>
      <c r="E53" s="7">
        <f t="shared" si="1"/>
        <v>0.25421095011152123</v>
      </c>
      <c r="F53" s="7">
        <f t="shared" si="1"/>
        <v>0</v>
      </c>
      <c r="G53" s="7">
        <f t="shared" si="1"/>
        <v>0.25482499182204776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323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324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325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323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324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325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IFERROR(ROUND(State_lookup!N2/SUM(State_lookup!N2:N49)*National_totals!$F$12,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IFERROR(ROUND(State_lookup!N3/SUM(State_lookup!N2:N49)*National_totals!$F$12,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IFERROR(ROUND(State_lookup!N4/SUM(State_lookup!N2:N49)*National_totals!$F$12,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IFERROR(ROUND(State_lookup!N5/SUM(State_lookup!N2:N49)*National_totals!$F$12,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IFERROR(ROUND(State_lookup!N6/SUM(State_lookup!N2:N49)*National_totals!$F$12,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IFERROR(ROUND(State_lookup!N7/SUM(State_lookup!N2:N49)*National_totals!$F$12,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IFERROR(ROUND(State_lookup!N8/SUM(State_lookup!N2:N49)*National_totals!$F$12, 0), 0)</f>
        <v>0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IFERROR(ROUND(State_lookup!N9/SUM(State_lookup!N2:N49)*National_totals!$F$12,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IFERROR(ROUND(State_lookup!N10/SUM(State_lookup!N2:N49)*National_totals!$F$12,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IFERROR(ROUND(State_lookup!N11/SUM(State_lookup!N2:N49)*National_totals!$F$12,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IFERROR(ROUND(State_lookup!N12/SUM(State_lookup!N2:N49)*National_totals!$F$12,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IFERROR(ROUND(State_lookup!N13/SUM(State_lookup!N2:N49)*National_totals!$F$12,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IFERROR(ROUND(State_lookup!N14/SUM(State_lookup!N2:N49)*National_totals!$F$12,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IFERROR(ROUND(State_lookup!N15/SUM(State_lookup!N2:N49)*National_totals!$F$12,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IFERROR(ROUND(State_lookup!N16/SUM(State_lookup!N2:N49)*National_totals!$F$12,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IFERROR(ROUND(State_lookup!N17/SUM(State_lookup!N2:N49)*National_totals!$F$12,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IFERROR(ROUND(State_lookup!N18/SUM(State_lookup!N2:N49)*National_totals!$F$12, 0), 0)</f>
        <v>0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IFERROR(ROUND(State_lookup!N19/SUM(State_lookup!N2:N49)*National_totals!$F$12,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IFERROR(ROUND(State_lookup!N20/SUM(State_lookup!N2:N49)*National_totals!$F$12,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IFERROR(ROUND(State_lookup!N21/SUM(State_lookup!N2:N49)*National_totals!$F$12, 0), 0)</f>
        <v>0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IFERROR(ROUND(State_lookup!N22/SUM(State_lookup!N2:N49)*National_totals!$F$12,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IFERROR(ROUND(State_lookup!N23/SUM(State_lookup!N2:N49)*National_totals!$F$12,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IFERROR(ROUND(State_lookup!N24/SUM(State_lookup!N2:N49)*National_totals!$F$12,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IFERROR(ROUND(State_lookup!N25/SUM(State_lookup!N2:N49)*National_totals!$F$12,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IFERROR(ROUND(State_lookup!N26/SUM(State_lookup!N2:N49)*National_totals!$F$12,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IFERROR(ROUND(State_lookup!N27/SUM(State_lookup!N2:N49)*National_totals!$F$12,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IFERROR(ROUND(State_lookup!N28/SUM(State_lookup!N2:N49)*National_totals!$F$12,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IFERROR(ROUND(State_lookup!N29/SUM(State_lookup!N2:N49)*National_totals!$F$12,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IFERROR(ROUND(State_lookup!N30/SUM(State_lookup!N2:N49)*National_totals!$F$12,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IFERROR(ROUND(State_lookup!N31/SUM(State_lookup!N2:N49)*National_totals!$F$12,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IFERROR(ROUND(State_lookup!N32/SUM(State_lookup!N2:N49)*National_totals!$F$12, 0), 0)</f>
        <v>0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IFERROR(ROUND(State_lookup!N33/SUM(State_lookup!N2:N49)*National_totals!$F$12,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IFERROR(ROUND(State_lookup!N34/SUM(State_lookup!N2:N49)*National_totals!$F$12,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IFERROR(ROUND(State_lookup!N35/SUM(State_lookup!N2:N49)*National_totals!$F$12,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IFERROR(ROUND(State_lookup!N36/SUM(State_lookup!N2:N49)*National_totals!$F$12,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IFERROR(ROUND(State_lookup!N37/SUM(State_lookup!N2:N49)*National_totals!$F$12,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IFERROR(ROUND(State_lookup!N38/SUM(State_lookup!N2:N49)*National_totals!$F$12, 0), 0)</f>
        <v>0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IFERROR(ROUND(State_lookup!N39/SUM(State_lookup!N2:N49)*National_totals!$F$12,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IFERROR(ROUND(State_lookup!N40/SUM(State_lookup!N2:N49)*National_totals!$F$12,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IFERROR(ROUND(State_lookup!N41/SUM(State_lookup!N2:N49)*National_totals!$F$12, 0), 0)</f>
        <v>0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IFERROR(ROUND(State_lookup!N42/SUM(State_lookup!N2:N49)*National_totals!$F$12,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IFERROR(ROUND(State_lookup!N43/SUM(State_lookup!N2:N49)*National_totals!$F$12,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IFERROR(ROUND(State_lookup!N44/SUM(State_lookup!N2:N49)*National_totals!$F$12, 0), 0)</f>
        <v>0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IFERROR(ROUND(State_lookup!N45/SUM(State_lookup!N2:N49)*National_totals!$F$12,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IFERROR(ROUND(State_lookup!N46/SUM(State_lookup!N2:N49)*National_totals!$F$12,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IFERROR(ROUND(State_lookup!N47/SUM(State_lookup!N2:N49)*National_totals!$F$12,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IFERROR(ROUND(State_lookup!N48/SUM(State_lookup!N2:N49)*National_totals!$F$12,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IFERROR(ROUND(State_lookup!N49/SUM(State_lookup!N2:N49)*National_totals!$F$12,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323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163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324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325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-6.0975609756097563E-3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323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324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325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9" width="18" customWidth="1"/>
  </cols>
  <sheetData>
    <row r="1" spans="1:19" x14ac:dyDescent="0.45">
      <c r="A1" s="4" t="s">
        <v>337</v>
      </c>
      <c r="B1" s="4" t="s">
        <v>338</v>
      </c>
      <c r="C1" s="4" t="s">
        <v>339</v>
      </c>
      <c r="D1" s="4" t="s">
        <v>340</v>
      </c>
      <c r="E1" s="4" t="s">
        <v>341</v>
      </c>
      <c r="F1" s="4" t="s">
        <v>342</v>
      </c>
      <c r="G1" s="4" t="s">
        <v>343</v>
      </c>
      <c r="H1" s="4" t="s">
        <v>344</v>
      </c>
      <c r="I1" s="4" t="s">
        <v>345</v>
      </c>
      <c r="J1" s="4" t="s">
        <v>346</v>
      </c>
      <c r="K1" s="4" t="s">
        <v>347</v>
      </c>
      <c r="L1" s="4" t="s">
        <v>348</v>
      </c>
      <c r="M1" s="4" t="s">
        <v>349</v>
      </c>
      <c r="N1" s="4" t="s">
        <v>350</v>
      </c>
      <c r="O1" s="4" t="s">
        <v>351</v>
      </c>
      <c r="P1" s="4" t="s">
        <v>352</v>
      </c>
      <c r="Q1" s="4" t="s">
        <v>353</v>
      </c>
      <c r="R1" s="4" t="s">
        <v>354</v>
      </c>
      <c r="S1" s="4" t="s">
        <v>355</v>
      </c>
    </row>
    <row r="2" spans="1:19" x14ac:dyDescent="0.45">
      <c r="A2" t="s">
        <v>39</v>
      </c>
      <c r="B2" t="str">
        <f>INDEX(Geography!C:C, MATCH(A2, Geography!B:B, 0))</f>
        <v>Alabama</v>
      </c>
      <c r="C2">
        <f>INDEX(FHWA_MV1!D:D, MATCH(B2&amp;"*", FHWA_MV1!A:A, 0))</f>
        <v>1937330</v>
      </c>
      <c r="D2">
        <f>INDEX(FHWA_MV1!G:G, MATCH(B2&amp;"*", FHWA_MV1!A:A, 0))</f>
        <v>3369</v>
      </c>
      <c r="E2">
        <f>INDEX(FHWA_MV1!J:J, MATCH(B2&amp;"*", FHWA_MV1!A:A, 0))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</row>
    <row r="3" spans="1:19" x14ac:dyDescent="0.45">
      <c r="A3" t="s">
        <v>41</v>
      </c>
      <c r="B3" t="str">
        <f>INDEX(Geography!C:C, MATCH(A3, Geography!B:B, 0))</f>
        <v>Arizona</v>
      </c>
      <c r="C3">
        <f>INDEX(FHWA_MV1!D:D, MATCH(B3&amp;"*", FHWA_MV1!A:A, 0))</f>
        <v>2287531</v>
      </c>
      <c r="D3">
        <f>INDEX(FHWA_MV1!G:G, MATCH(B3&amp;"*", FHWA_MV1!A:A, 0))</f>
        <v>22617</v>
      </c>
      <c r="E3">
        <f>INDEX(FHWA_MV1!J:J, MATCH(B3&amp;"*", FHWA_MV1!A:A, 0))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</row>
    <row r="4" spans="1:19" x14ac:dyDescent="0.45">
      <c r="A4" t="s">
        <v>45</v>
      </c>
      <c r="B4" t="str">
        <f>INDEX(Geography!C:C, MATCH(A4, Geography!B:B, 0))</f>
        <v>Arkansas</v>
      </c>
      <c r="C4">
        <f>INDEX(FHWA_MV1!D:D, MATCH(B4&amp;"*", FHWA_MV1!A:A, 0))</f>
        <v>911769</v>
      </c>
      <c r="D4">
        <f>INDEX(FHWA_MV1!G:G, MATCH(B4&amp;"*", FHWA_MV1!A:A, 0))</f>
        <v>10805</v>
      </c>
      <c r="E4">
        <f>INDEX(FHWA_MV1!J:J, MATCH(B4&amp;"*", FHWA_MV1!A:A, 0))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</row>
    <row r="5" spans="1:19" x14ac:dyDescent="0.45">
      <c r="A5" t="s">
        <v>48</v>
      </c>
      <c r="B5" t="str">
        <f>INDEX(Geography!C:C, MATCH(A5, Geography!B:B, 0))</f>
        <v>California</v>
      </c>
      <c r="C5">
        <f>INDEX(FHWA_MV1!D:D, MATCH(B5&amp;"*", FHWA_MV1!A:A, 0))</f>
        <v>12979522</v>
      </c>
      <c r="D5">
        <f>INDEX(FHWA_MV1!G:G, MATCH(B5&amp;"*", FHWA_MV1!A:A, 0))</f>
        <v>96229</v>
      </c>
      <c r="E5">
        <f>INDEX(FHWA_MV1!J:J, MATCH(B5&amp;"*", FHWA_MV1!A:A, 0))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</row>
    <row r="6" spans="1:19" x14ac:dyDescent="0.45">
      <c r="A6" t="s">
        <v>52</v>
      </c>
      <c r="B6" t="str">
        <f>INDEX(Geography!C:C, MATCH(A6, Geography!B:B, 0))</f>
        <v>Colorado</v>
      </c>
      <c r="C6">
        <f>INDEX(FHWA_MV1!D:D, MATCH(B6&amp;"*", FHWA_MV1!A:A, 0))</f>
        <v>1356526</v>
      </c>
      <c r="D6">
        <f>INDEX(FHWA_MV1!G:G, MATCH(B6&amp;"*", FHWA_MV1!A:A, 0))</f>
        <v>12602</v>
      </c>
      <c r="E6">
        <f>INDEX(FHWA_MV1!J:J, MATCH(B6&amp;"*", FHWA_MV1!A:A, 0))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</row>
    <row r="7" spans="1:19" x14ac:dyDescent="0.45">
      <c r="A7" t="s">
        <v>55</v>
      </c>
      <c r="B7" t="str">
        <f>INDEX(Geography!C:C, MATCH(A7, Geography!B:B, 0))</f>
        <v>Connecticut</v>
      </c>
      <c r="C7">
        <f>INDEX(FHWA_MV1!D:D, MATCH(B7&amp;"*", FHWA_MV1!A:A, 0))</f>
        <v>1028799</v>
      </c>
      <c r="D7">
        <f>INDEX(FHWA_MV1!G:G, MATCH(B7&amp;"*", FHWA_MV1!A:A, 0))</f>
        <v>9889</v>
      </c>
      <c r="E7">
        <f>INDEX(FHWA_MV1!J:J, MATCH(B7&amp;"*", FHWA_MV1!A:A, 0))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</row>
    <row r="8" spans="1:19" x14ac:dyDescent="0.45">
      <c r="A8" t="s">
        <v>57</v>
      </c>
      <c r="B8" t="str">
        <f>INDEX(Geography!C:C, MATCH(A8, Geography!B:B, 0))</f>
        <v>Delaware</v>
      </c>
      <c r="C8">
        <f>INDEX(FHWA_MV1!D:D, MATCH(B8&amp;"*", FHWA_MV1!A:A, 0))</f>
        <v>148493</v>
      </c>
      <c r="D8">
        <f>INDEX(FHWA_MV1!G:G, MATCH(B8&amp;"*", FHWA_MV1!A:A, 0))</f>
        <v>3483</v>
      </c>
      <c r="E8">
        <f>INDEX(FHWA_MV1!J:J, MATCH(B8&amp;"*", FHWA_MV1!A:A, 0))</f>
        <v>270424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397192.48796</v>
      </c>
      <c r="P8">
        <f t="shared" si="0"/>
        <v>3483</v>
      </c>
      <c r="Q8">
        <f>E8*Keys!$C$32*Keys!$C$29</f>
        <v>11718.82404</v>
      </c>
      <c r="R8">
        <f>E8*Keys!$C$31</f>
        <v>10005.688</v>
      </c>
      <c r="S8">
        <f t="shared" si="1"/>
        <v>24694</v>
      </c>
    </row>
    <row r="9" spans="1:19" x14ac:dyDescent="0.45">
      <c r="A9" t="s">
        <v>60</v>
      </c>
      <c r="B9" t="str">
        <f>INDEX(Geography!C:C, MATCH(A9, Geography!B:B, 0))</f>
        <v>Florida</v>
      </c>
      <c r="C9">
        <f>INDEX(FHWA_MV1!D:D, MATCH(B9&amp;"*", FHWA_MV1!A:A, 0))</f>
        <v>7210114</v>
      </c>
      <c r="D9">
        <f>INDEX(FHWA_MV1!G:G, MATCH(B9&amp;"*", FHWA_MV1!A:A, 0))</f>
        <v>57468</v>
      </c>
      <c r="E9">
        <f>INDEX(FHWA_MV1!J:J, MATCH(B9&amp;"*", FHWA_MV1!A:A, 0))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</row>
    <row r="10" spans="1:19" x14ac:dyDescent="0.45">
      <c r="A10" t="s">
        <v>63</v>
      </c>
      <c r="B10" t="str">
        <f>INDEX(Geography!C:C, MATCH(A10, Geography!B:B, 0))</f>
        <v>Georgia</v>
      </c>
      <c r="C10">
        <f>INDEX(FHWA_MV1!D:D, MATCH(B10&amp;"*", FHWA_MV1!A:A, 0))</f>
        <v>3206610</v>
      </c>
      <c r="D10">
        <f>INDEX(FHWA_MV1!G:G, MATCH(B10&amp;"*", FHWA_MV1!A:A, 0))</f>
        <v>39381</v>
      </c>
      <c r="E10">
        <f>INDEX(FHWA_MV1!J:J, MATCH(B10&amp;"*", FHWA_MV1!A:A, 0))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</row>
    <row r="11" spans="1:19" x14ac:dyDescent="0.45">
      <c r="A11" t="s">
        <v>66</v>
      </c>
      <c r="B11" t="str">
        <f>INDEX(Geography!C:C, MATCH(A11, Geography!B:B, 0))</f>
        <v>Idaho</v>
      </c>
      <c r="C11">
        <f>INDEX(FHWA_MV1!D:D, MATCH(B11&amp;"*", FHWA_MV1!A:A, 0))</f>
        <v>510516</v>
      </c>
      <c r="D11">
        <f>INDEX(FHWA_MV1!G:G, MATCH(B11&amp;"*", FHWA_MV1!A:A, 0))</f>
        <v>4082</v>
      </c>
      <c r="E11">
        <f>INDEX(FHWA_MV1!J:J, MATCH(B11&amp;"*", FHWA_MV1!A:A, 0))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</row>
    <row r="12" spans="1:19" x14ac:dyDescent="0.45">
      <c r="A12" t="s">
        <v>68</v>
      </c>
      <c r="B12" t="str">
        <f>INDEX(Geography!C:C, MATCH(A12, Geography!B:B, 0))</f>
        <v>Illinois</v>
      </c>
      <c r="C12">
        <f>INDEX(FHWA_MV1!D:D, MATCH(B12&amp;"*", FHWA_MV1!A:A, 0))</f>
        <v>3514238</v>
      </c>
      <c r="D12">
        <f>INDEX(FHWA_MV1!G:G, MATCH(B12&amp;"*", FHWA_MV1!A:A, 0))</f>
        <v>39183</v>
      </c>
      <c r="E12">
        <f>INDEX(FHWA_MV1!J:J, MATCH(B12&amp;"*", FHWA_MV1!A:A, 0))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</row>
    <row r="13" spans="1:19" x14ac:dyDescent="0.45">
      <c r="A13" t="s">
        <v>71</v>
      </c>
      <c r="B13" t="str">
        <f>INDEX(Geography!C:C, MATCH(A13, Geography!B:B, 0))</f>
        <v>Indiana</v>
      </c>
      <c r="C13">
        <f>INDEX(FHWA_MV1!D:D, MATCH(B13&amp;"*", FHWA_MV1!A:A, 0))</f>
        <v>1791108</v>
      </c>
      <c r="D13">
        <f>INDEX(FHWA_MV1!G:G, MATCH(B13&amp;"*", FHWA_MV1!A:A, 0))</f>
        <v>32361</v>
      </c>
      <c r="E13">
        <f>INDEX(FHWA_MV1!J:J, MATCH(B13&amp;"*", FHWA_MV1!A:A, 0))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</row>
    <row r="14" spans="1:19" x14ac:dyDescent="0.45">
      <c r="A14" t="s">
        <v>74</v>
      </c>
      <c r="B14" t="str">
        <f>INDEX(Geography!C:C, MATCH(A14, Geography!B:B, 0))</f>
        <v>Iowa</v>
      </c>
      <c r="C14">
        <f>INDEX(FHWA_MV1!D:D, MATCH(B14&amp;"*", FHWA_MV1!A:A, 0))</f>
        <v>1006994</v>
      </c>
      <c r="D14">
        <f>INDEX(FHWA_MV1!G:G, MATCH(B14&amp;"*", FHWA_MV1!A:A, 0))</f>
        <v>9167</v>
      </c>
      <c r="E14">
        <f>INDEX(FHWA_MV1!J:J, MATCH(B14&amp;"*", FHWA_MV1!A:A, 0))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</row>
    <row r="15" spans="1:19" x14ac:dyDescent="0.45">
      <c r="A15" t="s">
        <v>76</v>
      </c>
      <c r="B15" t="str">
        <f>INDEX(Geography!C:C, MATCH(A15, Geography!B:B, 0))</f>
        <v>Kansas</v>
      </c>
      <c r="C15">
        <f>INDEX(FHWA_MV1!D:D, MATCH(B15&amp;"*", FHWA_MV1!A:A, 0))</f>
        <v>594786</v>
      </c>
      <c r="D15">
        <f>INDEX(FHWA_MV1!G:G, MATCH(B15&amp;"*", FHWA_MV1!A:A, 0))</f>
        <v>1434</v>
      </c>
      <c r="E15">
        <f>INDEX(FHWA_MV1!J:J, MATCH(B15&amp;"*", FHWA_MV1!A:A, 0))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</row>
    <row r="16" spans="1:19" x14ac:dyDescent="0.45">
      <c r="A16" t="s">
        <v>79</v>
      </c>
      <c r="B16" t="str">
        <f>INDEX(Geography!C:C, MATCH(A16, Geography!B:B, 0))</f>
        <v>Kentucky</v>
      </c>
      <c r="C16">
        <f>INDEX(FHWA_MV1!D:D, MATCH(B16&amp;"*", FHWA_MV1!A:A, 0))</f>
        <v>1458659</v>
      </c>
      <c r="D16">
        <f>INDEX(FHWA_MV1!G:G, MATCH(B16&amp;"*", FHWA_MV1!A:A, 0))</f>
        <v>15428</v>
      </c>
      <c r="E16">
        <f>INDEX(FHWA_MV1!J:J, MATCH(B16&amp;"*", FHWA_MV1!A:A, 0))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</row>
    <row r="17" spans="1:19" x14ac:dyDescent="0.45">
      <c r="A17" t="s">
        <v>82</v>
      </c>
      <c r="B17" t="str">
        <f>INDEX(Geography!C:C, MATCH(A17, Geography!B:B, 0))</f>
        <v>Louisiana</v>
      </c>
      <c r="C17">
        <f>INDEX(FHWA_MV1!D:D, MATCH(B17&amp;"*", FHWA_MV1!A:A, 0))</f>
        <v>1370563</v>
      </c>
      <c r="D17">
        <f>INDEX(FHWA_MV1!G:G, MATCH(B17&amp;"*", FHWA_MV1!A:A, 0))</f>
        <v>33629</v>
      </c>
      <c r="E17">
        <f>INDEX(FHWA_MV1!J:J, MATCH(B17&amp;"*", FHWA_MV1!A:A, 0))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</row>
    <row r="18" spans="1:19" x14ac:dyDescent="0.45">
      <c r="A18" t="s">
        <v>84</v>
      </c>
      <c r="B18" t="str">
        <f>INDEX(Geography!C:C, MATCH(A18, Geography!B:B, 0))</f>
        <v>Maine</v>
      </c>
      <c r="C18">
        <f>INDEX(FHWA_MV1!D:D, MATCH(B18&amp;"*", FHWA_MV1!A:A, 0))</f>
        <v>312473</v>
      </c>
      <c r="D18">
        <f>INDEX(FHWA_MV1!G:G, MATCH(B18&amp;"*", FHWA_MV1!A:A, 0))</f>
        <v>1648</v>
      </c>
      <c r="E18">
        <f>INDEX(FHWA_MV1!J:J, MATCH(B18&amp;"*", FHWA_MV1!A:A, 0))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</row>
    <row r="19" spans="1:19" x14ac:dyDescent="0.45">
      <c r="A19" t="s">
        <v>87</v>
      </c>
      <c r="B19" t="str">
        <f>INDEX(Geography!C:C, MATCH(A19, Geography!B:B, 0))</f>
        <v>Maryland</v>
      </c>
      <c r="C19">
        <f>INDEX(FHWA_MV1!D:D, MATCH(B19&amp;"*", FHWA_MV1!A:A, 0))</f>
        <v>1908452</v>
      </c>
      <c r="D19">
        <f>INDEX(FHWA_MV1!G:G, MATCH(B19&amp;"*", FHWA_MV1!A:A, 0))</f>
        <v>15907</v>
      </c>
      <c r="E19">
        <f>INDEX(FHWA_MV1!J:J, MATCH(B19&amp;"*", FHWA_MV1!A:A, 0))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</row>
    <row r="20" spans="1:19" x14ac:dyDescent="0.45">
      <c r="A20" t="s">
        <v>90</v>
      </c>
      <c r="B20" t="str">
        <f>INDEX(Geography!C:C, MATCH(A20, Geography!B:B, 0))</f>
        <v>Massachusetts</v>
      </c>
      <c r="C20">
        <f>INDEX(FHWA_MV1!D:D, MATCH(B20&amp;"*", FHWA_MV1!A:A, 0))</f>
        <v>1706714</v>
      </c>
      <c r="D20">
        <f>INDEX(FHWA_MV1!G:G, MATCH(B20&amp;"*", FHWA_MV1!A:A, 0))</f>
        <v>13903</v>
      </c>
      <c r="E20">
        <f>INDEX(FHWA_MV1!J:J, MATCH(B20&amp;"*", FHWA_MV1!A:A, 0))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</row>
    <row r="21" spans="1:19" x14ac:dyDescent="0.45">
      <c r="A21" t="s">
        <v>92</v>
      </c>
      <c r="B21" t="str">
        <f>INDEX(Geography!C:C, MATCH(A21, Geography!B:B, 0))</f>
        <v>Michigan</v>
      </c>
      <c r="C21">
        <f>INDEX(FHWA_MV1!D:D, MATCH(B21&amp;"*", FHWA_MV1!A:A, 0))</f>
        <v>2494236</v>
      </c>
      <c r="D21">
        <f>INDEX(FHWA_MV1!G:G, MATCH(B21&amp;"*", FHWA_MV1!A:A, 0))</f>
        <v>2256</v>
      </c>
      <c r="E21">
        <f>INDEX(FHWA_MV1!J:J, MATCH(B21&amp;"*", FHWA_MV1!A:A, 0))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</row>
    <row r="22" spans="1:19" x14ac:dyDescent="0.45">
      <c r="A22" t="s">
        <v>95</v>
      </c>
      <c r="B22" t="str">
        <f>INDEX(Geography!C:C, MATCH(A22, Geography!B:B, 0))</f>
        <v>Minnesota</v>
      </c>
      <c r="C22">
        <f>INDEX(FHWA_MV1!D:D, MATCH(B22&amp;"*", FHWA_MV1!A:A, 0))</f>
        <v>1609042</v>
      </c>
      <c r="D22">
        <f>INDEX(FHWA_MV1!G:G, MATCH(B22&amp;"*", FHWA_MV1!A:A, 0))</f>
        <v>14185</v>
      </c>
      <c r="E22">
        <f>INDEX(FHWA_MV1!J:J, MATCH(B22&amp;"*", FHWA_MV1!A:A, 0))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</row>
    <row r="23" spans="1:19" x14ac:dyDescent="0.45">
      <c r="A23" t="s">
        <v>98</v>
      </c>
      <c r="B23" t="str">
        <f>INDEX(Geography!C:C, MATCH(A23, Geography!B:B, 0))</f>
        <v>Mississippi</v>
      </c>
      <c r="C23">
        <f>INDEX(FHWA_MV1!D:D, MATCH(B23&amp;"*", FHWA_MV1!A:A, 0))</f>
        <v>756941</v>
      </c>
      <c r="D23">
        <f>INDEX(FHWA_MV1!G:G, MATCH(B23&amp;"*", FHWA_MV1!A:A, 0))</f>
        <v>8505</v>
      </c>
      <c r="E23">
        <f>INDEX(FHWA_MV1!J:J, MATCH(B23&amp;"*", FHWA_MV1!A:A, 0))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</row>
    <row r="24" spans="1:19" x14ac:dyDescent="0.45">
      <c r="A24" t="s">
        <v>100</v>
      </c>
      <c r="B24" t="str">
        <f>INDEX(Geography!C:C, MATCH(A24, Geography!B:B, 0))</f>
        <v>Missouri</v>
      </c>
      <c r="C24">
        <f>INDEX(FHWA_MV1!D:D, MATCH(B24&amp;"*", FHWA_MV1!A:A, 0))</f>
        <v>1645714</v>
      </c>
      <c r="D24">
        <f>INDEX(FHWA_MV1!G:G, MATCH(B24&amp;"*", FHWA_MV1!A:A, 0))</f>
        <v>22905</v>
      </c>
      <c r="E24">
        <f>INDEX(FHWA_MV1!J:J, MATCH(B24&amp;"*", FHWA_MV1!A:A, 0))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</row>
    <row r="25" spans="1:19" x14ac:dyDescent="0.45">
      <c r="A25" t="s">
        <v>102</v>
      </c>
      <c r="B25" t="str">
        <f>INDEX(Geography!C:C, MATCH(A25, Geography!B:B, 0))</f>
        <v>Montana</v>
      </c>
      <c r="C25">
        <f>INDEX(FHWA_MV1!D:D, MATCH(B25&amp;"*", FHWA_MV1!A:A, 0))</f>
        <v>525226</v>
      </c>
      <c r="D25">
        <f>INDEX(FHWA_MV1!G:G, MATCH(B25&amp;"*", FHWA_MV1!A:A, 0))</f>
        <v>5629</v>
      </c>
      <c r="E25">
        <f>INDEX(FHWA_MV1!J:J, MATCH(B25&amp;"*", FHWA_MV1!A:A, 0))</f>
        <v>1494471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1899638.6722149998</v>
      </c>
      <c r="P25">
        <f t="shared" si="0"/>
        <v>5629</v>
      </c>
      <c r="Q25">
        <f>E25*Keys!$C$32*Keys!$C$29</f>
        <v>64762.900784999991</v>
      </c>
      <c r="R25">
        <f>E25*Keys!$C$31</f>
        <v>55295.426999999996</v>
      </c>
      <c r="S25">
        <f t="shared" si="1"/>
        <v>447943</v>
      </c>
    </row>
    <row r="26" spans="1:19" x14ac:dyDescent="0.45">
      <c r="A26" t="s">
        <v>104</v>
      </c>
      <c r="B26" t="str">
        <f>INDEX(Geography!C:C, MATCH(A26, Geography!B:B, 0))</f>
        <v>Nebraska</v>
      </c>
      <c r="C26">
        <f>INDEX(FHWA_MV1!D:D, MATCH(B26&amp;"*", FHWA_MV1!A:A, 0))</f>
        <v>561111</v>
      </c>
      <c r="D26">
        <f>INDEX(FHWA_MV1!G:G, MATCH(B26&amp;"*", FHWA_MV1!A:A, 0))</f>
        <v>9006</v>
      </c>
      <c r="E26">
        <f>INDEX(FHWA_MV1!J:J, MATCH(B26&amp;"*", FHWA_MV1!A:A, 0))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</row>
    <row r="27" spans="1:19" x14ac:dyDescent="0.45">
      <c r="A27" t="s">
        <v>106</v>
      </c>
      <c r="B27" t="str">
        <f>INDEX(Geography!C:C, MATCH(A27, Geography!B:B, 0))</f>
        <v>Nevada</v>
      </c>
      <c r="C27">
        <f>INDEX(FHWA_MV1!D:D, MATCH(B27&amp;"*", FHWA_MV1!A:A, 0))</f>
        <v>843099</v>
      </c>
      <c r="D27">
        <f>INDEX(FHWA_MV1!G:G, MATCH(B27&amp;"*", FHWA_MV1!A:A, 0))</f>
        <v>7881</v>
      </c>
      <c r="E27">
        <f>INDEX(FHWA_MV1!J:J, MATCH(B27&amp;"*", FHWA_MV1!A:A, 0))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</row>
    <row r="28" spans="1:19" x14ac:dyDescent="0.45">
      <c r="A28" t="s">
        <v>108</v>
      </c>
      <c r="B28" t="str">
        <f>INDEX(Geography!C:C, MATCH(A28, Geography!B:B, 0))</f>
        <v>New Hampshire</v>
      </c>
      <c r="C28">
        <f>INDEX(FHWA_MV1!D:D, MATCH(B28&amp;"*", FHWA_MV1!A:A, 0))</f>
        <v>391064</v>
      </c>
      <c r="D28">
        <f>INDEX(FHWA_MV1!G:G, MATCH(B28&amp;"*", FHWA_MV1!A:A, 0))</f>
        <v>2447</v>
      </c>
      <c r="E28">
        <f>INDEX(FHWA_MV1!J:J, MATCH(B28&amp;"*", FHWA_MV1!A:A, 0))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</row>
    <row r="29" spans="1:19" x14ac:dyDescent="0.45">
      <c r="A29" t="s">
        <v>110</v>
      </c>
      <c r="B29" t="str">
        <f>INDEX(Geography!C:C, MATCH(A29, Geography!B:B, 0))</f>
        <v>New Jersey</v>
      </c>
      <c r="C29">
        <f>INDEX(FHWA_MV1!D:D, MATCH(B29&amp;"*", FHWA_MV1!A:A, 0))</f>
        <v>2275055</v>
      </c>
      <c r="D29">
        <f>INDEX(FHWA_MV1!G:G, MATCH(B29&amp;"*", FHWA_MV1!A:A, 0))</f>
        <v>25217</v>
      </c>
      <c r="E29">
        <f>INDEX(FHWA_MV1!J:J, MATCH(B29&amp;"*", FHWA_MV1!A:A, 0))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</row>
    <row r="30" spans="1:19" x14ac:dyDescent="0.45">
      <c r="A30" t="s">
        <v>112</v>
      </c>
      <c r="B30" t="str">
        <f>INDEX(Geography!C:C, MATCH(A30, Geography!B:B, 0))</f>
        <v>New Mexico</v>
      </c>
      <c r="C30">
        <f>INDEX(FHWA_MV1!D:D, MATCH(B30&amp;"*", FHWA_MV1!A:A, 0))</f>
        <v>590034</v>
      </c>
      <c r="D30">
        <f>INDEX(FHWA_MV1!G:G, MATCH(B30&amp;"*", FHWA_MV1!A:A, 0))</f>
        <v>7013</v>
      </c>
      <c r="E30">
        <f>INDEX(FHWA_MV1!J:J, MATCH(B30&amp;"*", FHWA_MV1!A:A, 0))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</row>
    <row r="31" spans="1:19" x14ac:dyDescent="0.45">
      <c r="A31" t="s">
        <v>114</v>
      </c>
      <c r="B31" t="str">
        <f>INDEX(Geography!C:C, MATCH(A31, Geography!B:B, 0))</f>
        <v>New York</v>
      </c>
      <c r="C31">
        <f>INDEX(FHWA_MV1!D:D, MATCH(B31&amp;"*", FHWA_MV1!A:A, 0))</f>
        <v>6474059</v>
      </c>
      <c r="D31">
        <f>INDEX(FHWA_MV1!G:G, MATCH(B31&amp;"*", FHWA_MV1!A:A, 0))</f>
        <v>195675</v>
      </c>
      <c r="E31">
        <f>INDEX(FHWA_MV1!J:J, MATCH(B31&amp;"*", FHWA_MV1!A:A, 0))</f>
        <v>13526544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18913948.087760001</v>
      </c>
      <c r="P31">
        <f t="shared" si="0"/>
        <v>195675</v>
      </c>
      <c r="Q31">
        <f>E31*Keys!$C$32*Keys!$C$29</f>
        <v>586172.78423999995</v>
      </c>
      <c r="R31">
        <f>E31*Keys!$C$31</f>
        <v>500482.12799999997</v>
      </c>
      <c r="S31">
        <f t="shared" si="1"/>
        <v>794820</v>
      </c>
    </row>
    <row r="32" spans="1:19" x14ac:dyDescent="0.45">
      <c r="A32" t="s">
        <v>116</v>
      </c>
      <c r="B32" t="str">
        <f>INDEX(Geography!C:C, MATCH(A32, Geography!B:B, 0))</f>
        <v>North Carolina</v>
      </c>
      <c r="C32">
        <f>INDEX(FHWA_MV1!D:D, MATCH(B32&amp;"*", FHWA_MV1!A:A, 0))</f>
        <v>3005649</v>
      </c>
      <c r="D32">
        <f>INDEX(FHWA_MV1!G:G, MATCH(B32&amp;"*", FHWA_MV1!A:A, 0))</f>
        <v>32483</v>
      </c>
      <c r="E32">
        <f>INDEX(FHWA_MV1!J:J, MATCH(B32&amp;"*", FHWA_MV1!A:A, 0))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</row>
    <row r="33" spans="1:19" x14ac:dyDescent="0.45">
      <c r="A33" t="s">
        <v>118</v>
      </c>
      <c r="B33" t="str">
        <f>INDEX(Geography!C:C, MATCH(A33, Geography!B:B, 0))</f>
        <v>North Dakota</v>
      </c>
      <c r="C33">
        <f>INDEX(FHWA_MV1!D:D, MATCH(B33&amp;"*", FHWA_MV1!A:A, 0))</f>
        <v>215289</v>
      </c>
      <c r="D33">
        <f>INDEX(FHWA_MV1!G:G, MATCH(B33&amp;"*", FHWA_MV1!A:A, 0))</f>
        <v>3608</v>
      </c>
      <c r="E33">
        <f>INDEX(FHWA_MV1!J:J, MATCH(B33&amp;"*", FHWA_MV1!A:A, 0))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</row>
    <row r="34" spans="1:19" x14ac:dyDescent="0.45">
      <c r="A34" t="s">
        <v>120</v>
      </c>
      <c r="B34" t="str">
        <f>INDEX(Geography!C:C, MATCH(A34, Geography!B:B, 0))</f>
        <v>Ohio</v>
      </c>
      <c r="C34">
        <f>INDEX(FHWA_MV1!D:D, MATCH(B34&amp;"*", FHWA_MV1!A:A, 0))</f>
        <v>3805614</v>
      </c>
      <c r="D34">
        <f>INDEX(FHWA_MV1!G:G, MATCH(B34&amp;"*", FHWA_MV1!A:A, 0))</f>
        <v>35251</v>
      </c>
      <c r="E34">
        <f>INDEX(FHWA_MV1!J:J, MATCH(B34&amp;"*", FHWA_MV1!A:A, 0))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</row>
    <row r="35" spans="1:19" x14ac:dyDescent="0.45">
      <c r="A35" t="s">
        <v>122</v>
      </c>
      <c r="B35" t="str">
        <f>INDEX(Geography!C:C, MATCH(A35, Geography!B:B, 0))</f>
        <v>Oklahoma</v>
      </c>
      <c r="C35">
        <f>INDEX(FHWA_MV1!D:D, MATCH(B35&amp;"*", FHWA_MV1!A:A, 0))</f>
        <v>1061114</v>
      </c>
      <c r="D35">
        <f>INDEX(FHWA_MV1!G:G, MATCH(B35&amp;"*", FHWA_MV1!A:A, 0))</f>
        <v>2053</v>
      </c>
      <c r="E35">
        <f>INDEX(FHWA_MV1!J:J, MATCH(B35&amp;"*", FHWA_MV1!A:A, 0))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</row>
    <row r="36" spans="1:19" x14ac:dyDescent="0.45">
      <c r="A36" t="s">
        <v>124</v>
      </c>
      <c r="B36" t="str">
        <f>INDEX(Geography!C:C, MATCH(A36, Geography!B:B, 0))</f>
        <v>Oregon</v>
      </c>
      <c r="C36">
        <f>INDEX(FHWA_MV1!D:D, MATCH(B36&amp;"*", FHWA_MV1!A:A, 0))</f>
        <v>1308985</v>
      </c>
      <c r="D36">
        <f>INDEX(FHWA_MV1!G:G, MATCH(B36&amp;"*", FHWA_MV1!A:A, 0))</f>
        <v>18183</v>
      </c>
      <c r="E36">
        <f>INDEX(FHWA_MV1!J:J, MATCH(B36&amp;"*", FHWA_MV1!A:A, 0))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</row>
    <row r="37" spans="1:19" x14ac:dyDescent="0.45">
      <c r="A37" t="s">
        <v>126</v>
      </c>
      <c r="B37" t="str">
        <f>INDEX(Geography!C:C, MATCH(A37, Geography!B:B, 0))</f>
        <v>Pennsylvania</v>
      </c>
      <c r="C37">
        <f>INDEX(FHWA_MV1!D:D, MATCH(B37&amp;"*", FHWA_MV1!A:A, 0))</f>
        <v>3371581</v>
      </c>
      <c r="D37">
        <f>INDEX(FHWA_MV1!G:G, MATCH(B37&amp;"*", FHWA_MV1!A:A, 0))</f>
        <v>53789</v>
      </c>
      <c r="E37">
        <f>INDEX(FHWA_MV1!J:J, MATCH(B37&amp;"*", FHWA_MV1!A:A, 0))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</row>
    <row r="38" spans="1:19" x14ac:dyDescent="0.45">
      <c r="A38" t="s">
        <v>128</v>
      </c>
      <c r="B38" t="str">
        <f>INDEX(Geography!C:C, MATCH(A38, Geography!B:B, 0))</f>
        <v>Rhode Island</v>
      </c>
      <c r="C38">
        <f>INDEX(FHWA_MV1!D:D, MATCH(B38&amp;"*", FHWA_MV1!A:A, 0))</f>
        <v>308699</v>
      </c>
      <c r="D38">
        <f>INDEX(FHWA_MV1!G:G, MATCH(B38&amp;"*", FHWA_MV1!A:A, 0))</f>
        <v>2197</v>
      </c>
      <c r="E38">
        <f>INDEX(FHWA_MV1!J:J, MATCH(B38&amp;"*", FHWA_MV1!A:A, 0))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</row>
    <row r="39" spans="1:19" x14ac:dyDescent="0.45">
      <c r="A39" t="s">
        <v>130</v>
      </c>
      <c r="B39" t="str">
        <f>INDEX(Geography!C:C, MATCH(A39, Geography!B:B, 0))</f>
        <v>South Carolina</v>
      </c>
      <c r="C39">
        <f>INDEX(FHWA_MV1!D:D, MATCH(B39&amp;"*", FHWA_MV1!A:A, 0))</f>
        <v>1720378</v>
      </c>
      <c r="D39">
        <f>INDEX(FHWA_MV1!G:G, MATCH(B39&amp;"*", FHWA_MV1!A:A, 0))</f>
        <v>14373</v>
      </c>
      <c r="E39">
        <f>INDEX(FHWA_MV1!J:J, MATCH(B39&amp;"*", FHWA_MV1!A:A, 0))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</row>
    <row r="40" spans="1:19" x14ac:dyDescent="0.45">
      <c r="A40" t="s">
        <v>132</v>
      </c>
      <c r="B40" t="str">
        <f>INDEX(Geography!C:C, MATCH(A40, Geography!B:B, 0))</f>
        <v>South Dakota</v>
      </c>
      <c r="C40">
        <f>INDEX(FHWA_MV1!D:D, MATCH(B40&amp;"*", FHWA_MV1!A:A, 0))</f>
        <v>282489</v>
      </c>
      <c r="D40">
        <f>INDEX(FHWA_MV1!G:G, MATCH(B40&amp;"*", FHWA_MV1!A:A, 0))</f>
        <v>23104</v>
      </c>
      <c r="E40">
        <f>INDEX(FHWA_MV1!J:J, MATCH(B40&amp;"*", FHWA_MV1!A:A, 0))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</row>
    <row r="41" spans="1:19" x14ac:dyDescent="0.45">
      <c r="A41" t="s">
        <v>134</v>
      </c>
      <c r="B41" t="str">
        <f>INDEX(Geography!C:C, MATCH(A41, Geography!B:B, 0))</f>
        <v>Tennessee</v>
      </c>
      <c r="C41">
        <f>INDEX(FHWA_MV1!D:D, MATCH(B41&amp;"*", FHWA_MV1!A:A, 0))</f>
        <v>2253028</v>
      </c>
      <c r="D41">
        <f>INDEX(FHWA_MV1!G:G, MATCH(B41&amp;"*", FHWA_MV1!A:A, 0))</f>
        <v>21864</v>
      </c>
      <c r="E41">
        <f>INDEX(FHWA_MV1!J:J, MATCH(B41&amp;"*", FHWA_MV1!A:A, 0))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</row>
    <row r="42" spans="1:19" x14ac:dyDescent="0.45">
      <c r="A42" t="s">
        <v>136</v>
      </c>
      <c r="B42" t="str">
        <f>INDEX(Geography!C:C, MATCH(A42, Geography!B:B, 0))</f>
        <v>Texas</v>
      </c>
      <c r="C42">
        <f>INDEX(FHWA_MV1!D:D, MATCH(B42&amp;"*", FHWA_MV1!A:A, 0))</f>
        <v>7281613</v>
      </c>
      <c r="D42">
        <f>INDEX(FHWA_MV1!G:G, MATCH(B42&amp;"*", FHWA_MV1!A:A, 0))</f>
        <v>65085</v>
      </c>
      <c r="E42">
        <f>INDEX(FHWA_MV1!J:J, MATCH(B42&amp;"*", FHWA_MV1!A:A, 0))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</row>
    <row r="43" spans="1:19" x14ac:dyDescent="0.45">
      <c r="A43" t="s">
        <v>138</v>
      </c>
      <c r="B43" t="str">
        <f>INDEX(Geography!C:C, MATCH(A43, Geography!B:B, 0))</f>
        <v>Utah</v>
      </c>
      <c r="C43">
        <f>INDEX(FHWA_MV1!D:D, MATCH(B43&amp;"*", FHWA_MV1!A:A, 0))</f>
        <v>970972</v>
      </c>
      <c r="D43">
        <f>INDEX(FHWA_MV1!G:G, MATCH(B43&amp;"*", FHWA_MV1!A:A, 0))</f>
        <v>8026</v>
      </c>
      <c r="E43">
        <f>INDEX(FHWA_MV1!J:J, MATCH(B43&amp;"*", FHWA_MV1!A:A, 0))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</row>
    <row r="44" spans="1:19" x14ac:dyDescent="0.45">
      <c r="A44" t="s">
        <v>140</v>
      </c>
      <c r="B44" t="str">
        <f>INDEX(Geography!C:C, MATCH(A44, Geography!B:B, 0))</f>
        <v>Vermont</v>
      </c>
      <c r="C44">
        <f>INDEX(FHWA_MV1!D:D, MATCH(B44&amp;"*", FHWA_MV1!A:A, 0))</f>
        <v>164231</v>
      </c>
      <c r="D44">
        <f>INDEX(FHWA_MV1!G:G, MATCH(B44&amp;"*", FHWA_MV1!A:A, 0))</f>
        <v>2162</v>
      </c>
      <c r="E44">
        <f>INDEX(FHWA_MV1!J:J, MATCH(B44&amp;"*", FHWA_MV1!A:A, 0))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</row>
    <row r="45" spans="1:19" x14ac:dyDescent="0.45">
      <c r="A45" t="s">
        <v>142</v>
      </c>
      <c r="B45" t="str">
        <f>INDEX(Geography!C:C, MATCH(A45, Geography!B:B, 0))</f>
        <v>Virginia</v>
      </c>
      <c r="C45">
        <f>INDEX(FHWA_MV1!D:D, MATCH(B45&amp;"*", FHWA_MV1!A:A, 0))</f>
        <v>2833864</v>
      </c>
      <c r="D45">
        <f>INDEX(FHWA_MV1!G:G, MATCH(B45&amp;"*", FHWA_MV1!A:A, 0))</f>
        <v>36579</v>
      </c>
      <c r="E45">
        <f>INDEX(FHWA_MV1!J:J, MATCH(B45&amp;"*", FHWA_MV1!A:A, 0))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</row>
    <row r="46" spans="1:19" x14ac:dyDescent="0.45">
      <c r="A46" t="s">
        <v>144</v>
      </c>
      <c r="B46" t="str">
        <f>INDEX(Geography!C:C, MATCH(A46, Geography!B:B, 0))</f>
        <v>Washington</v>
      </c>
      <c r="C46">
        <f>INDEX(FHWA_MV1!D:D, MATCH(B46&amp;"*", FHWA_MV1!A:A, 0))</f>
        <v>2535919</v>
      </c>
      <c r="D46">
        <f>INDEX(FHWA_MV1!G:G, MATCH(B46&amp;"*", FHWA_MV1!A:A, 0))</f>
        <v>24254</v>
      </c>
      <c r="E46">
        <f>INDEX(FHWA_MV1!J:J, MATCH(B46&amp;"*", FHWA_MV1!A:A, 0))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</row>
    <row r="47" spans="1:19" x14ac:dyDescent="0.45">
      <c r="A47" t="s">
        <v>146</v>
      </c>
      <c r="B47" t="str">
        <f>INDEX(Geography!C:C, MATCH(A47, Geography!B:B, 0))</f>
        <v>West Virginia</v>
      </c>
      <c r="C47">
        <f>INDEX(FHWA_MV1!D:D, MATCH(B47&amp;"*", FHWA_MV1!A:A, 0))</f>
        <v>398614</v>
      </c>
      <c r="D47">
        <f>INDEX(FHWA_MV1!G:G, MATCH(B47&amp;"*", FHWA_MV1!A:A, 0))</f>
        <v>160</v>
      </c>
      <c r="E47">
        <f>INDEX(FHWA_MV1!J:J, MATCH(B47&amp;"*", FHWA_MV1!A:A, 0))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</row>
    <row r="48" spans="1:19" x14ac:dyDescent="0.45">
      <c r="A48" t="s">
        <v>148</v>
      </c>
      <c r="B48" t="str">
        <f>INDEX(Geography!C:C, MATCH(A48, Geography!B:B, 0))</f>
        <v>Wisconsin</v>
      </c>
      <c r="C48">
        <f>INDEX(FHWA_MV1!D:D, MATCH(B48&amp;"*", FHWA_MV1!A:A, 0))</f>
        <v>1626951</v>
      </c>
      <c r="D48">
        <f>INDEX(FHWA_MV1!G:G, MATCH(B48&amp;"*", FHWA_MV1!A:A, 0))</f>
        <v>11536</v>
      </c>
      <c r="E48">
        <f>INDEX(FHWA_MV1!J:J, MATCH(B48&amp;"*", FHWA_MV1!A:A, 0))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</row>
    <row r="49" spans="1:19" x14ac:dyDescent="0.45">
      <c r="A49" t="s">
        <v>150</v>
      </c>
      <c r="B49" t="str">
        <f>INDEX(Geography!C:C, MATCH(A49, Geography!B:B, 0))</f>
        <v>Wyoming</v>
      </c>
      <c r="C49">
        <f>INDEX(FHWA_MV1!D:D, MATCH(B49&amp;"*", FHWA_MV1!A:A, 0))</f>
        <v>166107</v>
      </c>
      <c r="D49">
        <f>INDEX(FHWA_MV1!G:G, MATCH(B49&amp;"*", FHWA_MV1!A:A, 0))</f>
        <v>1953</v>
      </c>
      <c r="E49">
        <f>INDEX(FHWA_MV1!J:J, MATCH(B49&amp;"*", FHWA_MV1!A:A, 0))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</row>
    <row r="50" spans="1:19" x14ac:dyDescent="0.45">
      <c r="A50" s="4" t="s">
        <v>356</v>
      </c>
      <c r="B50" s="4"/>
      <c r="C50" s="4">
        <f t="shared" ref="C50:S50" si="2">SUM(C2:C49)</f>
        <v>96717875</v>
      </c>
      <c r="D50" s="4">
        <f t="shared" si="2"/>
        <v>1079964</v>
      </c>
      <c r="E50" s="4">
        <f t="shared" si="2"/>
        <v>188264643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269858277.90459502</v>
      </c>
      <c r="P50" s="4">
        <f t="shared" si="2"/>
        <v>1079964</v>
      </c>
      <c r="Q50" s="4">
        <f t="shared" si="2"/>
        <v>8158448.3044050001</v>
      </c>
      <c r="R50" s="4">
        <f t="shared" si="2"/>
        <v>6965791.7910000002</v>
      </c>
      <c r="S50" s="4">
        <f t="shared" si="2"/>
        <v>9207532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357</v>
      </c>
      <c r="B15" s="4" t="s">
        <v>358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1" ht="45" customHeight="1" x14ac:dyDescent="0.45">
      <c r="A1" s="2" t="s">
        <v>359</v>
      </c>
    </row>
    <row r="2" spans="1:11" x14ac:dyDescent="0.45">
      <c r="A2" s="4" t="s">
        <v>337</v>
      </c>
      <c r="B2" s="4" t="s">
        <v>338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360</v>
      </c>
      <c r="K2" s="4" t="s">
        <v>361</v>
      </c>
    </row>
    <row r="3" spans="1:11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IFERROR(INDEX(AFDC_state_fuel_2024!C:C, MATCH(B3, AFDC_state_fuel_2024!A:A, 0)), 0)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</row>
    <row r="4" spans="1:11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IFERROR(INDEX(AFDC_state_fuel_2024!C:C, MATCH(B4, AFDC_state_fuel_2024!A:A, 0)), 0)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</row>
    <row r="5" spans="1:11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IFERROR(INDEX(AFDC_state_fuel_2024!C:C, MATCH(B5, AFDC_state_fuel_2024!A:A, 0)), 0)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</row>
    <row r="6" spans="1:11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IFERROR(INDEX(AFDC_state_fuel_2024!C:C, MATCH(B6, AFDC_state_fuel_2024!A:A, 0)), 0)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</row>
    <row r="7" spans="1:11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IFERROR(INDEX(AFDC_state_fuel_2024!C:C, MATCH(B7, AFDC_state_fuel_2024!A:A, 0)), 0)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</row>
    <row r="8" spans="1:11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IFERROR(INDEX(AFDC_state_fuel_2024!C:C, MATCH(B8, AFDC_state_fuel_2024!A:A, 0)), 0)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</row>
    <row r="9" spans="1:11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IFERROR(INDEX(AFDC_state_fuel_2024!C:C, MATCH(B9, AFDC_state_fuel_2024!A:A, 0)), 0)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</row>
    <row r="10" spans="1:11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IFERROR(INDEX(AFDC_state_fuel_2024!C:C, MATCH(B10, AFDC_state_fuel_2024!A:A, 0)), 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</row>
    <row r="11" spans="1:11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IFERROR(INDEX(AFDC_state_fuel_2024!C:C, MATCH(B11, AFDC_state_fuel_2024!A:A, 0)), 0)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</row>
    <row r="12" spans="1:11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IFERROR(INDEX(AFDC_state_fuel_2024!C:C, MATCH(B12, AFDC_state_fuel_2024!A:A, 0)), 0)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</row>
    <row r="13" spans="1:11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IFERROR(INDEX(AFDC_state_fuel_2024!C:C, MATCH(B13, AFDC_state_fuel_2024!A:A, 0)), 0)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</row>
    <row r="14" spans="1:11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IFERROR(INDEX(AFDC_state_fuel_2024!C:C, MATCH(B14, AFDC_state_fuel_2024!A:A, 0)), 0)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</row>
    <row r="15" spans="1:11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IFERROR(INDEX(AFDC_state_fuel_2024!C:C, MATCH(B15, AFDC_state_fuel_2024!A:A, 0)), 0)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</row>
    <row r="16" spans="1:11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IFERROR(INDEX(AFDC_state_fuel_2024!C:C, MATCH(B16, AFDC_state_fuel_2024!A:A, 0)), 0)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</row>
    <row r="17" spans="1:11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IFERROR(INDEX(AFDC_state_fuel_2024!C:C, MATCH(B17, AFDC_state_fuel_2024!A:A, 0)), 0)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</row>
    <row r="18" spans="1:11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IFERROR(INDEX(AFDC_state_fuel_2024!C:C, MATCH(B18, AFDC_state_fuel_2024!A:A, 0)), 0)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</row>
    <row r="19" spans="1:11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IFERROR(INDEX(AFDC_state_fuel_2024!C:C, MATCH(B19, AFDC_state_fuel_2024!A:A, 0)), 0)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</row>
    <row r="20" spans="1:11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IFERROR(INDEX(AFDC_state_fuel_2024!C:C, MATCH(B20, AFDC_state_fuel_2024!A:A, 0)), 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</row>
    <row r="21" spans="1:11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IFERROR(INDEX(AFDC_state_fuel_2024!C:C, MATCH(B21, AFDC_state_fuel_2024!A:A, 0)), 0)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</row>
    <row r="22" spans="1:11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IFERROR(INDEX(AFDC_state_fuel_2024!C:C, MATCH(B22, AFDC_state_fuel_2024!A:A, 0)), 0)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</row>
    <row r="23" spans="1:11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IFERROR(INDEX(AFDC_state_fuel_2024!C:C, MATCH(B23, AFDC_state_fuel_2024!A:A, 0)), 0)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</row>
    <row r="24" spans="1:11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IFERROR(INDEX(AFDC_state_fuel_2024!C:C, MATCH(B24, AFDC_state_fuel_2024!A:A, 0)), 0)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</row>
    <row r="25" spans="1:11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IFERROR(INDEX(AFDC_state_fuel_2024!C:C, MATCH(B25, AFDC_state_fuel_2024!A:A, 0)), 0)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</row>
    <row r="26" spans="1:11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IFERROR(INDEX(AFDC_state_fuel_2024!C:C, MATCH(B26, AFDC_state_fuel_2024!A:A, 0)), 0)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</row>
    <row r="27" spans="1:11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IFERROR(INDEX(AFDC_state_fuel_2024!C:C, MATCH(B27, AFDC_state_fuel_2024!A:A, 0)), 0)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</row>
    <row r="28" spans="1:11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IFERROR(INDEX(AFDC_state_fuel_2024!C:C, MATCH(B28, AFDC_state_fuel_2024!A:A, 0)), 0)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</row>
    <row r="29" spans="1:11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IFERROR(INDEX(AFDC_state_fuel_2024!C:C, MATCH(B29, AFDC_state_fuel_2024!A:A, 0)), 0)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</row>
    <row r="30" spans="1:11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IFERROR(INDEX(AFDC_state_fuel_2024!C:C, MATCH(B30, AFDC_state_fuel_2024!A:A, 0)), 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</row>
    <row r="31" spans="1:11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IFERROR(INDEX(AFDC_state_fuel_2024!C:C, MATCH(B31, AFDC_state_fuel_2024!A:A, 0)), 0)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</row>
    <row r="32" spans="1:11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IFERROR(INDEX(AFDC_state_fuel_2024!C:C, MATCH(B32, AFDC_state_fuel_2024!A:A, 0)), 0)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</row>
    <row r="33" spans="1:11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IFERROR(INDEX(AFDC_state_fuel_2024!C:C, MATCH(B33, AFDC_state_fuel_2024!A:A, 0)), 0)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</row>
    <row r="34" spans="1:11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IFERROR(INDEX(AFDC_state_fuel_2024!C:C, MATCH(B34, AFDC_state_fuel_2024!A:A, 0)), 0)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</row>
    <row r="35" spans="1:11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IFERROR(INDEX(AFDC_state_fuel_2024!C:C, MATCH(B35, AFDC_state_fuel_2024!A:A, 0)), 0)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</row>
    <row r="36" spans="1:11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IFERROR(INDEX(AFDC_state_fuel_2024!C:C, MATCH(B36, AFDC_state_fuel_2024!A:A, 0)), 0)</f>
        <v>34300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</row>
    <row r="37" spans="1:11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IFERROR(INDEX(AFDC_state_fuel_2024!C:C, MATCH(B37, AFDC_state_fuel_2024!A:A, 0)), 0)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</row>
    <row r="38" spans="1:11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IFERROR(INDEX(AFDC_state_fuel_2024!C:C, MATCH(B38, AFDC_state_fuel_2024!A:A, 0)), 0)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</row>
    <row r="39" spans="1:11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IFERROR(INDEX(AFDC_state_fuel_2024!C:C, MATCH(B39, AFDC_state_fuel_2024!A:A, 0)), 0)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</row>
    <row r="40" spans="1:11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IFERROR(INDEX(AFDC_state_fuel_2024!C:C, MATCH(B40, AFDC_state_fuel_2024!A:A, 0)), 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</row>
    <row r="41" spans="1:11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IFERROR(INDEX(AFDC_state_fuel_2024!C:C, MATCH(B41, AFDC_state_fuel_2024!A:A, 0)), 0)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</row>
    <row r="42" spans="1:11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IFERROR(INDEX(AFDC_state_fuel_2024!C:C, MATCH(B42, AFDC_state_fuel_2024!A:A, 0)), 0)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</row>
    <row r="43" spans="1:11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IFERROR(INDEX(AFDC_state_fuel_2024!C:C, MATCH(B43, AFDC_state_fuel_2024!A:A, 0)), 0)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</row>
    <row r="44" spans="1:11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IFERROR(INDEX(AFDC_state_fuel_2024!C:C, MATCH(B44, AFDC_state_fuel_2024!A:A, 0)), 0)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</row>
    <row r="45" spans="1:11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IFERROR(INDEX(AFDC_state_fuel_2024!C:C, MATCH(B45, AFDC_state_fuel_2024!A:A, 0)), 0)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</row>
    <row r="46" spans="1:11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IFERROR(INDEX(AFDC_state_fuel_2024!C:C, MATCH(B46, AFDC_state_fuel_2024!A:A, 0)), 0)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</row>
    <row r="47" spans="1:11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IFERROR(INDEX(AFDC_state_fuel_2024!C:C, MATCH(B47, AFDC_state_fuel_2024!A:A, 0)), 0)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</row>
    <row r="48" spans="1:11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IFERROR(INDEX(AFDC_state_fuel_2024!C:C, MATCH(B48, AFDC_state_fuel_2024!A:A, 0)), 0)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</row>
    <row r="49" spans="1:11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IFERROR(INDEX(AFDC_state_fuel_2024!C:C, MATCH(B49, AFDC_state_fuel_2024!A:A, 0)), 0)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</row>
    <row r="50" spans="1:11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IFERROR(INDEX(AFDC_state_fuel_2024!C:C, MATCH(B50, AFDC_state_fuel_2024!A:A, 0)), 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</row>
    <row r="51" spans="1:11" x14ac:dyDescent="0.45">
      <c r="A51" s="4" t="s">
        <v>356</v>
      </c>
      <c r="C51" s="4">
        <f t="shared" ref="C51:K51" si="0">SUM(C3:C50)</f>
        <v>4460300</v>
      </c>
      <c r="D51" s="4">
        <f t="shared" si="0"/>
        <v>1506700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362</v>
      </c>
      <c r="B1" s="4" t="s">
        <v>363</v>
      </c>
      <c r="C1" s="4" t="s">
        <v>338</v>
      </c>
      <c r="D1" s="4" t="s">
        <v>364</v>
      </c>
      <c r="E1" s="4" t="s">
        <v>365</v>
      </c>
      <c r="F1" s="4" t="s">
        <v>366</v>
      </c>
      <c r="G1" s="4" t="s">
        <v>367</v>
      </c>
      <c r="H1" s="4" t="s">
        <v>368</v>
      </c>
      <c r="I1" s="4" t="s">
        <v>369</v>
      </c>
    </row>
    <row r="2" spans="1:9" x14ac:dyDescent="0.45">
      <c r="A2" t="s">
        <v>370</v>
      </c>
      <c r="B2" t="s">
        <v>39</v>
      </c>
      <c r="C2" t="s">
        <v>38</v>
      </c>
      <c r="D2">
        <v>6</v>
      </c>
      <c r="E2" t="s">
        <v>371</v>
      </c>
      <c r="F2">
        <v>3</v>
      </c>
      <c r="G2" t="s">
        <v>372</v>
      </c>
      <c r="H2">
        <v>6</v>
      </c>
      <c r="I2" t="s">
        <v>371</v>
      </c>
    </row>
    <row r="3" spans="1:9" x14ac:dyDescent="0.45">
      <c r="A3" t="s">
        <v>373</v>
      </c>
      <c r="B3" t="s">
        <v>41</v>
      </c>
      <c r="C3" t="s">
        <v>40</v>
      </c>
      <c r="D3">
        <v>9</v>
      </c>
      <c r="E3" t="s">
        <v>374</v>
      </c>
      <c r="F3">
        <v>4</v>
      </c>
      <c r="G3" t="s">
        <v>375</v>
      </c>
      <c r="H3">
        <v>8</v>
      </c>
      <c r="I3" t="s">
        <v>376</v>
      </c>
    </row>
    <row r="4" spans="1:9" x14ac:dyDescent="0.45">
      <c r="A4" t="s">
        <v>377</v>
      </c>
      <c r="B4" t="s">
        <v>45</v>
      </c>
      <c r="C4" t="s">
        <v>44</v>
      </c>
      <c r="D4">
        <v>7</v>
      </c>
      <c r="E4" t="s">
        <v>378</v>
      </c>
      <c r="F4">
        <v>3</v>
      </c>
      <c r="G4" t="s">
        <v>372</v>
      </c>
      <c r="H4">
        <v>7</v>
      </c>
      <c r="I4" t="s">
        <v>378</v>
      </c>
    </row>
    <row r="5" spans="1:9" x14ac:dyDescent="0.45">
      <c r="A5" t="s">
        <v>379</v>
      </c>
      <c r="B5" t="s">
        <v>48</v>
      </c>
      <c r="C5" t="s">
        <v>35</v>
      </c>
      <c r="D5">
        <v>10</v>
      </c>
      <c r="E5" t="s">
        <v>380</v>
      </c>
      <c r="F5">
        <v>4</v>
      </c>
      <c r="G5" t="s">
        <v>375</v>
      </c>
      <c r="H5">
        <v>9</v>
      </c>
      <c r="I5" t="s">
        <v>380</v>
      </c>
    </row>
    <row r="6" spans="1:9" x14ac:dyDescent="0.45">
      <c r="A6" t="s">
        <v>381</v>
      </c>
      <c r="B6" t="s">
        <v>52</v>
      </c>
      <c r="C6" t="s">
        <v>51</v>
      </c>
      <c r="D6">
        <v>8</v>
      </c>
      <c r="E6" t="s">
        <v>382</v>
      </c>
      <c r="F6">
        <v>4</v>
      </c>
      <c r="G6" t="s">
        <v>375</v>
      </c>
      <c r="H6">
        <v>8</v>
      </c>
      <c r="I6" t="s">
        <v>376</v>
      </c>
    </row>
    <row r="7" spans="1:9" x14ac:dyDescent="0.45">
      <c r="A7" t="s">
        <v>383</v>
      </c>
      <c r="B7" t="s">
        <v>55</v>
      </c>
      <c r="C7" t="s">
        <v>54</v>
      </c>
      <c r="D7">
        <v>1</v>
      </c>
      <c r="E7" t="s">
        <v>384</v>
      </c>
      <c r="F7">
        <v>1</v>
      </c>
      <c r="G7" t="s">
        <v>385</v>
      </c>
      <c r="H7">
        <v>1</v>
      </c>
      <c r="I7" t="s">
        <v>384</v>
      </c>
    </row>
    <row r="8" spans="1:9" x14ac:dyDescent="0.45">
      <c r="A8" t="s">
        <v>386</v>
      </c>
      <c r="B8" t="s">
        <v>57</v>
      </c>
      <c r="C8" t="s">
        <v>56</v>
      </c>
      <c r="D8">
        <v>5</v>
      </c>
      <c r="E8" t="s">
        <v>387</v>
      </c>
      <c r="F8">
        <v>3</v>
      </c>
      <c r="G8" t="s">
        <v>372</v>
      </c>
      <c r="H8">
        <v>5</v>
      </c>
      <c r="I8" t="s">
        <v>387</v>
      </c>
    </row>
    <row r="9" spans="1:9" x14ac:dyDescent="0.45">
      <c r="A9" t="s">
        <v>388</v>
      </c>
      <c r="B9" t="s">
        <v>60</v>
      </c>
      <c r="C9" t="s">
        <v>59</v>
      </c>
      <c r="D9">
        <v>5</v>
      </c>
      <c r="E9" t="s">
        <v>387</v>
      </c>
      <c r="F9">
        <v>3</v>
      </c>
      <c r="G9" t="s">
        <v>372</v>
      </c>
      <c r="H9">
        <v>5</v>
      </c>
      <c r="I9" t="s">
        <v>387</v>
      </c>
    </row>
    <row r="10" spans="1:9" x14ac:dyDescent="0.45">
      <c r="A10" t="s">
        <v>389</v>
      </c>
      <c r="B10" t="s">
        <v>63</v>
      </c>
      <c r="C10" t="s">
        <v>62</v>
      </c>
      <c r="D10">
        <v>5</v>
      </c>
      <c r="E10" t="s">
        <v>387</v>
      </c>
      <c r="F10">
        <v>3</v>
      </c>
      <c r="G10" t="s">
        <v>372</v>
      </c>
      <c r="H10">
        <v>5</v>
      </c>
      <c r="I10" t="s">
        <v>387</v>
      </c>
    </row>
    <row r="11" spans="1:9" x14ac:dyDescent="0.45">
      <c r="A11" t="s">
        <v>390</v>
      </c>
      <c r="B11" t="s">
        <v>66</v>
      </c>
      <c r="C11" t="s">
        <v>65</v>
      </c>
      <c r="D11">
        <v>8</v>
      </c>
      <c r="E11" t="s">
        <v>382</v>
      </c>
      <c r="F11">
        <v>4</v>
      </c>
      <c r="G11" t="s">
        <v>375</v>
      </c>
      <c r="H11">
        <v>8</v>
      </c>
      <c r="I11" t="s">
        <v>376</v>
      </c>
    </row>
    <row r="12" spans="1:9" x14ac:dyDescent="0.45">
      <c r="A12" t="s">
        <v>391</v>
      </c>
      <c r="B12" t="s">
        <v>68</v>
      </c>
      <c r="C12" t="s">
        <v>67</v>
      </c>
      <c r="D12">
        <v>3</v>
      </c>
      <c r="E12" t="s">
        <v>392</v>
      </c>
      <c r="F12">
        <v>2</v>
      </c>
      <c r="G12" t="s">
        <v>393</v>
      </c>
      <c r="H12">
        <v>3</v>
      </c>
      <c r="I12" t="s">
        <v>392</v>
      </c>
    </row>
    <row r="13" spans="1:9" x14ac:dyDescent="0.45">
      <c r="A13" t="s">
        <v>394</v>
      </c>
      <c r="B13" t="s">
        <v>71</v>
      </c>
      <c r="C13" t="s">
        <v>70</v>
      </c>
      <c r="D13">
        <v>3</v>
      </c>
      <c r="E13" t="s">
        <v>392</v>
      </c>
      <c r="F13">
        <v>2</v>
      </c>
      <c r="G13" t="s">
        <v>393</v>
      </c>
      <c r="H13">
        <v>3</v>
      </c>
      <c r="I13" t="s">
        <v>392</v>
      </c>
    </row>
    <row r="14" spans="1:9" x14ac:dyDescent="0.45">
      <c r="A14" t="s">
        <v>395</v>
      </c>
      <c r="B14" t="s">
        <v>74</v>
      </c>
      <c r="C14" t="s">
        <v>73</v>
      </c>
      <c r="D14">
        <v>4</v>
      </c>
      <c r="E14" t="s">
        <v>396</v>
      </c>
      <c r="F14">
        <v>2</v>
      </c>
      <c r="G14" t="s">
        <v>393</v>
      </c>
      <c r="H14">
        <v>4</v>
      </c>
      <c r="I14" t="s">
        <v>396</v>
      </c>
    </row>
    <row r="15" spans="1:9" x14ac:dyDescent="0.45">
      <c r="A15" t="s">
        <v>397</v>
      </c>
      <c r="B15" t="s">
        <v>76</v>
      </c>
      <c r="C15" t="s">
        <v>75</v>
      </c>
      <c r="D15">
        <v>4</v>
      </c>
      <c r="E15" t="s">
        <v>396</v>
      </c>
      <c r="F15">
        <v>2</v>
      </c>
      <c r="G15" t="s">
        <v>393</v>
      </c>
      <c r="H15">
        <v>4</v>
      </c>
      <c r="I15" t="s">
        <v>396</v>
      </c>
    </row>
    <row r="16" spans="1:9" x14ac:dyDescent="0.45">
      <c r="A16" t="s">
        <v>398</v>
      </c>
      <c r="B16" t="s">
        <v>79</v>
      </c>
      <c r="C16" t="s">
        <v>78</v>
      </c>
      <c r="D16">
        <v>6</v>
      </c>
      <c r="E16" t="s">
        <v>371</v>
      </c>
      <c r="F16">
        <v>3</v>
      </c>
      <c r="G16" t="s">
        <v>372</v>
      </c>
      <c r="H16">
        <v>6</v>
      </c>
      <c r="I16" t="s">
        <v>371</v>
      </c>
    </row>
    <row r="17" spans="1:9" x14ac:dyDescent="0.45">
      <c r="A17" t="s">
        <v>399</v>
      </c>
      <c r="B17" t="s">
        <v>82</v>
      </c>
      <c r="C17" t="s">
        <v>81</v>
      </c>
      <c r="D17">
        <v>7</v>
      </c>
      <c r="E17" t="s">
        <v>378</v>
      </c>
      <c r="F17">
        <v>3</v>
      </c>
      <c r="G17" t="s">
        <v>372</v>
      </c>
      <c r="H17">
        <v>7</v>
      </c>
      <c r="I17" t="s">
        <v>378</v>
      </c>
    </row>
    <row r="18" spans="1:9" x14ac:dyDescent="0.45">
      <c r="A18" t="s">
        <v>400</v>
      </c>
      <c r="B18" t="s">
        <v>84</v>
      </c>
      <c r="C18" t="s">
        <v>83</v>
      </c>
      <c r="D18">
        <v>1</v>
      </c>
      <c r="E18" t="s">
        <v>384</v>
      </c>
      <c r="F18">
        <v>1</v>
      </c>
      <c r="G18" t="s">
        <v>385</v>
      </c>
      <c r="H18">
        <v>1</v>
      </c>
      <c r="I18" t="s">
        <v>384</v>
      </c>
    </row>
    <row r="19" spans="1:9" x14ac:dyDescent="0.45">
      <c r="A19" t="s">
        <v>401</v>
      </c>
      <c r="B19" t="s">
        <v>87</v>
      </c>
      <c r="C19" t="s">
        <v>86</v>
      </c>
      <c r="D19">
        <v>5</v>
      </c>
      <c r="E19" t="s">
        <v>387</v>
      </c>
      <c r="F19">
        <v>3</v>
      </c>
      <c r="G19" t="s">
        <v>372</v>
      </c>
      <c r="H19">
        <v>5</v>
      </c>
      <c r="I19" t="s">
        <v>387</v>
      </c>
    </row>
    <row r="20" spans="1:9" x14ac:dyDescent="0.45">
      <c r="A20" t="s">
        <v>402</v>
      </c>
      <c r="B20" t="s">
        <v>90</v>
      </c>
      <c r="C20" t="s">
        <v>89</v>
      </c>
      <c r="D20">
        <v>1</v>
      </c>
      <c r="E20" t="s">
        <v>384</v>
      </c>
      <c r="F20">
        <v>1</v>
      </c>
      <c r="G20" t="s">
        <v>385</v>
      </c>
      <c r="H20">
        <v>1</v>
      </c>
      <c r="I20" t="s">
        <v>384</v>
      </c>
    </row>
    <row r="21" spans="1:9" x14ac:dyDescent="0.45">
      <c r="A21" t="s">
        <v>403</v>
      </c>
      <c r="B21" t="s">
        <v>92</v>
      </c>
      <c r="C21" t="s">
        <v>91</v>
      </c>
      <c r="D21">
        <v>3</v>
      </c>
      <c r="E21" t="s">
        <v>392</v>
      </c>
      <c r="F21">
        <v>2</v>
      </c>
      <c r="G21" t="s">
        <v>393</v>
      </c>
      <c r="H21">
        <v>3</v>
      </c>
      <c r="I21" t="s">
        <v>392</v>
      </c>
    </row>
    <row r="22" spans="1:9" x14ac:dyDescent="0.45">
      <c r="A22" t="s">
        <v>404</v>
      </c>
      <c r="B22" t="s">
        <v>95</v>
      </c>
      <c r="C22" t="s">
        <v>94</v>
      </c>
      <c r="D22">
        <v>4</v>
      </c>
      <c r="E22" t="s">
        <v>396</v>
      </c>
      <c r="F22">
        <v>2</v>
      </c>
      <c r="G22" t="s">
        <v>393</v>
      </c>
      <c r="H22">
        <v>4</v>
      </c>
      <c r="I22" t="s">
        <v>396</v>
      </c>
    </row>
    <row r="23" spans="1:9" x14ac:dyDescent="0.45">
      <c r="A23" t="s">
        <v>405</v>
      </c>
      <c r="B23" t="s">
        <v>98</v>
      </c>
      <c r="C23" t="s">
        <v>97</v>
      </c>
      <c r="D23">
        <v>6</v>
      </c>
      <c r="E23" t="s">
        <v>371</v>
      </c>
      <c r="F23">
        <v>3</v>
      </c>
      <c r="G23" t="s">
        <v>372</v>
      </c>
      <c r="H23">
        <v>6</v>
      </c>
      <c r="I23" t="s">
        <v>371</v>
      </c>
    </row>
    <row r="24" spans="1:9" x14ac:dyDescent="0.45">
      <c r="A24" t="s">
        <v>406</v>
      </c>
      <c r="B24" t="s">
        <v>100</v>
      </c>
      <c r="C24" t="s">
        <v>99</v>
      </c>
      <c r="D24">
        <v>4</v>
      </c>
      <c r="E24" t="s">
        <v>396</v>
      </c>
      <c r="F24">
        <v>2</v>
      </c>
      <c r="G24" t="s">
        <v>393</v>
      </c>
      <c r="H24">
        <v>4</v>
      </c>
      <c r="I24" t="s">
        <v>396</v>
      </c>
    </row>
    <row r="25" spans="1:9" x14ac:dyDescent="0.45">
      <c r="A25" t="s">
        <v>407</v>
      </c>
      <c r="B25" t="s">
        <v>102</v>
      </c>
      <c r="C25" t="s">
        <v>101</v>
      </c>
      <c r="D25">
        <v>8</v>
      </c>
      <c r="E25" t="s">
        <v>382</v>
      </c>
      <c r="F25">
        <v>4</v>
      </c>
      <c r="G25" t="s">
        <v>375</v>
      </c>
      <c r="H25">
        <v>8</v>
      </c>
      <c r="I25" t="s">
        <v>376</v>
      </c>
    </row>
    <row r="26" spans="1:9" x14ac:dyDescent="0.45">
      <c r="A26" t="s">
        <v>408</v>
      </c>
      <c r="B26" t="s">
        <v>104</v>
      </c>
      <c r="C26" t="s">
        <v>103</v>
      </c>
      <c r="D26">
        <v>4</v>
      </c>
      <c r="E26" t="s">
        <v>396</v>
      </c>
      <c r="F26">
        <v>2</v>
      </c>
      <c r="G26" t="s">
        <v>393</v>
      </c>
      <c r="H26">
        <v>4</v>
      </c>
      <c r="I26" t="s">
        <v>396</v>
      </c>
    </row>
    <row r="27" spans="1:9" x14ac:dyDescent="0.45">
      <c r="A27" t="s">
        <v>409</v>
      </c>
      <c r="B27" t="s">
        <v>106</v>
      </c>
      <c r="C27" t="s">
        <v>105</v>
      </c>
      <c r="D27">
        <v>9</v>
      </c>
      <c r="E27" t="s">
        <v>374</v>
      </c>
      <c r="F27">
        <v>4</v>
      </c>
      <c r="G27" t="s">
        <v>375</v>
      </c>
      <c r="H27">
        <v>8</v>
      </c>
      <c r="I27" t="s">
        <v>376</v>
      </c>
    </row>
    <row r="28" spans="1:9" x14ac:dyDescent="0.45">
      <c r="A28" t="s">
        <v>410</v>
      </c>
      <c r="B28" t="s">
        <v>108</v>
      </c>
      <c r="C28" t="s">
        <v>107</v>
      </c>
      <c r="D28">
        <v>1</v>
      </c>
      <c r="E28" t="s">
        <v>384</v>
      </c>
      <c r="F28">
        <v>1</v>
      </c>
      <c r="G28" t="s">
        <v>385</v>
      </c>
      <c r="H28">
        <v>1</v>
      </c>
      <c r="I28" t="s">
        <v>384</v>
      </c>
    </row>
    <row r="29" spans="1:9" x14ac:dyDescent="0.45">
      <c r="A29" t="s">
        <v>411</v>
      </c>
      <c r="B29" t="s">
        <v>110</v>
      </c>
      <c r="C29" t="s">
        <v>109</v>
      </c>
      <c r="D29">
        <v>2</v>
      </c>
      <c r="E29" t="s">
        <v>412</v>
      </c>
      <c r="F29">
        <v>1</v>
      </c>
      <c r="G29" t="s">
        <v>385</v>
      </c>
      <c r="H29">
        <v>2</v>
      </c>
      <c r="I29" t="s">
        <v>412</v>
      </c>
    </row>
    <row r="30" spans="1:9" x14ac:dyDescent="0.45">
      <c r="A30" t="s">
        <v>413</v>
      </c>
      <c r="B30" t="s">
        <v>112</v>
      </c>
      <c r="C30" t="s">
        <v>111</v>
      </c>
      <c r="D30">
        <v>9</v>
      </c>
      <c r="E30" t="s">
        <v>374</v>
      </c>
      <c r="F30">
        <v>4</v>
      </c>
      <c r="G30" t="s">
        <v>375</v>
      </c>
      <c r="H30">
        <v>8</v>
      </c>
      <c r="I30" t="s">
        <v>376</v>
      </c>
    </row>
    <row r="31" spans="1:9" x14ac:dyDescent="0.45">
      <c r="A31" t="s">
        <v>414</v>
      </c>
      <c r="B31" t="s">
        <v>114</v>
      </c>
      <c r="C31" t="s">
        <v>113</v>
      </c>
      <c r="D31">
        <v>2</v>
      </c>
      <c r="E31" t="s">
        <v>412</v>
      </c>
      <c r="F31">
        <v>1</v>
      </c>
      <c r="G31" t="s">
        <v>385</v>
      </c>
      <c r="H31">
        <v>2</v>
      </c>
      <c r="I31" t="s">
        <v>412</v>
      </c>
    </row>
    <row r="32" spans="1:9" x14ac:dyDescent="0.45">
      <c r="A32" t="s">
        <v>415</v>
      </c>
      <c r="B32" t="s">
        <v>116</v>
      </c>
      <c r="C32" t="s">
        <v>115</v>
      </c>
      <c r="D32">
        <v>5</v>
      </c>
      <c r="E32" t="s">
        <v>387</v>
      </c>
      <c r="F32">
        <v>3</v>
      </c>
      <c r="G32" t="s">
        <v>372</v>
      </c>
      <c r="H32">
        <v>5</v>
      </c>
      <c r="I32" t="s">
        <v>387</v>
      </c>
    </row>
    <row r="33" spans="1:9" x14ac:dyDescent="0.45">
      <c r="A33" t="s">
        <v>416</v>
      </c>
      <c r="B33" t="s">
        <v>118</v>
      </c>
      <c r="C33" t="s">
        <v>117</v>
      </c>
      <c r="D33">
        <v>4</v>
      </c>
      <c r="E33" t="s">
        <v>396</v>
      </c>
      <c r="F33">
        <v>2</v>
      </c>
      <c r="G33" t="s">
        <v>393</v>
      </c>
      <c r="H33">
        <v>4</v>
      </c>
      <c r="I33" t="s">
        <v>396</v>
      </c>
    </row>
    <row r="34" spans="1:9" x14ac:dyDescent="0.45">
      <c r="A34" t="s">
        <v>417</v>
      </c>
      <c r="B34" t="s">
        <v>120</v>
      </c>
      <c r="C34" t="s">
        <v>119</v>
      </c>
      <c r="D34">
        <v>3</v>
      </c>
      <c r="E34" t="s">
        <v>392</v>
      </c>
      <c r="F34">
        <v>2</v>
      </c>
      <c r="G34" t="s">
        <v>393</v>
      </c>
      <c r="H34">
        <v>3</v>
      </c>
      <c r="I34" t="s">
        <v>392</v>
      </c>
    </row>
    <row r="35" spans="1:9" x14ac:dyDescent="0.45">
      <c r="A35" t="s">
        <v>418</v>
      </c>
      <c r="B35" t="s">
        <v>122</v>
      </c>
      <c r="C35" t="s">
        <v>121</v>
      </c>
      <c r="D35">
        <v>7</v>
      </c>
      <c r="E35" t="s">
        <v>378</v>
      </c>
      <c r="F35">
        <v>3</v>
      </c>
      <c r="G35" t="s">
        <v>372</v>
      </c>
      <c r="H35">
        <v>7</v>
      </c>
      <c r="I35" t="s">
        <v>378</v>
      </c>
    </row>
    <row r="36" spans="1:9" x14ac:dyDescent="0.45">
      <c r="A36" t="s">
        <v>419</v>
      </c>
      <c r="B36" t="s">
        <v>124</v>
      </c>
      <c r="C36" t="s">
        <v>123</v>
      </c>
      <c r="D36">
        <v>10</v>
      </c>
      <c r="E36" t="s">
        <v>380</v>
      </c>
      <c r="F36">
        <v>4</v>
      </c>
      <c r="G36" t="s">
        <v>375</v>
      </c>
      <c r="H36">
        <v>9</v>
      </c>
      <c r="I36" t="s">
        <v>380</v>
      </c>
    </row>
    <row r="37" spans="1:9" x14ac:dyDescent="0.45">
      <c r="A37" t="s">
        <v>420</v>
      </c>
      <c r="B37" t="s">
        <v>126</v>
      </c>
      <c r="C37" t="s">
        <v>125</v>
      </c>
      <c r="D37">
        <v>2</v>
      </c>
      <c r="E37" t="s">
        <v>412</v>
      </c>
      <c r="F37">
        <v>1</v>
      </c>
      <c r="G37" t="s">
        <v>385</v>
      </c>
      <c r="H37">
        <v>2</v>
      </c>
      <c r="I37" t="s">
        <v>412</v>
      </c>
    </row>
    <row r="38" spans="1:9" x14ac:dyDescent="0.45">
      <c r="A38" t="s">
        <v>421</v>
      </c>
      <c r="B38" t="s">
        <v>128</v>
      </c>
      <c r="C38" t="s">
        <v>127</v>
      </c>
      <c r="D38">
        <v>1</v>
      </c>
      <c r="E38" t="s">
        <v>384</v>
      </c>
      <c r="F38">
        <v>1</v>
      </c>
      <c r="G38" t="s">
        <v>385</v>
      </c>
      <c r="H38">
        <v>1</v>
      </c>
      <c r="I38" t="s">
        <v>384</v>
      </c>
    </row>
    <row r="39" spans="1:9" x14ac:dyDescent="0.45">
      <c r="A39" t="s">
        <v>422</v>
      </c>
      <c r="B39" t="s">
        <v>130</v>
      </c>
      <c r="C39" t="s">
        <v>129</v>
      </c>
      <c r="D39">
        <v>5</v>
      </c>
      <c r="E39" t="s">
        <v>387</v>
      </c>
      <c r="F39">
        <v>3</v>
      </c>
      <c r="G39" t="s">
        <v>372</v>
      </c>
      <c r="H39">
        <v>5</v>
      </c>
      <c r="I39" t="s">
        <v>387</v>
      </c>
    </row>
    <row r="40" spans="1:9" x14ac:dyDescent="0.45">
      <c r="A40" t="s">
        <v>423</v>
      </c>
      <c r="B40" t="s">
        <v>132</v>
      </c>
      <c r="C40" t="s">
        <v>131</v>
      </c>
      <c r="D40">
        <v>4</v>
      </c>
      <c r="E40" t="s">
        <v>396</v>
      </c>
      <c r="F40">
        <v>2</v>
      </c>
      <c r="G40" t="s">
        <v>393</v>
      </c>
      <c r="H40">
        <v>4</v>
      </c>
      <c r="I40" t="s">
        <v>396</v>
      </c>
    </row>
    <row r="41" spans="1:9" x14ac:dyDescent="0.45">
      <c r="A41" t="s">
        <v>424</v>
      </c>
      <c r="B41" t="s">
        <v>134</v>
      </c>
      <c r="C41" t="s">
        <v>133</v>
      </c>
      <c r="D41">
        <v>6</v>
      </c>
      <c r="E41" t="s">
        <v>371</v>
      </c>
      <c r="F41">
        <v>3</v>
      </c>
      <c r="G41" t="s">
        <v>372</v>
      </c>
      <c r="H41">
        <v>6</v>
      </c>
      <c r="I41" t="s">
        <v>371</v>
      </c>
    </row>
    <row r="42" spans="1:9" x14ac:dyDescent="0.45">
      <c r="A42" t="s">
        <v>425</v>
      </c>
      <c r="B42" t="s">
        <v>136</v>
      </c>
      <c r="C42" t="s">
        <v>135</v>
      </c>
      <c r="D42">
        <v>7</v>
      </c>
      <c r="E42" t="s">
        <v>378</v>
      </c>
      <c r="F42">
        <v>3</v>
      </c>
      <c r="G42" t="s">
        <v>372</v>
      </c>
      <c r="H42">
        <v>7</v>
      </c>
      <c r="I42" t="s">
        <v>378</v>
      </c>
    </row>
    <row r="43" spans="1:9" x14ac:dyDescent="0.45">
      <c r="A43" t="s">
        <v>426</v>
      </c>
      <c r="B43" t="s">
        <v>138</v>
      </c>
      <c r="C43" t="s">
        <v>137</v>
      </c>
      <c r="D43">
        <v>8</v>
      </c>
      <c r="E43" t="s">
        <v>382</v>
      </c>
      <c r="F43">
        <v>4</v>
      </c>
      <c r="G43" t="s">
        <v>375</v>
      </c>
      <c r="H43">
        <v>8</v>
      </c>
      <c r="I43" t="s">
        <v>376</v>
      </c>
    </row>
    <row r="44" spans="1:9" x14ac:dyDescent="0.45">
      <c r="A44" t="s">
        <v>427</v>
      </c>
      <c r="B44" t="s">
        <v>140</v>
      </c>
      <c r="C44" t="s">
        <v>139</v>
      </c>
      <c r="D44">
        <v>1</v>
      </c>
      <c r="E44" t="s">
        <v>384</v>
      </c>
      <c r="F44">
        <v>1</v>
      </c>
      <c r="G44" t="s">
        <v>385</v>
      </c>
      <c r="H44">
        <v>1</v>
      </c>
      <c r="I44" t="s">
        <v>384</v>
      </c>
    </row>
    <row r="45" spans="1:9" x14ac:dyDescent="0.45">
      <c r="A45" t="s">
        <v>428</v>
      </c>
      <c r="B45" t="s">
        <v>142</v>
      </c>
      <c r="C45" t="s">
        <v>141</v>
      </c>
      <c r="D45">
        <v>5</v>
      </c>
      <c r="E45" t="s">
        <v>387</v>
      </c>
      <c r="F45">
        <v>3</v>
      </c>
      <c r="G45" t="s">
        <v>372</v>
      </c>
      <c r="H45">
        <v>5</v>
      </c>
      <c r="I45" t="s">
        <v>387</v>
      </c>
    </row>
    <row r="46" spans="1:9" x14ac:dyDescent="0.45">
      <c r="A46" t="s">
        <v>429</v>
      </c>
      <c r="B46" t="s">
        <v>144</v>
      </c>
      <c r="C46" t="s">
        <v>143</v>
      </c>
      <c r="D46">
        <v>10</v>
      </c>
      <c r="E46" t="s">
        <v>380</v>
      </c>
      <c r="F46">
        <v>4</v>
      </c>
      <c r="G46" t="s">
        <v>375</v>
      </c>
      <c r="H46">
        <v>9</v>
      </c>
      <c r="I46" t="s">
        <v>380</v>
      </c>
    </row>
    <row r="47" spans="1:9" x14ac:dyDescent="0.45">
      <c r="A47" t="s">
        <v>430</v>
      </c>
      <c r="B47" t="s">
        <v>146</v>
      </c>
      <c r="C47" t="s">
        <v>145</v>
      </c>
      <c r="D47">
        <v>5</v>
      </c>
      <c r="E47" t="s">
        <v>387</v>
      </c>
      <c r="F47">
        <v>3</v>
      </c>
      <c r="G47" t="s">
        <v>372</v>
      </c>
      <c r="H47">
        <v>5</v>
      </c>
      <c r="I47" t="s">
        <v>387</v>
      </c>
    </row>
    <row r="48" spans="1:9" x14ac:dyDescent="0.45">
      <c r="A48" t="s">
        <v>431</v>
      </c>
      <c r="B48" t="s">
        <v>148</v>
      </c>
      <c r="C48" t="s">
        <v>147</v>
      </c>
      <c r="D48">
        <v>3</v>
      </c>
      <c r="E48" t="s">
        <v>392</v>
      </c>
      <c r="F48">
        <v>2</v>
      </c>
      <c r="G48" t="s">
        <v>393</v>
      </c>
      <c r="H48">
        <v>3</v>
      </c>
      <c r="I48" t="s">
        <v>392</v>
      </c>
    </row>
    <row r="49" spans="1:9" x14ac:dyDescent="0.45">
      <c r="A49" t="s">
        <v>432</v>
      </c>
      <c r="B49" t="s">
        <v>150</v>
      </c>
      <c r="C49" t="s">
        <v>149</v>
      </c>
      <c r="D49">
        <v>8</v>
      </c>
      <c r="E49" t="s">
        <v>382</v>
      </c>
      <c r="F49">
        <v>4</v>
      </c>
      <c r="G49" t="s">
        <v>375</v>
      </c>
      <c r="H49">
        <v>8</v>
      </c>
      <c r="I49" t="s">
        <v>376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433</v>
      </c>
    </row>
    <row r="3" spans="1:16" x14ac:dyDescent="0.45">
      <c r="A3" t="s">
        <v>434</v>
      </c>
      <c r="P3" t="s">
        <v>435</v>
      </c>
    </row>
    <row r="5" spans="1:16" x14ac:dyDescent="0.45">
      <c r="B5" t="s">
        <v>436</v>
      </c>
      <c r="E5" t="s">
        <v>437</v>
      </c>
      <c r="H5" t="s">
        <v>438</v>
      </c>
      <c r="K5" t="s">
        <v>439</v>
      </c>
      <c r="N5" t="s">
        <v>440</v>
      </c>
    </row>
    <row r="6" spans="1:16" x14ac:dyDescent="0.45">
      <c r="A6" t="s">
        <v>441</v>
      </c>
      <c r="B6" t="s">
        <v>442</v>
      </c>
    </row>
    <row r="7" spans="1:16" x14ac:dyDescent="0.45">
      <c r="B7" t="s">
        <v>443</v>
      </c>
      <c r="C7" t="s">
        <v>444</v>
      </c>
      <c r="E7" t="s">
        <v>442</v>
      </c>
      <c r="F7" t="s">
        <v>444</v>
      </c>
      <c r="H7" t="s">
        <v>442</v>
      </c>
      <c r="I7" t="s">
        <v>444</v>
      </c>
      <c r="K7" t="s">
        <v>442</v>
      </c>
      <c r="L7" t="s">
        <v>444</v>
      </c>
      <c r="N7" t="s">
        <v>442</v>
      </c>
      <c r="O7" t="s">
        <v>444</v>
      </c>
    </row>
    <row r="8" spans="1:16" x14ac:dyDescent="0.45">
      <c r="B8" t="s">
        <v>445</v>
      </c>
      <c r="C8" t="s">
        <v>446</v>
      </c>
      <c r="D8" t="s">
        <v>358</v>
      </c>
      <c r="E8" t="s">
        <v>443</v>
      </c>
      <c r="F8" t="s">
        <v>446</v>
      </c>
      <c r="G8" t="s">
        <v>358</v>
      </c>
      <c r="H8" t="s">
        <v>443</v>
      </c>
      <c r="I8" t="s">
        <v>446</v>
      </c>
      <c r="J8" t="s">
        <v>358</v>
      </c>
      <c r="K8" t="s">
        <v>443</v>
      </c>
      <c r="L8" t="s">
        <v>446</v>
      </c>
      <c r="M8" t="s">
        <v>358</v>
      </c>
      <c r="N8" t="s">
        <v>443</v>
      </c>
      <c r="O8" t="s">
        <v>446</v>
      </c>
      <c r="P8" t="s">
        <v>358</v>
      </c>
    </row>
    <row r="9" spans="1:16" x14ac:dyDescent="0.45">
      <c r="B9" t="s">
        <v>447</v>
      </c>
    </row>
    <row r="10" spans="1:16" x14ac:dyDescent="0.45">
      <c r="A10" t="s">
        <v>448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449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450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451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452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453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454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455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456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457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458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459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460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461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462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463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464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465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466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467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468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469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470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471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472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473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474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475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476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477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478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479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480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481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482</v>
      </c>
    </row>
    <row r="63" spans="1:16" x14ac:dyDescent="0.45">
      <c r="A63" t="s">
        <v>483</v>
      </c>
    </row>
    <row r="64" spans="1:16" x14ac:dyDescent="0.45">
      <c r="A64" t="s">
        <v>484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485</v>
      </c>
    </row>
    <row r="3" spans="2:3" x14ac:dyDescent="0.45">
      <c r="B3" t="s">
        <v>36</v>
      </c>
      <c r="C3" t="s">
        <v>486</v>
      </c>
    </row>
    <row r="4" spans="2:3" x14ac:dyDescent="0.45">
      <c r="B4" t="s">
        <v>38</v>
      </c>
      <c r="C4">
        <v>13047</v>
      </c>
    </row>
    <row r="5" spans="2:3" x14ac:dyDescent="0.45">
      <c r="B5" t="s">
        <v>487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488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458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489</v>
      </c>
    </row>
    <row r="2" spans="1:13" x14ac:dyDescent="0.45">
      <c r="A2" t="s">
        <v>490</v>
      </c>
    </row>
    <row r="3" spans="1:13" x14ac:dyDescent="0.45">
      <c r="A3" t="s">
        <v>491</v>
      </c>
    </row>
    <row r="5" spans="1:13" x14ac:dyDescent="0.45">
      <c r="A5" t="s">
        <v>36</v>
      </c>
      <c r="B5" t="s">
        <v>492</v>
      </c>
      <c r="C5" t="s">
        <v>493</v>
      </c>
      <c r="D5" t="s">
        <v>494</v>
      </c>
      <c r="E5" t="s">
        <v>495</v>
      </c>
      <c r="F5" t="s">
        <v>496</v>
      </c>
      <c r="G5" t="s">
        <v>497</v>
      </c>
      <c r="H5" t="s">
        <v>498</v>
      </c>
      <c r="I5" t="s">
        <v>499</v>
      </c>
      <c r="J5" t="s">
        <v>500</v>
      </c>
      <c r="K5" t="s">
        <v>501</v>
      </c>
      <c r="L5" t="s">
        <v>502</v>
      </c>
      <c r="M5" t="s">
        <v>503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487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488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458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504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505</v>
      </c>
    </row>
    <row r="3" spans="1:53" x14ac:dyDescent="0.45">
      <c r="A3" t="s">
        <v>506</v>
      </c>
      <c r="I3" t="s">
        <v>507</v>
      </c>
      <c r="N3" t="s">
        <v>508</v>
      </c>
      <c r="P3" t="s">
        <v>509</v>
      </c>
      <c r="W3" t="s">
        <v>510</v>
      </c>
      <c r="AD3" t="s">
        <v>511</v>
      </c>
      <c r="AQ3" t="s">
        <v>512</v>
      </c>
      <c r="AU3" t="s">
        <v>513</v>
      </c>
      <c r="AY3" t="s">
        <v>514</v>
      </c>
    </row>
    <row r="4" spans="1:53" x14ac:dyDescent="0.45">
      <c r="A4" t="s">
        <v>36</v>
      </c>
      <c r="B4" t="s">
        <v>36</v>
      </c>
      <c r="C4" t="s">
        <v>515</v>
      </c>
      <c r="D4" t="s">
        <v>516</v>
      </c>
      <c r="E4" t="s">
        <v>517</v>
      </c>
      <c r="F4" t="s">
        <v>518</v>
      </c>
      <c r="G4" t="s">
        <v>519</v>
      </c>
      <c r="I4" t="s">
        <v>36</v>
      </c>
      <c r="J4" t="s">
        <v>36</v>
      </c>
      <c r="K4" t="s">
        <v>520</v>
      </c>
      <c r="L4" t="s">
        <v>521</v>
      </c>
      <c r="N4" t="s">
        <v>36</v>
      </c>
      <c r="O4" t="s">
        <v>36</v>
      </c>
      <c r="P4" t="s">
        <v>522</v>
      </c>
      <c r="Q4" t="s">
        <v>523</v>
      </c>
      <c r="R4" t="s">
        <v>524</v>
      </c>
      <c r="S4" t="s">
        <v>525</v>
      </c>
      <c r="T4" t="s">
        <v>526</v>
      </c>
      <c r="U4" t="s">
        <v>527</v>
      </c>
      <c r="V4" t="s">
        <v>45</v>
      </c>
      <c r="W4" t="s">
        <v>522</v>
      </c>
      <c r="X4" t="s">
        <v>523</v>
      </c>
      <c r="Y4" t="s">
        <v>524</v>
      </c>
      <c r="Z4" t="s">
        <v>525</v>
      </c>
      <c r="AA4" t="s">
        <v>526</v>
      </c>
      <c r="AB4" t="s">
        <v>527</v>
      </c>
      <c r="AC4" t="s">
        <v>45</v>
      </c>
      <c r="AD4" t="s">
        <v>522</v>
      </c>
      <c r="AE4" t="s">
        <v>523</v>
      </c>
      <c r="AF4" t="s">
        <v>524</v>
      </c>
      <c r="AG4" t="s">
        <v>525</v>
      </c>
      <c r="AH4" t="s">
        <v>526</v>
      </c>
      <c r="AI4" t="s">
        <v>527</v>
      </c>
      <c r="AJ4" t="s">
        <v>45</v>
      </c>
      <c r="AK4" t="s">
        <v>528</v>
      </c>
      <c r="AL4" t="s">
        <v>529</v>
      </c>
      <c r="AM4" t="s">
        <v>530</v>
      </c>
      <c r="AN4" t="s">
        <v>529</v>
      </c>
      <c r="AO4" t="s">
        <v>530</v>
      </c>
      <c r="AQ4" t="s">
        <v>36</v>
      </c>
      <c r="AR4" t="s">
        <v>36</v>
      </c>
      <c r="AS4" t="s">
        <v>531</v>
      </c>
      <c r="AU4" t="s">
        <v>36</v>
      </c>
      <c r="AV4" t="s">
        <v>36</v>
      </c>
      <c r="AW4" t="s">
        <v>532</v>
      </c>
      <c r="AY4" t="s">
        <v>36</v>
      </c>
      <c r="AZ4" t="s">
        <v>36</v>
      </c>
      <c r="BA4" t="s">
        <v>533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487</v>
      </c>
      <c r="B6" t="s">
        <v>534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487</v>
      </c>
      <c r="J6" t="s">
        <v>534</v>
      </c>
      <c r="K6">
        <v>5.7149773803734883E-3</v>
      </c>
      <c r="L6">
        <v>0.10138057301022239</v>
      </c>
      <c r="N6" t="s">
        <v>487</v>
      </c>
      <c r="O6" t="s">
        <v>534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487</v>
      </c>
      <c r="AR6" t="s">
        <v>534</v>
      </c>
      <c r="AS6">
        <v>0</v>
      </c>
      <c r="AU6" t="s">
        <v>487</v>
      </c>
      <c r="AV6" t="s">
        <v>534</v>
      </c>
      <c r="AW6">
        <v>4.4450299557348043E-3</v>
      </c>
      <c r="AY6" t="s">
        <v>487</v>
      </c>
      <c r="AZ6" t="s">
        <v>534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458</v>
      </c>
      <c r="B15" t="s">
        <v>535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458</v>
      </c>
      <c r="J15" t="s">
        <v>535</v>
      </c>
      <c r="K15">
        <v>1.9313574658021759E-2</v>
      </c>
      <c r="L15">
        <v>2.105747115191876E-2</v>
      </c>
      <c r="N15" t="s">
        <v>458</v>
      </c>
      <c r="O15" t="s">
        <v>535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458</v>
      </c>
      <c r="AR15" t="s">
        <v>535</v>
      </c>
      <c r="AS15">
        <v>0</v>
      </c>
      <c r="AU15" t="s">
        <v>458</v>
      </c>
      <c r="AV15" t="s">
        <v>535</v>
      </c>
      <c r="AW15">
        <v>1.1499036419574779E-3</v>
      </c>
      <c r="AY15" t="s">
        <v>458</v>
      </c>
      <c r="AZ15" t="s">
        <v>535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536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536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536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1300</v>
      </c>
      <c r="C2">
        <f>SUMIFS('SSYVbT-passenger-LDVs'!C:C,'SSYVbT-passenger-LDVs'!$A:$A,About!$B$1)</f>
        <v>0</v>
      </c>
      <c r="D2">
        <f>SUMIFS('SSYVbT-passenger-LDVs'!D:D,'SSYVbT-passenger-LDVs'!$A:$A,About!$B$1)</f>
        <v>951004</v>
      </c>
      <c r="E2">
        <f>SUMIFS('SSYVbT-passenger-LDVs'!E:E,'SSYVbT-passenger-LDVs'!$A:$A,About!$B$1)</f>
        <v>10249</v>
      </c>
      <c r="F2">
        <f>SUMIFS('SSYVbT-passenger-LDVs'!F:F,'SSYVbT-passenger-LDVs'!$A:$A,About!$B$1)</f>
        <v>1000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1</v>
      </c>
      <c r="C3">
        <f>SUMIFS('SSYVbT-passenger-HDVs'!C:C,'SSYVbT-passenger-HDVs'!$A:$A,About!$B$1)</f>
        <v>429</v>
      </c>
      <c r="D3">
        <f>SUMIFS('SSYVbT-passenger-HDVs'!D:D,'SSYVbT-passenger-HDVs'!$A:$A,About!$B$1)</f>
        <v>338</v>
      </c>
      <c r="E3">
        <f>SUMIFS('SSYVbT-passenger-HDVs'!E:E,'SSYVbT-passenger-HDVs'!$A:$A,About!$B$1)</f>
        <v>2683</v>
      </c>
      <c r="F3">
        <f>SUMIFS('SSYVbT-passenger-HDVs'!F:F,'SSYVbT-passenger-HDVs'!$A:$A,About!$B$1)</f>
        <v>0</v>
      </c>
      <c r="G3">
        <f>SUMIFS('SSYVbT-passenger-HDVs'!G:G,'SSYVbT-passenger-HDVs'!$A:$A,About!$B$1)</f>
        <v>157</v>
      </c>
      <c r="H3">
        <f>SUMIFS('SSYVbT-passenger-HDVs'!H:H,'SSYVbT-passenger-HDVs'!$A:$A,About!$B$1)</f>
        <v>1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63220</v>
      </c>
      <c r="E6">
        <f>SUMIFS('SSYVbT-passenger-ships'!E:E,'SSYVbT-passenger-ships'!$A:$A,About!$B$1)</f>
        <v>15412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44166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536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203</v>
      </c>
      <c r="C2">
        <f>SUMIFS('SSYVbT-freight-LDVs'!C:C,'SSYVbT-freight-LDVs'!$A:$A,About!$B$1)</f>
        <v>37</v>
      </c>
      <c r="D2">
        <f>SUMIFS('SSYVbT-freight-LDVs'!D:D,'SSYVbT-freight-LDVs'!$A:$A,About!$B$1)</f>
        <v>18879</v>
      </c>
      <c r="E2">
        <f>SUMIFS('SSYVbT-freight-LDVs'!E:E,'SSYVbT-freight-LDVs'!$A:$A,About!$B$1)</f>
        <v>16135</v>
      </c>
      <c r="F2">
        <f>SUMIFS('SSYVbT-freight-LDVs'!F:F,'SSYVbT-freight-LDVs'!$A:$A,About!$B$1)</f>
        <v>1</v>
      </c>
      <c r="G2">
        <f>SUMIFS('SSYVbT-freight-LDVs'!G:G,'SSYVbT-freight-LDVs'!$A:$A,About!$B$1)</f>
        <v>3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11</v>
      </c>
      <c r="C3">
        <f>SUMIFS('SSYVbT-freight-HDVs'!C:C,'SSYVbT-freight-HDVs'!$A:$A,About!$B$1)</f>
        <v>311</v>
      </c>
      <c r="D3">
        <f>SUMIFS('SSYVbT-freight-HDVs'!D:D,'SSYVbT-freight-HDVs'!$A:$A,About!$B$1)</f>
        <v>207</v>
      </c>
      <c r="E3">
        <f>SUMIFS('SSYVbT-freight-HDVs'!E:E,'SSYVbT-freight-HDVs'!$A:$A,About!$B$1)</f>
        <v>29558</v>
      </c>
      <c r="F3">
        <f>SUMIFS('SSYVbT-freight-HDVs'!F:F,'SSYVbT-freight-HDVs'!$A:$A,About!$B$1)</f>
        <v>0</v>
      </c>
      <c r="G3">
        <f>SUMIFS('SSYVbT-freight-HDVs'!G:G,'SSYVbT-freight-HDVs'!$A:$A,About!$B$1)</f>
        <v>17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2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220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0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2026-07-15T23:07:18Z</dcterms:created>
  <dcterms:modified xsi:type="dcterms:W3CDTF">2026-07-15T23:21:09Z</dcterms:modified>
</cp:coreProperties>
</file>